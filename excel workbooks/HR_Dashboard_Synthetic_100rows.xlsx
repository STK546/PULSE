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Calc" sheetId="2" state="visible" r:id="rId4"/>
    <sheet name="Dashboard" sheetId="3" state="visible" r:id="rId5"/>
    <sheet name="Data_Summary" sheetId="4" state="visible" r:id="rId6"/>
    <sheet name="Data_Insight" sheetId="5" state="visible" r:id="rId7"/>
    <sheet name="Unmatched_Data" sheetId="6" state="hidden" r:id="rId8"/>
  </sheets>
  <definedNames>
    <definedName function="false" hidden="false" name="Data_Insight" vbProcedure="false">Data_Insight!$1:$1048576</definedName>
    <definedName function="false" hidden="false" name="Data_Summary" vbProcedure="false">Data_Summary!$1:$1048576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<sst xmlns="http://schemas.openxmlformats.org/spreadsheetml/2006/main" count="15844" uniqueCount="1247">
  <si>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</si>
  <si>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</si>
  <si>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</si>
  <si>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</si>
  <si>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</si>
  <si>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BHR Name</t>
  </si>
  <si>
    <t xml:space="preserve">BHR Employee ID</t>
  </si>
  <si>
    <t xml:space="preserve">Date of Connect</t>
  </si>
  <si>
    <t xml:space="preserve">Engagement Type</t>
  </si>
  <si>
    <t xml:space="preserve">IBU/Practice/Location</t>
  </si>
  <si>
    <t xml:space="preserve">Mention your location {Ex. Noida}</t>
  </si>
  <si>
    <t xml:space="preserve">PRACTICE CODE (As per head count report) {Ex. DEA-D-2007}</t>
  </si>
  <si>
    <t xml:space="preserve">Band</t>
  </si>
  <si>
    <t xml:space="preserve">Engagement Mode</t>
  </si>
  <si>
    <t xml:space="preserve">Service Line</t>
  </si>
  <si>
    <t xml:space="preserve">EMPLOYEE IBU CODE (As per head count report) {Ex. DEA-D-4031}</t>
  </si>
  <si>
    <t xml:space="preserve">PROJECT DESCRIPTION (As per head count report) {If Mixed then list down all the Project name/Practice/ SL}</t>
  </si>
  <si>
    <t xml:space="preserve">LSA Connect (In detail)</t>
  </si>
  <si>
    <t xml:space="preserve">Exclusive Award Ceremony (Not part of Townhall) (In detail)</t>
  </si>
  <si>
    <t xml:space="preserve">Cadence Connect</t>
  </si>
  <si>
    <t xml:space="preserve">CARES Framework</t>
  </si>
  <si>
    <t xml:space="preserve">Career</t>
  </si>
  <si>
    <t xml:space="preserve">Alignment</t>
  </si>
  <si>
    <t xml:space="preserve">Recognition</t>
  </si>
  <si>
    <t xml:space="preserve">Empowerment</t>
  </si>
  <si>
    <t xml:space="preserve">Strive</t>
  </si>
  <si>
    <t xml:space="preserve">Townhall - Coverage</t>
  </si>
  <si>
    <t xml:space="preserve">Townhall - Key Insight
</t>
  </si>
  <si>
    <t xml:space="preserve"> Townhall - Action Plan</t>
  </si>
  <si>
    <t xml:space="preserve">SL Induction - Coverage</t>
  </si>
  <si>
    <t xml:space="preserve">SL Induction - Key Insight</t>
  </si>
  <si>
    <t xml:space="preserve">SL Induction - Action Plan</t>
  </si>
  <si>
    <t xml:space="preserve">Business Wait Connect - Coverage</t>
  </si>
  <si>
    <t xml:space="preserve">Business Wait Connect - Key Insight</t>
  </si>
  <si>
    <t xml:space="preserve">Business Wait Connect - Action Plan</t>
  </si>
  <si>
    <t xml:space="preserve">ELTP Connect (Practice Level) - Coverage</t>
  </si>
  <si>
    <t xml:space="preserve">ELTP Connect (Practice Level) - Key Insight</t>
  </si>
  <si>
    <t xml:space="preserve">ELTP Connect (Practice Level) - Action Plan
</t>
  </si>
  <si>
    <t xml:space="preserve">ELTP Connect (&lt;6m) - Coverage</t>
  </si>
  <si>
    <t xml:space="preserve">ELTP Connect (&lt;6m) - Key Insight</t>
  </si>
  <si>
    <t xml:space="preserve">ELTP Connect (&lt;6m) - Action Plan</t>
  </si>
  <si>
    <t xml:space="preserve">ELTP Connect (6-12m) - Coverage</t>
  </si>
  <si>
    <t xml:space="preserve">ELTP Connect (6-12m) - Key Insight</t>
  </si>
  <si>
    <t xml:space="preserve">ELTP Connect (6-12m) - Action Plan</t>
  </si>
  <si>
    <t xml:space="preserve">ELTP Connect (12-24m) - Coverage</t>
  </si>
  <si>
    <t xml:space="preserve">ELTP Connect (12-24m) - Key Insight</t>
  </si>
  <si>
    <t xml:space="preserve">ELTP Connect (12-24m) - Action Plan</t>
  </si>
  <si>
    <t xml:space="preserve">HR Connect (Project Wise) - Coverage</t>
  </si>
  <si>
    <t xml:space="preserve">HR Connect (Project Wise) - Key Insights </t>
  </si>
  <si>
    <t xml:space="preserve">HR Connect (Project Wise) - Action Plan</t>
  </si>
  <si>
    <t xml:space="preserve">HR Connect (General) - Coverage</t>
  </si>
  <si>
    <t xml:space="preserve">HR Connect (General) - Key Insights</t>
  </si>
  <si>
    <t xml:space="preserve">HR Connect (General) - Action Plan</t>
  </si>
  <si>
    <t xml:space="preserve">Top Talent Connect - Coverage</t>
  </si>
  <si>
    <t xml:space="preserve">Top Talent Connect - Key Insights</t>
  </si>
  <si>
    <t xml:space="preserve">Top Talent Connect - Action Plan</t>
  </si>
  <si>
    <t xml:space="preserve">Top Talent FGD Connect - Coverage</t>
  </si>
  <si>
    <t xml:space="preserve">Top Talent FGD Connect - Key Insights</t>
  </si>
  <si>
    <t xml:space="preserve">Top Talent FGD Connect - Action Plan</t>
  </si>
  <si>
    <t xml:space="preserve">New Joiner Connect (7 Days) - Coverage</t>
  </si>
  <si>
    <t xml:space="preserve">New Joiner Connect (7 Days) - Key Insights</t>
  </si>
  <si>
    <t xml:space="preserve">New Joiner Connect (7 Days) - Action Plan</t>
  </si>
  <si>
    <t xml:space="preserve">New Joiner Connect (30 Days) - Coverage</t>
  </si>
  <si>
    <t xml:space="preserve">New Joiner Connect (30 Days) - Key Insights</t>
  </si>
  <si>
    <t xml:space="preserve">New Joiner Connect (30 Days) - Action Plan</t>
  </si>
  <si>
    <t xml:space="preserve">New Joiner Connect (60 Days) - Coverage</t>
  </si>
  <si>
    <t xml:space="preserve">New Joiner Connect (60 Days) - Key Insights</t>
  </si>
  <si>
    <t xml:space="preserve">New Joiner Connect (60 Days) - Action Plan</t>
  </si>
  <si>
    <t xml:space="preserve">New Joiner Connect (90 Days) - Coverage</t>
  </si>
  <si>
    <t xml:space="preserve">New Joiner Connect (90 Days) - Key Insights</t>
  </si>
  <si>
    <t xml:space="preserve">New Joiner Connect (90 Days) - Action Plan</t>
  </si>
  <si>
    <t xml:space="preserve">ML Returnee Connect - Coverage</t>
  </si>
  <si>
    <t xml:space="preserve">ML Returnee Connect - Key Insights</t>
  </si>
  <si>
    <t xml:space="preserve">ML Returnee Connect - Action Plan</t>
  </si>
  <si>
    <t xml:space="preserve">Skip Meeting - Coverage</t>
  </si>
  <si>
    <t xml:space="preserve">Skip Meeting - Key Insights</t>
  </si>
  <si>
    <t xml:space="preserve">Skip Meeting - Action Plan</t>
  </si>
  <si>
    <t xml:space="preserve">Women Associate Connect - Coverage</t>
  </si>
  <si>
    <t xml:space="preserve">Women Associate Connect - Key Insights</t>
  </si>
  <si>
    <t xml:space="preserve">Women Associate Connect - Action Plan</t>
  </si>
  <si>
    <t xml:space="preserve">Band Specific FGD Connect - Coverage</t>
  </si>
  <si>
    <t xml:space="preserve">Band Specific FGD Connect - Key Insights</t>
  </si>
  <si>
    <t xml:space="preserve">Band Specific FGD Connect - Action Plan</t>
  </si>
  <si>
    <t xml:space="preserve">Leadership Connect - Coverage</t>
  </si>
  <si>
    <t xml:space="preserve">Leadership Connect - Key Insights</t>
  </si>
  <si>
    <t xml:space="preserve">Leadership Connect - Action Plan</t>
  </si>
  <si>
    <t xml:space="preserve">Josh (Fun Engagements) - Coverage</t>
  </si>
  <si>
    <t xml:space="preserve">Josh (Fun Engagements) - Key Insights</t>
  </si>
  <si>
    <t xml:space="preserve">Josh (Fun Engagements) - Action Plan</t>
  </si>
  <si>
    <t xml:space="preserve">Wellness Session - Coverage</t>
  </si>
  <si>
    <t xml:space="preserve">Wellness Session - Key Insights</t>
  </si>
  <si>
    <t xml:space="preserve">Wellness Session - Action Plan</t>
  </si>
  <si>
    <t xml:space="preserve">ISR Activity - Coverage</t>
  </si>
  <si>
    <t xml:space="preserve">ISR Activity - Key Insights</t>
  </si>
  <si>
    <t xml:space="preserve">ISR Activity - Action Plan</t>
  </si>
  <si>
    <t xml:space="preserve">Overall Sentiment</t>
  </si>
  <si>
    <t xml:space="preserve">Action Owner</t>
  </si>
  <si>
    <t xml:space="preserve">Engagement related Queries</t>
  </si>
  <si>
    <t xml:space="preserve">Severity</t>
  </si>
  <si>
    <t xml:space="preserve">Status</t>
  </si>
  <si>
    <t xml:space="preserve">IBU Level Connect (Points discussed if any)</t>
  </si>
  <si>
    <t xml:space="preserve">SL Level Connect (Points discussed if any)</t>
  </si>
  <si>
    <t xml:space="preserve">Practice Level Connect ( (Points discussed if any)</t>
  </si>
  <si>
    <t xml:space="preserve">AK216739@techmahindra.com</t>
  </si>
  <si>
    <t xml:space="preserve">Anvi Konda</t>
  </si>
  <si>
    <t xml:space="preserve">Liam Chaudry</t>
  </si>
  <si>
    <t xml:space="preserve">216739</t>
  </si>
  <si>
    <t xml:space="preserve">Large Connect</t>
  </si>
  <si>
    <t xml:space="preserve">IBU Specific Connect </t>
  </si>
  <si>
    <t xml:space="preserve">Gudivada</t>
  </si>
  <si>
    <t xml:space="preserve">DEA-D-2003</t>
  </si>
  <si>
    <t xml:space="preserve">MIX</t>
  </si>
  <si>
    <t xml:space="preserve">Virtual</t>
  </si>
  <si>
    <t xml:space="preserve">DEA Service Line</t>
  </si>
  <si>
    <t xml:space="preserve">DEA-D-2004</t>
  </si>
  <si>
    <t xml:space="preserve">Practice</t>
  </si>
  <si>
    <t xml:space="preserve">ML Returnee Connect</t>
  </si>
  <si>
    <t xml:space="preserve">Review of ongoing concerns;</t>
  </si>
  <si>
    <t xml:space="preserve">No major concerns raised;Minor process related queries;</t>
  </si>
  <si>
    <t xml:space="preserve">NA;Continue regular check-ins;</t>
  </si>
  <si>
    <t xml:space="preserve">Neutral</t>
  </si>
  <si>
    <t xml:space="preserve">No specific Action, Issue addressed in meeting;</t>
  </si>
  <si>
    <t xml:space="preserve">NA</t>
  </si>
  <si>
    <t xml:space="preserve">Moderate</t>
  </si>
  <si>
    <t xml:space="preserve">Closed</t>
  </si>
  <si>
    <t xml:space="preserve">GK145561@techmahindra.com</t>
  </si>
  <si>
    <t xml:space="preserve">Girik Kamdar</t>
  </si>
  <si>
    <t xml:space="preserve">145561</t>
  </si>
  <si>
    <t xml:space="preserve">Location Specific Connect</t>
  </si>
  <si>
    <t xml:space="preserve">Dibrugarh</t>
  </si>
  <si>
    <t xml:space="preserve">DEA-D-4021</t>
  </si>
  <si>
    <t xml:space="preserve">U</t>
  </si>
  <si>
    <t xml:space="preserve">CIS Service Line</t>
  </si>
  <si>
    <t xml:space="preserve">DEA-D-4031</t>
  </si>
  <si>
    <t xml:space="preserve">EY Project</t>
  </si>
  <si>
    <t xml:space="preserve">Townhall</t>
  </si>
  <si>
    <t xml:space="preserve">Business &amp; Strategy Clarity;Career Visibility &amp; Skill Roadmap;AI/future Readiness Messaging Is High-level;</t>
  </si>
  <si>
    <t xml:space="preserve">Associates are unsure how unit goals translate into day-to-day delivery expectations;</t>
  </si>
  <si>
    <t xml:space="preserve">Capture workload hotspots and review with delivery leads for rebalancing;NA;</t>
  </si>
  <si>
    <t xml:space="preserve">Open</t>
  </si>
  <si>
    <t xml:space="preserve">OK356702@techmahindra.com</t>
  </si>
  <si>
    <t xml:space="preserve">Oni Kannan</t>
  </si>
  <si>
    <t xml:space="preserve">356702</t>
  </si>
  <si>
    <t xml:space="preserve">Hyderabad</t>
  </si>
  <si>
    <t xml:space="preserve">DEA-D-4026</t>
  </si>
  <si>
    <t xml:space="preserve">In-person-Tech M </t>
  </si>
  <si>
    <t xml:space="preserve">CIS D 2001</t>
  </si>
  <si>
    <t xml:space="preserve">Kimberly Clark</t>
  </si>
  <si>
    <t xml:space="preserve">SL Induction</t>
  </si>
  <si>
    <t xml:space="preserve">Visibility on Allocation &amp; Demand;</t>
  </si>
  <si>
    <t xml:space="preserve">Associates lack clarity on practice goals and IBU priorities;HR/WFM/Training updates not actionable;</t>
  </si>
  <si>
    <t xml:space="preserve">TLS SPOC had cleared all the queries w.r.t learning;Provide FAQs, guides, refresher sessions;</t>
  </si>
  <si>
    <t xml:space="preserve">Positive</t>
  </si>
  <si>
    <t xml:space="preserve">Team was contented with the fun connect as it was a nice short break from work and the whole account was able to connect virtually</t>
  </si>
  <si>
    <t xml:space="preserve">AD634277@techmahindra.com</t>
  </si>
  <si>
    <t xml:space="preserve">Abeer Dutta</t>
  </si>
  <si>
    <t xml:space="preserve">634277</t>
  </si>
  <si>
    <t xml:space="preserve">Location-Offshore</t>
  </si>
  <si>
    <t xml:space="preserve">Mau</t>
  </si>
  <si>
    <t xml:space="preserve">NGS-D-2004</t>
  </si>
  <si>
    <t xml:space="preserve">DEA-D-4022</t>
  </si>
  <si>
    <t xml:space="preserve">Rating Calibration call with IBU Head</t>
  </si>
  <si>
    <t xml:space="preserve">General wellbeing check-in;</t>
  </si>
  <si>
    <t xml:space="preserve">Associates are settling in well;NA;</t>
  </si>
  <si>
    <t xml:space="preserve">Share update with relevant stakeholder;Continue regular check-ins;</t>
  </si>
  <si>
    <t xml:space="preserve">WFM;Delivery;</t>
  </si>
  <si>
    <t xml:space="preserve">No response on IJP applied on Rapid</t>
  </si>
  <si>
    <t xml:space="preserve">High</t>
  </si>
  <si>
    <t xml:space="preserve">In-progress</t>
  </si>
  <si>
    <t xml:space="preserve">GC632323@techmahindra.com</t>
  </si>
  <si>
    <t xml:space="preserve">Gayathri Chaudry</t>
  </si>
  <si>
    <t xml:space="preserve">632323</t>
  </si>
  <si>
    <t xml:space="preserve">FGD</t>
  </si>
  <si>
    <t xml:space="preserve">Bengaluru</t>
  </si>
  <si>
    <t xml:space="preserve">NGS-D-4037</t>
  </si>
  <si>
    <t xml:space="preserve">Keysight</t>
  </si>
  <si>
    <t xml:space="preserve">HR Connect (General)</t>
  </si>
  <si>
    <t xml:space="preserve">Connect for recognition;Clarity On Role-based Learning Expectations;On Hybrid/WFO Rules And Monthly Compliance Expectations;</t>
  </si>
  <si>
    <t xml:space="preserve">Discussed on how to simply WFH exception requests and about various projects;NA;</t>
  </si>
  <si>
    <t xml:space="preserve">Share role-based learning pathways and recommended certifications;</t>
  </si>
  <si>
    <t xml:space="preserve">Delivery;</t>
  </si>
  <si>
    <t xml:space="preserve">JP518373@techmahindra.com</t>
  </si>
  <si>
    <t xml:space="preserve">Jagrati Padmanabhan</t>
  </si>
  <si>
    <t xml:space="preserve">518373</t>
  </si>
  <si>
    <t xml:space="preserve">DEA-D-2026</t>
  </si>
  <si>
    <t xml:space="preserve">DEA-D-4032</t>
  </si>
  <si>
    <t xml:space="preserve">GE</t>
  </si>
  <si>
    <t xml:space="preserve">ELTP Connect (6-12m)</t>
  </si>
  <si>
    <t xml:space="preserve">Business Context &amp; Org Awareness;</t>
  </si>
  <si>
    <t xml:space="preserve">Feedback is irregular or not tied to a rubric;</t>
  </si>
  <si>
    <t xml:space="preserve">Run fortnightly utilization reviews with WFM + delivery owners to rebalance work;</t>
  </si>
  <si>
    <t xml:space="preserve">Need budget clarity</t>
  </si>
  <si>
    <t xml:space="preserve">Low</t>
  </si>
  <si>
    <t xml:space="preserve">TY946721@techmahindra.com</t>
  </si>
  <si>
    <t xml:space="preserve">Tripti Yadav</t>
  </si>
  <si>
    <t xml:space="preserve">946721</t>
  </si>
  <si>
    <t xml:space="preserve">Pune</t>
  </si>
  <si>
    <t xml:space="preserve">DEA- D-4023, DEA-D-4024, DEA-D-4025</t>
  </si>
  <si>
    <t xml:space="preserve">In-person-Client Location</t>
  </si>
  <si>
    <t xml:space="preserve">DEA-D-4018</t>
  </si>
  <si>
    <t xml:space="preserve">TMC-D-1001- TMC ALL</t>
  </si>
  <si>
    <t xml:space="preserve">Business &amp; Practice Awareness;</t>
  </si>
  <si>
    <t xml:space="preserve">Low interaction and hesitation in raising questions;</t>
  </si>
  <si>
    <t xml:space="preserve">Create consistent onboarding framework across practice;Provide FAQs, guides, refresher sessions;</t>
  </si>
  <si>
    <t xml:space="preserve">Allocation related queries and opportunities</t>
  </si>
  <si>
    <t xml:space="preserve">Practice level priorities and bench status reviewed.</t>
  </si>
  <si>
    <t xml:space="preserve">FM197793@techmahindra.com</t>
  </si>
  <si>
    <t xml:space="preserve">Farhan Memon</t>
  </si>
  <si>
    <t xml:space="preserve">197793</t>
  </si>
  <si>
    <t xml:space="preserve">Gangtok</t>
  </si>
  <si>
    <t xml:space="preserve">IIGA</t>
  </si>
  <si>
    <t xml:space="preserve">E</t>
  </si>
  <si>
    <t xml:space="preserve">DEA-D-4016</t>
  </si>
  <si>
    <t xml:space="preserve">IBU Head of SNOW Europe</t>
  </si>
  <si>
    <t xml:space="preserve">Band Specific FGD Connect</t>
  </si>
  <si>
    <t xml:space="preserve">Clarity on expectations;Review of ongoing concerns;</t>
  </si>
  <si>
    <t xml:space="preserve">No major concerns raised;</t>
  </si>
  <si>
    <t xml:space="preserve">Continue regular check-ins;NA;</t>
  </si>
  <si>
    <t xml:space="preserve">All was resolved</t>
  </si>
  <si>
    <t xml:space="preserve">SALESFORCE PRACTICE</t>
  </si>
  <si>
    <t xml:space="preserve">CK992697@techmahindra.com</t>
  </si>
  <si>
    <t xml:space="preserve">Chakradev Kari</t>
  </si>
  <si>
    <t xml:space="preserve">992697</t>
  </si>
  <si>
    <t xml:space="preserve">Women Associate Connect</t>
  </si>
  <si>
    <t xml:space="preserve">Recognition &amp; Visibility;Grievance/speak-up Clarity;Empathy And Communication;</t>
  </si>
  <si>
    <t xml:space="preserve">Need empathy and communication;Grievance/speak-up clarity;</t>
  </si>
  <si>
    <t xml:space="preserve">There werenot much queries;Promote DEI initiatives;</t>
  </si>
  <si>
    <t xml:space="preserve">Mixed</t>
  </si>
  <si>
    <t xml:space="preserve">HRBP;Delivery;</t>
  </si>
  <si>
    <t xml:space="preserve">VC172132@techmahindra.com</t>
  </si>
  <si>
    <t xml:space="preserve">Viraj Chaudhuri</t>
  </si>
  <si>
    <t xml:space="preserve">172132</t>
  </si>
  <si>
    <t xml:space="preserve">Hyderbad</t>
  </si>
  <si>
    <t xml:space="preserve">all</t>
  </si>
  <si>
    <t xml:space="preserve">DIG-D-4001, DIG-D-4005, DIG-D-4007</t>
  </si>
  <si>
    <t xml:space="preserve">DEA BLR (Women Associates)</t>
  </si>
  <si>
    <t xml:space="preserve">Career Support &amp; Sponsorship;Work-Life Balance &amp; Flexibility;</t>
  </si>
  <si>
    <t xml:space="preserve">Inclusive team practices;</t>
  </si>
  <si>
    <t xml:space="preserve">Promote DEI initiatives;Reinforce speak-up channels;</t>
  </si>
  <si>
    <t xml:space="preserve">RTO management and Bench</t>
  </si>
  <si>
    <t xml:space="preserve">JG146228@techmahindra.com</t>
  </si>
  <si>
    <t xml:space="preserve">Janya Gaba</t>
  </si>
  <si>
    <t xml:space="preserve">Isha Kadakia</t>
  </si>
  <si>
    <t xml:space="preserve">146228</t>
  </si>
  <si>
    <t xml:space="preserve">1:1</t>
  </si>
  <si>
    <t xml:space="preserve">PUNE</t>
  </si>
  <si>
    <t xml:space="preserve">DAI-D-2005</t>
  </si>
  <si>
    <t xml:space="preserve">Mix (Virtual &amp; In-person)</t>
  </si>
  <si>
    <t xml:space="preserve">COM D 4018</t>
  </si>
  <si>
    <t xml:space="preserve">SAP</t>
  </si>
  <si>
    <t xml:space="preserve">Top Talent FGD Connect</t>
  </si>
  <si>
    <t xml:space="preserve">Review of ongoing concerns;Feedback on recent processes;Clarity on expectations;</t>
  </si>
  <si>
    <t xml:space="preserve">NA;</t>
  </si>
  <si>
    <t xml:space="preserve">Monitor and follow up in next cycle;NA;</t>
  </si>
  <si>
    <t xml:space="preserve">OW270395@techmahindra.com</t>
  </si>
  <si>
    <t xml:space="preserve">Onveer Walla</t>
  </si>
  <si>
    <t xml:space="preserve">270395</t>
  </si>
  <si>
    <t xml:space="preserve">Kolkata</t>
  </si>
  <si>
    <t xml:space="preserve">DEA-D-4001</t>
  </si>
  <si>
    <t xml:space="preserve">DIG-D-4005, DIG-D-4008, DIG-D-4009</t>
  </si>
  <si>
    <t xml:space="preserve">Leadership Connect</t>
  </si>
  <si>
    <t xml:space="preserve">AI Session;Review Cadence;</t>
  </si>
  <si>
    <t xml:space="preserve">Need AI/skill readiness;</t>
  </si>
  <si>
    <t xml:space="preserve">Publish budget guidelines;Identify hotspots;</t>
  </si>
  <si>
    <t xml:space="preserve">Delivery;HRBP;</t>
  </si>
  <si>
    <t xml:space="preserve">TR519093@techmahindra.com</t>
  </si>
  <si>
    <t xml:space="preserve">Turvi Raghavan</t>
  </si>
  <si>
    <t xml:space="preserve">519093</t>
  </si>
  <si>
    <t xml:space="preserve">DEA-D-2006</t>
  </si>
  <si>
    <t xml:space="preserve">DEA-D-4040</t>
  </si>
  <si>
    <t xml:space="preserve">New Joiner Connect - 60 days</t>
  </si>
  <si>
    <t xml:space="preserve">New Joiner Connect (30 Days)</t>
  </si>
  <si>
    <t xml:space="preserve">Role Expectation Clarity;Initial Engagement Level;</t>
  </si>
  <si>
    <t xml:space="preserve">Most of the associates are undergoing trainings as there are FCTP's;Delay or lack of clarity in project onboarding;</t>
  </si>
  <si>
    <t xml:space="preserve">Define timeline for project allocation (max  0 days);Ensure weekly  :  connect with manager;</t>
  </si>
  <si>
    <t xml:space="preserve">EB753425@techmahindra.com</t>
  </si>
  <si>
    <t xml:space="preserve">Ekta Bhalla</t>
  </si>
  <si>
    <t xml:space="preserve">753425</t>
  </si>
  <si>
    <t xml:space="preserve">Floor Connect</t>
  </si>
  <si>
    <t xml:space="preserve">DEA-D-4019</t>
  </si>
  <si>
    <t xml:space="preserve">Scotia</t>
  </si>
  <si>
    <t xml:space="preserve">Learning &amp; Skill Building;Grievance/speak-up Clarity;Inclusive Team Practices;</t>
  </si>
  <si>
    <t xml:space="preserve">Promote DEI initiatives;There werenot much queries;</t>
  </si>
  <si>
    <t xml:space="preserve">DR188914@techmahindra.com</t>
  </si>
  <si>
    <t xml:space="preserve">Diya Rattan</t>
  </si>
  <si>
    <t xml:space="preserve">188914</t>
  </si>
  <si>
    <t xml:space="preserve">DEA-D-2007</t>
  </si>
  <si>
    <t xml:space="preserve">Oracle HCM – UKG &amp; Workday</t>
  </si>
  <si>
    <t xml:space="preserve">HR / WFM / Training Communication Effectiveness;Business &amp; Practice Awareness;</t>
  </si>
  <si>
    <t xml:space="preserve">HR/WFM/Training updates not actionable;NA;</t>
  </si>
  <si>
    <t xml:space="preserve">Create consistent onboarding framework across practice;</t>
  </si>
  <si>
    <t xml:space="preserve">Bench guidelines are explained</t>
  </si>
  <si>
    <t xml:space="preserve">DK361303@techmahindra.com</t>
  </si>
  <si>
    <t xml:space="preserve">Divya Kala</t>
  </si>
  <si>
    <t xml:space="preserve">361303</t>
  </si>
  <si>
    <t xml:space="preserve">Practice Specific Connect (Across IBU)</t>
  </si>
  <si>
    <t xml:space="preserve">NWS-D-1001</t>
  </si>
  <si>
    <t xml:space="preserve">SAP HLS</t>
  </si>
  <si>
    <t xml:space="preserve">HR Connect (Project Wise)</t>
  </si>
  <si>
    <t xml:space="preserve">Timesheet Submission/approval Process Inconsistencies Create;Workload &amp; Work-Life Balance;Manager Support &amp; Local Leadership Effectiveness;</t>
  </si>
  <si>
    <t xml:space="preserve">Timesheet submission/approval process inconsistencies create compliance risk;</t>
  </si>
  <si>
    <t xml:space="preserve">Share project-specific policy FAQ (WFO, exceptions, leave, timesheet);Implement monthly recognition cadence (kudos, spotlight, customer praise);</t>
  </si>
  <si>
    <t xml:space="preserve">TD827659@techmahindra.com</t>
  </si>
  <si>
    <t xml:space="preserve">Tara Dhar</t>
  </si>
  <si>
    <t xml:space="preserve">827659</t>
  </si>
  <si>
    <t xml:space="preserve">NGS Service Line</t>
  </si>
  <si>
    <t xml:space="preserve">Suncorp Bank</t>
  </si>
  <si>
    <t xml:space="preserve">ELTP Connect (12-24m)</t>
  </si>
  <si>
    <t xml:space="preserve">Internal Mobility / Rotation Opportunities;Recognition &amp; Visibility of Growth;Career Progression &amp; Next-Level Readiness;</t>
  </si>
  <si>
    <t xml:space="preserve">Rotation/mobility interest is high but process and eligibility are unclear;na;</t>
  </si>
  <si>
    <t xml:space="preserve">Highlight ELTP success stories + learning milestones in leadership forums/townhalls;Run structured mobility/rotation sessions with examples and process FAQs;</t>
  </si>
  <si>
    <t xml:space="preserve">AS660069@techmahindra.com</t>
  </si>
  <si>
    <t xml:space="preserve">Adya Sangha</t>
  </si>
  <si>
    <t xml:space="preserve">Janaki Kanda</t>
  </si>
  <si>
    <t xml:space="preserve">660069</t>
  </si>
  <si>
    <t xml:space="preserve">Danapur</t>
  </si>
  <si>
    <t xml:space="preserve">Location connect with DEA team. AI session by Natesh.</t>
  </si>
  <si>
    <t xml:space="preserve">Project Allocation Clarity;Manager Connect Effectiveness;</t>
  </si>
  <si>
    <t xml:space="preserve">Difficulty in understanding tools/processes;Associates undergoing project training;</t>
  </si>
  <si>
    <t xml:space="preserve">Define timeline for project allocation (max  0 days);NA;</t>
  </si>
  <si>
    <t xml:space="preserve">Negative</t>
  </si>
  <si>
    <t xml:space="preserve">the associates had doubts related to the RTO guidelines and seat allocations</t>
  </si>
  <si>
    <t xml:space="preserve">ID232352@techmahindra.com</t>
  </si>
  <si>
    <t xml:space="preserve">Imaran Dua</t>
  </si>
  <si>
    <t xml:space="preserve">232352</t>
  </si>
  <si>
    <t xml:space="preserve">DIG Vertical</t>
  </si>
  <si>
    <t xml:space="preserve">MFG-D-4003</t>
  </si>
  <si>
    <t xml:space="preserve">Josh (Fun Engagements)</t>
  </si>
  <si>
    <t xml:space="preserve">General wellbeing check-in;Discussion on team dynamics;Clarity on expectations;</t>
  </si>
  <si>
    <t xml:space="preserve">Minor process related queries;No major concerns raised;</t>
  </si>
  <si>
    <t xml:space="preserve">No specific action required;</t>
  </si>
  <si>
    <t xml:space="preserve">Discussed general SL level updates and priorities.</t>
  </si>
  <si>
    <t xml:space="preserve">DR658623@techmahindra.com</t>
  </si>
  <si>
    <t xml:space="preserve">Devansh Rajan</t>
  </si>
  <si>
    <t xml:space="preserve">658623</t>
  </si>
  <si>
    <t xml:space="preserve">Kavali</t>
  </si>
  <si>
    <t xml:space="preserve">Network Services Service Line</t>
  </si>
  <si>
    <t xml:space="preserve">DIG-D-1001</t>
  </si>
  <si>
    <t xml:space="preserve">OPTUS</t>
  </si>
  <si>
    <t xml:space="preserve">New Joiner Connect (60 Days)</t>
  </si>
  <si>
    <t xml:space="preserve">Workload Management;</t>
  </si>
  <si>
    <t xml:space="preserve">Skill gaps becoming visible during execution;The associates had questions around WFH and leaves.;</t>
  </si>
  <si>
    <t xml:space="preserve">Mandate structured monthly feedback from manager;The associates had queries mainly related to WFH and leaves.;</t>
  </si>
  <si>
    <t xml:space="preserve">AC497399@techmahindra.com</t>
  </si>
  <si>
    <t xml:space="preserve">Advay Contractor</t>
  </si>
  <si>
    <t xml:space="preserve">497399</t>
  </si>
  <si>
    <t xml:space="preserve">DEA-D-40026</t>
  </si>
  <si>
    <t xml:space="preserve">SAP MEA</t>
  </si>
  <si>
    <t xml:space="preserve">Top Talent Connect</t>
  </si>
  <si>
    <t xml:space="preserve">Clarity on Org Changes &amp; Priorities;</t>
  </si>
  <si>
    <t xml:space="preserve">No hike/VP alignment with performance;</t>
  </si>
  <si>
    <t xml:space="preserve">Run quarterly nominations;</t>
  </si>
  <si>
    <t xml:space="preserve">HRBP;</t>
  </si>
  <si>
    <t xml:space="preserve">NS656711@techmahindra.com</t>
  </si>
  <si>
    <t xml:space="preserve">Nakul Setty</t>
  </si>
  <si>
    <t xml:space="preserve">656711</t>
  </si>
  <si>
    <t xml:space="preserve">Firozabad</t>
  </si>
  <si>
    <t xml:space="preserve">IFS</t>
  </si>
  <si>
    <t xml:space="preserve">Empathy And Communication;</t>
  </si>
  <si>
    <t xml:space="preserve">Inclusive team practices;Need flexible arrangements during caregiving;</t>
  </si>
  <si>
    <t xml:space="preserve">Leadership acknowledgment;There werenot much queries;</t>
  </si>
  <si>
    <t xml:space="preserve">YC889359@techmahindra.com</t>
  </si>
  <si>
    <t xml:space="preserve">Yashica Cherian</t>
  </si>
  <si>
    <t xml:space="preserve">889359</t>
  </si>
  <si>
    <t xml:space="preserve">Chennai</t>
  </si>
  <si>
    <t xml:space="preserve">CIS D 4001,4004,4025,4026</t>
  </si>
  <si>
    <t xml:space="preserve">Business &amp; Strategy Clarity;</t>
  </si>
  <si>
    <t xml:space="preserve">Associates are unsure how unit goals translate into day-to-day delivery expectations;associates seek practical relevance;</t>
  </si>
  <si>
    <t xml:space="preserve">Publish role-based learning paths (beginner/intermediate/advanced) with links;</t>
  </si>
  <si>
    <t xml:space="preserve">No Projects for New Joiners in Bench</t>
  </si>
  <si>
    <t xml:space="preserve">Discussed regarding MCares Dissemination, attrition and diversity. IBU Head was happy with progress made so far.</t>
  </si>
  <si>
    <t xml:space="preserve">YI696251@techmahindra.com</t>
  </si>
  <si>
    <t xml:space="preserve">Yashica Issac</t>
  </si>
  <si>
    <t xml:space="preserve">696251</t>
  </si>
  <si>
    <t xml:space="preserve">ELTP Connect (Practice Level)</t>
  </si>
  <si>
    <t xml:space="preserve">Engagement &amp; Motivation Across Stages;Career Clarity &amp; Growth Continuity;Allocation &amp; Deployment Transparency;</t>
  </si>
  <si>
    <t xml:space="preserve">Inconsistent visibility on allocation timelines and decision-making creates confusion across all ELTP groups;</t>
  </si>
  <si>
    <t xml:space="preserve">Work with work force management and delivery closely to ensure the ELTP associates are mapped to projects once their trainings are completed;Introduce ELTP engagement framework by stage: 0–6M → onboarding support, 6–M → performance alignment, –M → growth &amp; retention;</t>
  </si>
  <si>
    <t xml:space="preserve">AN378535@techmahindra.com</t>
  </si>
  <si>
    <t xml:space="preserve">Aadi Naik</t>
  </si>
  <si>
    <t xml:space="preserve">378535</t>
  </si>
  <si>
    <t xml:space="preserve">New Joiner Connect (90 Days)</t>
  </si>
  <si>
    <t xml:space="preserve">Career Path Visibility;</t>
  </si>
  <si>
    <t xml:space="preserve">seat allocation;Lack of awareness of internal opportunities;</t>
  </si>
  <si>
    <t xml:space="preserve">Align role expectations vs aspiration through discussion;shared CS SPOC details;</t>
  </si>
  <si>
    <t xml:space="preserve">aNA</t>
  </si>
  <si>
    <t xml:space="preserve">JM283700@techmahindra.com</t>
  </si>
  <si>
    <t xml:space="preserve">Janani Mohanty</t>
  </si>
  <si>
    <t xml:space="preserve">283700</t>
  </si>
  <si>
    <t xml:space="preserve">TMC-D-1001</t>
  </si>
  <si>
    <t xml:space="preserve">P</t>
  </si>
  <si>
    <t xml:space="preserve">DEA-D-4009</t>
  </si>
  <si>
    <t xml:space="preserve">For Role Rotation (PM/PGM/architect);Recognition Equity &amp; Visibility;</t>
  </si>
  <si>
    <t xml:space="preserve">Not happy with no hike;</t>
  </si>
  <si>
    <t xml:space="preserve">FC296694@techmahindra.com</t>
  </si>
  <si>
    <t xml:space="preserve">Farhan Chada</t>
  </si>
  <si>
    <t xml:space="preserve">296694</t>
  </si>
  <si>
    <t xml:space="preserve">DIG-D-4005</t>
  </si>
  <si>
    <t xml:space="preserve">Paragon</t>
  </si>
  <si>
    <t xml:space="preserve">slows improvement;</t>
  </si>
  <si>
    <t xml:space="preserve">Supervisor;</t>
  </si>
  <si>
    <t xml:space="preserve">Queries were related to AI being implemented in day-to-day projects practically to which leader had addressed that specific agents are identified at DEA level to work with and implement changes.</t>
  </si>
  <si>
    <t xml:space="preserve">JD386706@techmahindra.com</t>
  </si>
  <si>
    <t xml:space="preserve">Jeremiah Dave</t>
  </si>
  <si>
    <t xml:space="preserve">386706</t>
  </si>
  <si>
    <t xml:space="preserve">Induction</t>
  </si>
  <si>
    <t xml:space="preserve">NWS-D-4001</t>
  </si>
  <si>
    <t xml:space="preserve">Bench connect for the IBUs</t>
  </si>
  <si>
    <t xml:space="preserve">Team Integration;Queries related to BGV check;</t>
  </si>
  <si>
    <t xml:space="preserve">NA;The associates had queries mainly related to WFH and leaves.;</t>
  </si>
  <si>
    <t xml:space="preserve">AW831380@techmahindra.com</t>
  </si>
  <si>
    <t xml:space="preserve">Alka Wable</t>
  </si>
  <si>
    <t xml:space="preserve">831380</t>
  </si>
  <si>
    <t xml:space="preserve">Rajpur Sonarpur</t>
  </si>
  <si>
    <t xml:space="preserve">ZF Consultancy</t>
  </si>
  <si>
    <t xml:space="preserve">Career Support &amp; Sponsorship;Empathy And Communication;</t>
  </si>
  <si>
    <t xml:space="preserve">Upskilling for future roles;Female assocaites in Haleon office are quite happy with the setup;</t>
  </si>
  <si>
    <t xml:space="preserve">Leadership acknowledgment;Reinforce speak-up channels;</t>
  </si>
  <si>
    <t xml:space="preserve">DR781403@techmahindra.com</t>
  </si>
  <si>
    <t xml:space="preserve">Devika Rastogi</t>
  </si>
  <si>
    <t xml:space="preserve">Raksha Varughese</t>
  </si>
  <si>
    <t xml:space="preserve">781403</t>
  </si>
  <si>
    <t xml:space="preserve">ServiceNow Practice</t>
  </si>
  <si>
    <t xml:space="preserve">Career Support &amp; Sponsorship;Inclusive Team Practices;Work-Life Balance &amp; Flexibility;</t>
  </si>
  <si>
    <t xml:space="preserve">Need empathy and communication;</t>
  </si>
  <si>
    <t xml:space="preserve">Reinforce speak-up channels;</t>
  </si>
  <si>
    <t xml:space="preserve">None</t>
  </si>
  <si>
    <t xml:space="preserve">UB278240@techmahindra.com</t>
  </si>
  <si>
    <t xml:space="preserve">Umang Bhatt</t>
  </si>
  <si>
    <t xml:space="preserve">278240</t>
  </si>
  <si>
    <t xml:space="preserve">Jaipur</t>
  </si>
  <si>
    <t xml:space="preserve">DEA-D-2005</t>
  </si>
  <si>
    <t xml:space="preserve">Adani</t>
  </si>
  <si>
    <t xml:space="preserve">Review of ongoing concerns;Feedback on recent processes;</t>
  </si>
  <si>
    <t xml:space="preserve">Minor process related queries;</t>
  </si>
  <si>
    <t xml:space="preserve">No specific action required;Monitor and follow up in next cycle;</t>
  </si>
  <si>
    <t xml:space="preserve">TA410244@techmahindra.com</t>
  </si>
  <si>
    <t xml:space="preserve">Thomas Amble</t>
  </si>
  <si>
    <t xml:space="preserve">410244</t>
  </si>
  <si>
    <t xml:space="preserve">SAP Retail</t>
  </si>
  <si>
    <t xml:space="preserve">IFS SELL TO</t>
  </si>
  <si>
    <t xml:space="preserve">Distributed TMC specific Swag Kit</t>
  </si>
  <si>
    <t xml:space="preserve">Exclusive Award Ceremony</t>
  </si>
  <si>
    <t xml:space="preserve">VB423939@techmahindra.com</t>
  </si>
  <si>
    <t xml:space="preserve">Veer Bir</t>
  </si>
  <si>
    <t xml:space="preserve">423939</t>
  </si>
  <si>
    <t xml:space="preserve">Bathinda</t>
  </si>
  <si>
    <t xml:space="preserve">MFG-N-4007</t>
  </si>
  <si>
    <t xml:space="preserve">Skip Meeting</t>
  </si>
  <si>
    <t xml:space="preserve">Timely Policy/process Updates;Manager Effectiveness &amp; Delegation;Communication &amp; Transparency;</t>
  </si>
  <si>
    <t xml:space="preserve">Need timely policy/process updates;Need clarity on growth opportunities;</t>
  </si>
  <si>
    <t xml:space="preserve">Set comms cadence;Standardize messaging;</t>
  </si>
  <si>
    <t xml:space="preserve">tracker</t>
  </si>
  <si>
    <t xml:space="preserve">AS377304@techmahindra.com</t>
  </si>
  <si>
    <t xml:space="preserve">Arya Sunder</t>
  </si>
  <si>
    <t xml:space="preserve">377304</t>
  </si>
  <si>
    <t xml:space="preserve">Panvel</t>
  </si>
  <si>
    <t xml:space="preserve">ELTP Connect (&lt;6m)</t>
  </si>
  <si>
    <t xml:space="preserve">Share update with relevant stakeholder;NA;</t>
  </si>
  <si>
    <t xml:space="preserve">XS830316@techmahindra.com</t>
  </si>
  <si>
    <t xml:space="preserve">Xavier Solanki</t>
  </si>
  <si>
    <t xml:space="preserve">830316</t>
  </si>
  <si>
    <t xml:space="preserve">Bhubaneswar</t>
  </si>
  <si>
    <t xml:space="preserve">Internal Growth Opportunities;</t>
  </si>
  <si>
    <t xml:space="preserve">seat allocation;</t>
  </si>
  <si>
    <t xml:space="preserve">Share internal job/cross-skill opportunities;Align role expectations vs aspiration through discussion;</t>
  </si>
  <si>
    <t xml:space="preserve">GC449709@techmahindra.com</t>
  </si>
  <si>
    <t xml:space="preserve">Girindra Chatterjee</t>
  </si>
  <si>
    <t xml:space="preserve">449709</t>
  </si>
  <si>
    <t xml:space="preserve">SAP Sell To</t>
  </si>
  <si>
    <t xml:space="preserve">Career Progression &amp; Next-Level Readiness;</t>
  </si>
  <si>
    <t xml:space="preserve">ELTPs want clarity on progression timelines and competencies for the next band/role;na;</t>
  </si>
  <si>
    <t xml:space="preserve">Highlight ELTP success stories + learning milestones in leadership forums/townhalls;</t>
  </si>
  <si>
    <t xml:space="preserve">PR570050@techmahindra.com</t>
  </si>
  <si>
    <t xml:space="preserve">Pallavi Roy</t>
  </si>
  <si>
    <t xml:space="preserve">570050</t>
  </si>
  <si>
    <t xml:space="preserve">Meerut</t>
  </si>
  <si>
    <t xml:space="preserve">DEA-D-4008</t>
  </si>
  <si>
    <t xml:space="preserve">Leadership Communication &amp; Q&amp;A Effectiveness;</t>
  </si>
  <si>
    <t xml:space="preserve">Org/structural updates are heard but not fully understood (what changes for me?);Need clearer articulation of business direction and priorities for the quarter;</t>
  </si>
  <si>
    <t xml:space="preserve">Open house connect for offshore</t>
  </si>
  <si>
    <t xml:space="preserve">DR499407@techmahindra.com</t>
  </si>
  <si>
    <t xml:space="preserve">Darsh Rau</t>
  </si>
  <si>
    <t xml:space="preserve">499407</t>
  </si>
  <si>
    <t xml:space="preserve">NGS-D-4018</t>
  </si>
  <si>
    <t xml:space="preserve">HR / WFM / Training Communication Effectiveness;Engagement with Leadership &amp; Confidence Level;</t>
  </si>
  <si>
    <t xml:space="preserve">Associates unclear how their role contributes to business;Associates lack clarity on practice goals and IBU priorities;</t>
  </si>
  <si>
    <t xml:space="preserve">Checked the action plan for pending allocation of new joiners and highlighted to IBU head and it was closed;TLS SPOC had cleared all the queries w.r.t learning;</t>
  </si>
  <si>
    <t xml:space="preserve">YH530764@techmahindra.com</t>
  </si>
  <si>
    <t xml:space="preserve">Yuvraj Handa</t>
  </si>
  <si>
    <t xml:space="preserve">530764</t>
  </si>
  <si>
    <t xml:space="preserve">DIG-D-4002, 4003, 4007,4009</t>
  </si>
  <si>
    <t xml:space="preserve">DEA-D-4023</t>
  </si>
  <si>
    <t xml:space="preserve">Manager Effectiveness &amp; Delegation;Communication &amp; Transparency;Learning/cert Support Requests;</t>
  </si>
  <si>
    <t xml:space="preserve">Need timely policy/process updates;</t>
  </si>
  <si>
    <t xml:space="preserve">Team recognition cadence;</t>
  </si>
  <si>
    <t xml:space="preserve">WFM;</t>
  </si>
  <si>
    <t xml:space="preserve">LS789275@techmahindra.com</t>
  </si>
  <si>
    <t xml:space="preserve">Logan Sami</t>
  </si>
  <si>
    <t xml:space="preserve">789275</t>
  </si>
  <si>
    <t xml:space="preserve">Alwar</t>
  </si>
  <si>
    <t xml:space="preserve">DEA-D-4015</t>
  </si>
  <si>
    <t xml:space="preserve">20 Years Long service anniversary celebration of Dharmateja Chava - 243623 at HYD location</t>
  </si>
  <si>
    <t xml:space="preserve">LSA Connect</t>
  </si>
  <si>
    <t xml:space="preserve">SC219346@techmahindra.com</t>
  </si>
  <si>
    <t xml:space="preserve">Saanvi Chaudhari</t>
  </si>
  <si>
    <t xml:space="preserve">219346</t>
  </si>
  <si>
    <t xml:space="preserve">DEA -D-4020</t>
  </si>
  <si>
    <t xml:space="preserve">IFS project [bench guidelines policy, WFO GUIDLINES    ]</t>
  </si>
  <si>
    <t xml:space="preserve">Grievance/speak-up Clarity;Work-Life Balance &amp; Flexibility;</t>
  </si>
  <si>
    <t xml:space="preserve">Female assocaites in Haleon office are quite happy with the setup;</t>
  </si>
  <si>
    <t xml:space="preserve">There werenot much queries;Leadership acknowledgment;</t>
  </si>
  <si>
    <t xml:space="preserve">GK181644@techmahindra.com</t>
  </si>
  <si>
    <t xml:space="preserve">Girik Khalsa</t>
  </si>
  <si>
    <t xml:space="preserve">181644</t>
  </si>
  <si>
    <t xml:space="preserve">DEA-N-4011</t>
  </si>
  <si>
    <t xml:space="preserve">Recognition &amp; Motivation;</t>
  </si>
  <si>
    <t xml:space="preserve">Need clarity on growth opportunities;</t>
  </si>
  <si>
    <t xml:space="preserve">Team recognition cadence;Standardize messaging;</t>
  </si>
  <si>
    <t xml:space="preserve">VK466346@techmahindra.com</t>
  </si>
  <si>
    <t xml:space="preserve">Vasana Kala</t>
  </si>
  <si>
    <t xml:space="preserve">466346</t>
  </si>
  <si>
    <t xml:space="preserve">Allahabad</t>
  </si>
  <si>
    <t xml:space="preserve">ELTP Connect</t>
  </si>
  <si>
    <t xml:space="preserve">Review of ongoing concerns;Clarity on expectations;</t>
  </si>
  <si>
    <t xml:space="preserve">Associates are settling in well;No major concerns raised;</t>
  </si>
  <si>
    <t xml:space="preserve">NA;Share update with relevant stakeholder;</t>
  </si>
  <si>
    <t xml:space="preserve">ML775981@techmahindra.com</t>
  </si>
  <si>
    <t xml:space="preserve">Madhavi Lanka</t>
  </si>
  <si>
    <t xml:space="preserve">775981</t>
  </si>
  <si>
    <t xml:space="preserve">AI/future Readiness Messaging Is High-level;Career Visibility &amp; Skill Roadmap;</t>
  </si>
  <si>
    <t xml:space="preserve">Associates seek clarity on role progression and career paths within the unit;</t>
  </si>
  <si>
    <t xml:space="preserve">Add ‘Wall of Fame’ segment: delivery wins, customer shoutouts, milestone highlights;</t>
  </si>
  <si>
    <t xml:space="preserve">BS927564@techmahindra.com</t>
  </si>
  <si>
    <t xml:space="preserve">Bhavika Sampath</t>
  </si>
  <si>
    <t xml:space="preserve">927564</t>
  </si>
  <si>
    <t xml:space="preserve">Policy &amp; Process Clarity;Strategic Connect;</t>
  </si>
  <si>
    <t xml:space="preserve">Seat availability and office logistics impact productivity;</t>
  </si>
  <si>
    <t xml:space="preserve">Coach managers on feedback, delegation, and communication;</t>
  </si>
  <si>
    <t xml:space="preserve">MG479404@techmahindra.com</t>
  </si>
  <si>
    <t xml:space="preserve">Mohammed Gupta</t>
  </si>
  <si>
    <t xml:space="preserve">Teerth Bhardwaj</t>
  </si>
  <si>
    <t xml:space="preserve">479404</t>
  </si>
  <si>
    <t xml:space="preserve">NGS-D-4038</t>
  </si>
  <si>
    <t xml:space="preserve">WSS</t>
  </si>
  <si>
    <t xml:space="preserve">Recognition &amp; Visibility of Growth;Career Progression &amp; Next-Level Readiness;Internal Mobility / Rotation Opportunities;</t>
  </si>
  <si>
    <t xml:space="preserve">na;</t>
  </si>
  <si>
    <t xml:space="preserve">Improve Hybrid compliance, IBU heads need to validate the data and share action plan</t>
  </si>
  <si>
    <t xml:space="preserve">DB398768@techmahindra.com</t>
  </si>
  <si>
    <t xml:space="preserve">Dipta Bhandari</t>
  </si>
  <si>
    <t xml:space="preserve">398768</t>
  </si>
  <si>
    <t xml:space="preserve">Engg Services Service Line</t>
  </si>
  <si>
    <t xml:space="preserve">USA TTLH</t>
  </si>
  <si>
    <t xml:space="preserve">Team Integration;Role Confidence Level;Feedback Mechanism;</t>
  </si>
  <si>
    <t xml:space="preserve">Skill gaps becoming visible during execution;</t>
  </si>
  <si>
    <t xml:space="preserve">Include in team rituals (scrum, meetings, discussions);</t>
  </si>
  <si>
    <t xml:space="preserve">YW638289@techmahindra.com</t>
  </si>
  <si>
    <t xml:space="preserve">Yadavi Wali</t>
  </si>
  <si>
    <t xml:space="preserve">Dakshesh Trivedi</t>
  </si>
  <si>
    <t xml:space="preserve">638289</t>
  </si>
  <si>
    <t xml:space="preserve">Cadence with IBU Head.</t>
  </si>
  <si>
    <t xml:space="preserve">Capture workload hotspots and review with delivery leads for rebalancing;</t>
  </si>
  <si>
    <t xml:space="preserve">Queries with regards with access card were raised.</t>
  </si>
  <si>
    <t xml:space="preserve">EB862560@techmahindra.com</t>
  </si>
  <si>
    <t xml:space="preserve">Ekapad Bir</t>
  </si>
  <si>
    <t xml:space="preserve">862560</t>
  </si>
  <si>
    <t xml:space="preserve">CIS-D-4007</t>
  </si>
  <si>
    <t xml:space="preserve">Paragon Project</t>
  </si>
  <si>
    <t xml:space="preserve">Recognition Visibility;Work-Life &amp; Sustainability Signals;Business &amp; Strategy Clarity;</t>
  </si>
  <si>
    <t xml:space="preserve">Add a ‘What changes for teams’ section with 3–5 concrete takeaways;Publish role-based learning paths (beginner/intermediate/advanced) with links;</t>
  </si>
  <si>
    <t xml:space="preserve">ND121322@techmahindra.com</t>
  </si>
  <si>
    <t xml:space="preserve">Netra Dar</t>
  </si>
  <si>
    <t xml:space="preserve">121322</t>
  </si>
  <si>
    <t xml:space="preserve">IBU Head liked the concept of Cadence and appreciated the efforts we are putting into publishing this data. He also wanted to work on retention strategies and diversity going forward.</t>
  </si>
  <si>
    <t xml:space="preserve">BB850827@techmahindra.com</t>
  </si>
  <si>
    <t xml:space="preserve">Balveer Bumb</t>
  </si>
  <si>
    <t xml:space="preserve">850827</t>
  </si>
  <si>
    <t xml:space="preserve">Comms Vertical</t>
  </si>
  <si>
    <t xml:space="preserve">DEA-D-4028</t>
  </si>
  <si>
    <t xml:space="preserve">On Hybrid/WFO Rules And Monthly Compliance Expectations;Queries On Performance Cycle Steps And Deadlines;</t>
  </si>
  <si>
    <t xml:space="preserve">Need simplified updates on policy changes and timelines;</t>
  </si>
  <si>
    <t xml:space="preserve">Feedback to be shared with IBU head;NA;</t>
  </si>
  <si>
    <t xml:space="preserve">AJ940064@techmahindra.com</t>
  </si>
  <si>
    <t xml:space="preserve">Advika Jayaraman</t>
  </si>
  <si>
    <t xml:space="preserve">William Lanka</t>
  </si>
  <si>
    <t xml:space="preserve">940064</t>
  </si>
  <si>
    <t xml:space="preserve">SAP Sell To - Non PS</t>
  </si>
  <si>
    <t xml:space="preserve">Timesheet Submission/approval Process Inconsistencies Create;Recognition &amp; Engagement within Project;On Leave/comp-off Due To Client Calendar Mismatches;</t>
  </si>
  <si>
    <t xml:space="preserve">associates want clear routes;</t>
  </si>
  <si>
    <t xml:space="preserve">NA;Define issue escalation ladder and response SLAs;</t>
  </si>
  <si>
    <t xml:space="preserve">CS;</t>
  </si>
  <si>
    <t xml:space="preserve">TM249715@techmahindra.com</t>
  </si>
  <si>
    <t xml:space="preserve">Tanvi Mutti</t>
  </si>
  <si>
    <t xml:space="preserve">249715</t>
  </si>
  <si>
    <t xml:space="preserve">DIG-D-4003</t>
  </si>
  <si>
    <t xml:space="preserve">New Joiners Connect - 60 Days</t>
  </si>
  <si>
    <t xml:space="preserve">Communication &amp; Transparency;Learning/cert Support Requests;</t>
  </si>
  <si>
    <t xml:space="preserve">Set comms cadence;Team recognition cadence;</t>
  </si>
  <si>
    <t xml:space="preserve">AS615060@techmahindra.com</t>
  </si>
  <si>
    <t xml:space="preserve">Aditya Shanker</t>
  </si>
  <si>
    <t xml:space="preserve">615060</t>
  </si>
  <si>
    <t xml:space="preserve">Discussion on team dynamics;Review of ongoing concerns;General wellbeing check-in;</t>
  </si>
  <si>
    <t xml:space="preserve">Associates are settling in well;</t>
  </si>
  <si>
    <t xml:space="preserve">EY168941@techmahindra.com</t>
  </si>
  <si>
    <t xml:space="preserve">Ethan Yogi</t>
  </si>
  <si>
    <t xml:space="preserve">168941</t>
  </si>
  <si>
    <t xml:space="preserve">Rating Calibration Call</t>
  </si>
  <si>
    <t xml:space="preserve">Review of ongoing concerns;Feedback on recent processes;General wellbeing check-in;</t>
  </si>
  <si>
    <t xml:space="preserve">Positive feedback overall;NA;</t>
  </si>
  <si>
    <t xml:space="preserve">KP677599@techmahindra.com</t>
  </si>
  <si>
    <t xml:space="preserve">Kevin Palla</t>
  </si>
  <si>
    <t xml:space="preserve">677599</t>
  </si>
  <si>
    <t xml:space="preserve">DEA-D-4011</t>
  </si>
  <si>
    <t xml:space="preserve">SAP Manufacturing</t>
  </si>
  <si>
    <t xml:space="preserve">Team will start having SAP Syniti related training shortly</t>
  </si>
  <si>
    <t xml:space="preserve">KM575575@techmahindra.com</t>
  </si>
  <si>
    <t xml:space="preserve">Kala Mane</t>
  </si>
  <si>
    <t xml:space="preserve">Raksha Mittal</t>
  </si>
  <si>
    <t xml:space="preserve">575575</t>
  </si>
  <si>
    <t xml:space="preserve">Review of ongoing concerns;General wellbeing check-in;</t>
  </si>
  <si>
    <t xml:space="preserve">Monitor and follow up in next cycle;</t>
  </si>
  <si>
    <t xml:space="preserve">DEA-D-4011, Suresh Boddu</t>
  </si>
  <si>
    <t xml:space="preserve">CC427905@techmahindra.com</t>
  </si>
  <si>
    <t xml:space="preserve">Chandani Chawla</t>
  </si>
  <si>
    <t xml:space="preserve">427905</t>
  </si>
  <si>
    <t xml:space="preserve">Ford</t>
  </si>
  <si>
    <t xml:space="preserve">Career Visibility &amp; Skill Roadmap;</t>
  </si>
  <si>
    <t xml:space="preserve">associates seek practical relevance;Associates seek clarity on role progression and career paths within the unit;</t>
  </si>
  <si>
    <t xml:space="preserve">Share a 1-page business snapshot (targets, priorities, key wins) post townhall;</t>
  </si>
  <si>
    <t xml:space="preserve">AD177103@techmahindra.com</t>
  </si>
  <si>
    <t xml:space="preserve">Aishani D’Alia</t>
  </si>
  <si>
    <t xml:space="preserve">177103</t>
  </si>
  <si>
    <t xml:space="preserve">Learning &amp; Skill Building;</t>
  </si>
  <si>
    <t xml:space="preserve">Need equitable recognition;Female assocaites in Haleon office are quite happy with the setup;</t>
  </si>
  <si>
    <t xml:space="preserve">Leadership acknowledgment;</t>
  </si>
  <si>
    <t xml:space="preserve">AM875232@techmahindra.com</t>
  </si>
  <si>
    <t xml:space="preserve">Anita Manda</t>
  </si>
  <si>
    <t xml:space="preserve">875232</t>
  </si>
  <si>
    <t xml:space="preserve">SAP PS- Connect with P&amp;I team</t>
  </si>
  <si>
    <t xml:space="preserve">Leadership Communication &amp; Q&amp;A Effectiveness;Career Visibility &amp; Skill Roadmap;Business &amp; Strategy Clarity;</t>
  </si>
  <si>
    <t xml:space="preserve">associates seek practical relevance;</t>
  </si>
  <si>
    <t xml:space="preserve">Had a walkthrough of the DEA line and provided an overview of the following:
RTO (Return to Office) guidelines
Timesheet process
Training structure
Medical insurance details</t>
  </si>
  <si>
    <t xml:space="preserve">SL428930@techmahindra.com</t>
  </si>
  <si>
    <t xml:space="preserve">Samar Lalla</t>
  </si>
  <si>
    <t xml:space="preserve">428930</t>
  </si>
  <si>
    <t xml:space="preserve">PEGA</t>
  </si>
  <si>
    <t xml:space="preserve">Project Allocation Clarity;</t>
  </si>
  <si>
    <t xml:space="preserve">Most of the associates are undergoing trainings as there are FCTP's;Difficulty in understanding tools/processes;</t>
  </si>
  <si>
    <t xml:space="preserve">NA;Ensure weekly  :  connect with manager;</t>
  </si>
  <si>
    <t xml:space="preserve">CC603110@techmahindra.com</t>
  </si>
  <si>
    <t xml:space="preserve">Charan Chanda</t>
  </si>
  <si>
    <t xml:space="preserve">603110</t>
  </si>
  <si>
    <t xml:space="preserve">DEA-D-4006</t>
  </si>
  <si>
    <t xml:space="preserve">Systra</t>
  </si>
  <si>
    <t xml:space="preserve">Career Clarity &amp; Growth Continuity;Engagement &amp; Motivation Across Stages;Allocation &amp; Deployment Transparency;</t>
  </si>
  <si>
    <t xml:space="preserve">Variation in how learning is translating into actual delivery readiness across different ELTP stages (early-stage ready, mid-stage struggling, late-stage stagnation);</t>
  </si>
  <si>
    <t xml:space="preserve">CA205428@techmahindra.com</t>
  </si>
  <si>
    <t xml:space="preserve">Chaitanya Aggarwal</t>
  </si>
  <si>
    <t xml:space="preserve">205428</t>
  </si>
  <si>
    <t xml:space="preserve">Visibility on Allocation &amp; Demand;Business &amp; Practice Awareness;Engagement with Leadership &amp; Confidence Level;</t>
  </si>
  <si>
    <t xml:space="preserve">Associates lack clarity on practice goals and IBU priorities;</t>
  </si>
  <si>
    <t xml:space="preserve">Create consistent onboarding framework across practice;Checked the action plan for pending allocation of new joiners and highlighted to IBU head and it was closed;</t>
  </si>
  <si>
    <t xml:space="preserve">AE451317@techmahindra.com</t>
  </si>
  <si>
    <t xml:space="preserve">Adweta Edwin</t>
  </si>
  <si>
    <t xml:space="preserve">451317</t>
  </si>
  <si>
    <t xml:space="preserve">Salesforce Comms</t>
  </si>
  <si>
    <t xml:space="preserve">Recognition &amp; Engagement within Project;</t>
  </si>
  <si>
    <t xml:space="preserve">Seat availability and office logistics impact productivity;Timesheet submission/approval process inconsistencies create compliance risk;</t>
  </si>
  <si>
    <t xml:space="preserve">All the queries were resolved in the session;</t>
  </si>
  <si>
    <t xml:space="preserve">AC107161@techmahindra.com</t>
  </si>
  <si>
    <t xml:space="preserve">Aditya Choudhury</t>
  </si>
  <si>
    <t xml:space="preserve">107161</t>
  </si>
  <si>
    <t xml:space="preserve">Oracle HCM ¿ UKG &amp; Workday</t>
  </si>
  <si>
    <t xml:space="preserve">Team Integration;Queries related to BGV check;BGV queries;</t>
  </si>
  <si>
    <t xml:space="preserve">NA;Skill gaps becoming visible during execution;</t>
  </si>
  <si>
    <t xml:space="preserve">Explained the complete process to associates;</t>
  </si>
  <si>
    <t xml:space="preserve">BP359486@techmahindra.com</t>
  </si>
  <si>
    <t xml:space="preserve">Balendra Pingle</t>
  </si>
  <si>
    <t xml:space="preserve">359486</t>
  </si>
  <si>
    <t xml:space="preserve">Feedback on recent processes;</t>
  </si>
  <si>
    <t xml:space="preserve">Positive feedback overall;Minor process related queries;</t>
  </si>
  <si>
    <t xml:space="preserve">Continue regular check-ins;</t>
  </si>
  <si>
    <t xml:space="preserve">Queries related to compensation.</t>
  </si>
  <si>
    <t xml:space="preserve">QD805448@techmahindra.com</t>
  </si>
  <si>
    <t xml:space="preserve">Qushi Datta</t>
  </si>
  <si>
    <t xml:space="preserve">805448</t>
  </si>
  <si>
    <t xml:space="preserve">CIS D 4001,4004,4021,4025,4026</t>
  </si>
  <si>
    <t xml:space="preserve">Wellness Session</t>
  </si>
  <si>
    <t xml:space="preserve">Stress &amp; Burnout Management;</t>
  </si>
  <si>
    <t xml:space="preserve">Low awareness;Flexibility alignment;</t>
  </si>
  <si>
    <t xml:space="preserve">Workshops;Wellbeing check-ins;</t>
  </si>
  <si>
    <t xml:space="preserve">BP512151@techmahindra.com</t>
  </si>
  <si>
    <t xml:space="preserve">Balveer Parmar</t>
  </si>
  <si>
    <t xml:space="preserve">512151</t>
  </si>
  <si>
    <t xml:space="preserve">DEA-D-4013</t>
  </si>
  <si>
    <t xml:space="preserve">HR / WFM / Training Communication Effectiveness;</t>
  </si>
  <si>
    <t xml:space="preserve">Checked the action plan for pending allocation of new joiners and highlighted to IBU head and it was closed;</t>
  </si>
  <si>
    <t xml:space="preserve">HP159185@techmahindra.com</t>
  </si>
  <si>
    <t xml:space="preserve">Harshil Pandya</t>
  </si>
  <si>
    <t xml:space="preserve">Mohammed Khalsa</t>
  </si>
  <si>
    <t xml:space="preserve">159185</t>
  </si>
  <si>
    <t xml:space="preserve">NS MT Intern connect with Ahmed Bilal</t>
  </si>
  <si>
    <t xml:space="preserve">Recognition Visibility;Business &amp; Strategy Clarity;Leadership Communication &amp; Q&amp;A Effectiveness;</t>
  </si>
  <si>
    <t xml:space="preserve">AI/future readiness messaging is high-level;Associates seek clarity on role progression and career paths within the unit;</t>
  </si>
  <si>
    <t xml:space="preserve">Share a 1-page business snapshot (targets, priorities, key wins) post townhall;Publish role-based learning paths (beginner/intermediate/advanced) with links;</t>
  </si>
  <si>
    <t xml:space="preserve">NB585517@techmahindra.com</t>
  </si>
  <si>
    <t xml:space="preserve">Nitara Bakshi</t>
  </si>
  <si>
    <t xml:space="preserve">585517</t>
  </si>
  <si>
    <t xml:space="preserve">slows improvement;Feedback is irregular or not tied to a rubric;</t>
  </si>
  <si>
    <t xml:space="preserve">NK877493@techmahindra.com</t>
  </si>
  <si>
    <t xml:space="preserve">Nisha Kothari</t>
  </si>
  <si>
    <t xml:space="preserve">Nathaniel Chokshi</t>
  </si>
  <si>
    <t xml:space="preserve">877493</t>
  </si>
  <si>
    <t xml:space="preserve">Location-Mixed</t>
  </si>
  <si>
    <t xml:space="preserve">Salesforce Practice</t>
  </si>
  <si>
    <t xml:space="preserve">New Joiner Connect (7 Days)</t>
  </si>
  <si>
    <t xml:space="preserve">Tool &amp; System Access;Initial Organization Understanding;</t>
  </si>
  <si>
    <t xml:space="preserve">Delays in access to systems/tools required for work;New joiners feel overwhelmed or unclear post induction;</t>
  </si>
  <si>
    <t xml:space="preserve">Hybrid working policy was explained in detail;Implement Day-1 access checklist tracking (IT + Admin);</t>
  </si>
  <si>
    <t xml:space="preserve">UK445888@techmahindra.com</t>
  </si>
  <si>
    <t xml:space="preserve">Upma Kapadia</t>
  </si>
  <si>
    <t xml:space="preserve">445888</t>
  </si>
  <si>
    <t xml:space="preserve">Learning Curve Support;</t>
  </si>
  <si>
    <t xml:space="preserve">Delay or lack of clarity in project onboarding;Associates undergoing project training;</t>
  </si>
  <si>
    <t xml:space="preserve">Define timeline for project allocation (max  0 days);</t>
  </si>
  <si>
    <t xml:space="preserve">Queries on timesheet/attendance compliance during bench</t>
  </si>
  <si>
    <t xml:space="preserve">IM491329@techmahindra.com</t>
  </si>
  <si>
    <t xml:space="preserve">Inaya Mody</t>
  </si>
  <si>
    <t xml:space="preserve">Udant Bajwa</t>
  </si>
  <si>
    <t xml:space="preserve">491329</t>
  </si>
  <si>
    <t xml:space="preserve">Tool &amp; System Access;</t>
  </si>
  <si>
    <t xml:space="preserve">Limited clarity on policies (leave, WFO, reporting);Delays in access to systems/tools required for work;</t>
  </si>
  <si>
    <t xml:space="preserve">Share org structure + “who does what” quick guide;</t>
  </si>
  <si>
    <t xml:space="preserve">FM336828@techmahindra.com</t>
  </si>
  <si>
    <t xml:space="preserve">Falguni Mallick</t>
  </si>
  <si>
    <t xml:space="preserve">336828</t>
  </si>
  <si>
    <t xml:space="preserve">All SAP IBU's</t>
  </si>
  <si>
    <t xml:space="preserve">Internal Growth Opportunities;Long-Term Role Alignment;</t>
  </si>
  <si>
    <t xml:space="preserve">Improve team engagement (inclusion, recognition);</t>
  </si>
  <si>
    <t xml:space="preserve">IU134500@techmahindra.com</t>
  </si>
  <si>
    <t xml:space="preserve">Indali Upadhyay</t>
  </si>
  <si>
    <t xml:space="preserve">134500</t>
  </si>
  <si>
    <t xml:space="preserve">Jorhat</t>
  </si>
  <si>
    <t xml:space="preserve">Monthly Cadence DEA-D-4011</t>
  </si>
  <si>
    <t xml:space="preserve">Clarity on expectations;Feedback on recent processes;</t>
  </si>
  <si>
    <t xml:space="preserve">Positive feedback overall;</t>
  </si>
  <si>
    <t xml:space="preserve">NA;No specific action required;</t>
  </si>
  <si>
    <t xml:space="preserve">JL614435@techmahindra.com</t>
  </si>
  <si>
    <t xml:space="preserve">Jack Lal</t>
  </si>
  <si>
    <t xml:space="preserve">614435</t>
  </si>
  <si>
    <t xml:space="preserve">Workshop/Session</t>
  </si>
  <si>
    <t xml:space="preserve">Workload Management;Feedback Mechanism;Role Confidence Level;</t>
  </si>
  <si>
    <t xml:space="preserve">NA;BGV;</t>
  </si>
  <si>
    <t xml:space="preserve">BGV;</t>
  </si>
  <si>
    <t xml:space="preserve">BC193972@techmahindra.com</t>
  </si>
  <si>
    <t xml:space="preserve">Balvan Chopra</t>
  </si>
  <si>
    <t xml:space="preserve">193972</t>
  </si>
  <si>
    <t xml:space="preserve">DEA-D-4030</t>
  </si>
  <si>
    <t xml:space="preserve">Haleon</t>
  </si>
  <si>
    <t xml:space="preserve">Strategic Connect;Manager Support &amp; Local Leadership Effectiveness;Infrastructure / Workplace Enablement;</t>
  </si>
  <si>
    <t xml:space="preserve">Generic discussion about the account with the leads;associates want clear routes;</t>
  </si>
  <si>
    <t xml:space="preserve">All the queries were resolved in the session;All the queries were resolved in the ODC COnnect;</t>
  </si>
  <si>
    <t xml:space="preserve">DS212168@techmahindra.com</t>
  </si>
  <si>
    <t xml:space="preserve">Dipta Sarin</t>
  </si>
  <si>
    <t xml:space="preserve">Lekha Gupta</t>
  </si>
  <si>
    <t xml:space="preserve">212168</t>
  </si>
  <si>
    <t xml:space="preserve">DIG USA Minus TTLH</t>
  </si>
  <si>
    <t xml:space="preserve">Monthly Cadence IBU Head coverage on HC, Attrition, eltp and Bench;Connect for recognition;</t>
  </si>
  <si>
    <t xml:space="preserve">Need simplified updates on policy changes and timelines;Need guidance on leave, travel, and exception approvals;</t>
  </si>
  <si>
    <t xml:space="preserve">Send monthly HR bulletin with key updates and links;It was a general discussion with the IBU Head on the pulse at ground level;</t>
  </si>
  <si>
    <t xml:space="preserve">QUERIES ON Travel post allocation</t>
  </si>
  <si>
    <t xml:space="preserve">AV128223@techmahindra.com</t>
  </si>
  <si>
    <t xml:space="preserve">Aarav Venkatesh</t>
  </si>
  <si>
    <t xml:space="preserve">128223</t>
  </si>
  <si>
    <t xml:space="preserve">DEA-D-3027</t>
  </si>
  <si>
    <t xml:space="preserve">Salesforce practice</t>
  </si>
  <si>
    <t xml:space="preserve">BGV queries;Role Confidence Level;</t>
  </si>
  <si>
    <t xml:space="preserve">Skill gaps becoming visible during execution;Not fully integrated with team collaboration channels;</t>
  </si>
  <si>
    <t xml:space="preserve">JS778428@techmahindra.com</t>
  </si>
  <si>
    <t xml:space="preserve">Januja Sankar</t>
  </si>
  <si>
    <t xml:space="preserve">778428</t>
  </si>
  <si>
    <t xml:space="preserve">Monthly Cadence</t>
  </si>
  <si>
    <t xml:space="preserve">On Hybrid/WFO Rules And Monthly Compliance Expectations;Guidance On Leave, Travel, And Exception Approvals;</t>
  </si>
  <si>
    <t xml:space="preserve">na;NA;</t>
  </si>
  <si>
    <t xml:space="preserve">Connect for recognition;No Action;</t>
  </si>
  <si>
    <t xml:space="preserve">Clarity on Performance cycle</t>
  </si>
  <si>
    <t xml:space="preserve">DD606384@techmahindra.com</t>
  </si>
  <si>
    <t xml:space="preserve">Dipta Dash</t>
  </si>
  <si>
    <t xml:space="preserve">606384</t>
  </si>
  <si>
    <t xml:space="preserve">DIG-D-4001</t>
  </si>
  <si>
    <t xml:space="preserve">On Leave/comp-off Due To Client Calendar Mismatches;Manager Support &amp; Local Leadership Effectiveness;Policy &amp; Process Clarity;</t>
  </si>
  <si>
    <t xml:space="preserve">Issues with respect to applying leaves and communication regarding leaves to the managers;</t>
  </si>
  <si>
    <t xml:space="preserve">HR and Delivery Head clarified on org level communication on appraisals;All were resolved in the ODC connect;</t>
  </si>
  <si>
    <t xml:space="preserve">YM838968@techmahindra.com</t>
  </si>
  <si>
    <t xml:space="preserve">Yashica More</t>
  </si>
  <si>
    <t xml:space="preserve">838968</t>
  </si>
  <si>
    <t xml:space="preserve">Khammam</t>
  </si>
  <si>
    <t xml:space="preserve">DEA -D-4006</t>
  </si>
  <si>
    <t xml:space="preserve">Not happy with the inconsistent hike, but happy with the project as he is learning new technologies like S4 HANA</t>
  </si>
  <si>
    <t xml:space="preserve">JH291936@techmahindra.com</t>
  </si>
  <si>
    <t xml:space="preserve">Joshua Handa</t>
  </si>
  <si>
    <t xml:space="preserve">291936</t>
  </si>
  <si>
    <t xml:space="preserve">Nadiad</t>
  </si>
  <si>
    <t xml:space="preserve">Engagement &amp; Belonging;Career Path Visibility;</t>
  </si>
  <si>
    <t xml:space="preserve">Lack of awareness of internal opportunities;Connect with Practice head, associates were happy with the session and interaction opportunity with practice head.;</t>
  </si>
  <si>
    <t xml:space="preserve">Align role expectations vs aspiration through discussion;Improve team engagement (inclusion, recognition);</t>
  </si>
  <si>
    <t xml:space="preserve">CR186686@techmahindra.com</t>
  </si>
  <si>
    <t xml:space="preserve">Charvi Ravi</t>
  </si>
  <si>
    <t xml:space="preserve">186686</t>
  </si>
  <si>
    <t xml:space="preserve">DEA-D-4024</t>
  </si>
  <si>
    <t xml:space="preserve">DEA Ops</t>
  </si>
  <si>
    <t xml:space="preserve">Induction Effectiveness;Buddy / Support System;Tool &amp; System Access;</t>
  </si>
  <si>
    <t xml:space="preserve">none;Limited clarity on policies (leave, WFO, reporting);</t>
  </si>
  <si>
    <t xml:space="preserve">Assign buddy with defined responsibilities for 2 weeks;Hybrid working policy was explained in detail;</t>
  </si>
  <si>
    <t xml:space="preserve">Delivery;HRBP;WFM;</t>
  </si>
  <si>
    <t xml:space="preserve">DM467663@techmahindra.com</t>
  </si>
  <si>
    <t xml:space="preserve">Daksha Mangat</t>
  </si>
  <si>
    <t xml:space="preserve">467663</t>
  </si>
  <si>
    <t xml:space="preserve">Chinsurah</t>
  </si>
  <si>
    <t xml:space="preserve">IFS Project</t>
  </si>
  <si>
    <t xml:space="preserve">Policy &amp; Process Clarity;Workload &amp; Work-Life Balance;</t>
  </si>
  <si>
    <t xml:space="preserve">Recurring questions on WFO/WFH expectations and exception handling;Timesheet submission/approval process inconsistencies create compliance risk;</t>
  </si>
  <si>
    <t xml:space="preserve">No specific queries</t>
  </si>
  <si>
    <t xml:space="preserve">US898462@techmahindra.com</t>
  </si>
  <si>
    <t xml:space="preserve">Udyati Sathe</t>
  </si>
  <si>
    <t xml:space="preserve">898462</t>
  </si>
  <si>
    <t xml:space="preserve">Kakinada</t>
  </si>
  <si>
    <t xml:space="preserve">D&amp;AI BFSI IBG</t>
  </si>
  <si>
    <t xml:space="preserve">Induction Effectiveness;Initial Organization Understanding;HR Process Clarity;</t>
  </si>
  <si>
    <t xml:space="preserve">none;Delays in access to systems/tools required for work;</t>
  </si>
  <si>
    <t xml:space="preserve">Standardize induction deck + post-induction summary mail;</t>
  </si>
  <si>
    <t xml:space="preserve">All were resolved</t>
  </si>
  <si>
    <t xml:space="preserve">FM454161@techmahindra.com</t>
  </si>
  <si>
    <t xml:space="preserve">Frado Mander</t>
  </si>
  <si>
    <t xml:space="preserve">454161</t>
  </si>
  <si>
    <t xml:space="preserve">Business &amp; Strategy Clarity;Work-Life &amp; Sustainability Signals;</t>
  </si>
  <si>
    <t xml:space="preserve">Associates seek clarity on role progression and career paths within the unit;Org/structural updates are heard but not fully understood (what changes for me?);</t>
  </si>
  <si>
    <t xml:space="preserve">Add a ‘What changes for teams’ section with 3–5 concrete takeaways;Run a follow-up FAQ mailer and route unanswered questions to SPOCs;</t>
  </si>
  <si>
    <t xml:space="preserve">GK195629@techmahindra.com</t>
  </si>
  <si>
    <t xml:space="preserve">Girik Keer</t>
  </si>
  <si>
    <t xml:space="preserve">195629</t>
  </si>
  <si>
    <t xml:space="preserve">New Joiner 30 Day Connect</t>
  </si>
  <si>
    <t xml:space="preserve">Engagement &amp; Belonging;</t>
  </si>
  <si>
    <t xml:space="preserve">Connect with Practice head, associates were happy with the session and interaction opportunity with practice head.;seat allocation;</t>
  </si>
  <si>
    <t xml:space="preserve">Share internal job/cross-skill opportunities;</t>
  </si>
  <si>
    <t xml:space="preserve">RD781595@techmahindra.com</t>
  </si>
  <si>
    <t xml:space="preserve">Rushil Din</t>
  </si>
  <si>
    <t xml:space="preserve">781595</t>
  </si>
  <si>
    <t xml:space="preserve">Ranchi</t>
  </si>
  <si>
    <t xml:space="preserve">DEA</t>
  </si>
  <si>
    <t xml:space="preserve">HR / WFM / Training Communication Effectiveness;Engagement with Leadership &amp; Confidence Level;Business &amp; Practice Awareness;</t>
  </si>
  <si>
    <t xml:space="preserve">Associates lack clarity on practice goals and IBU priorities;NA;</t>
  </si>
  <si>
    <t xml:space="preserve">TLS SPOC had cleared all the queries w.r.t learning;Checked the action plan for pending allocation of new joiners and highlighted to IBU head and it was closed;</t>
  </si>
  <si>
    <t xml:space="preserve">No specific queries - Associate participation HC was very low.</t>
  </si>
  <si>
    <t xml:space="preserve">ES736408@techmahindra.com</t>
  </si>
  <si>
    <t xml:space="preserve">Elijah Shah</t>
  </si>
  <si>
    <t xml:space="preserve">736408</t>
  </si>
  <si>
    <t xml:space="preserve">NA;Action Closure Discipline;</t>
  </si>
  <si>
    <t xml:space="preserve">Rating Calibration Call;NA;</t>
  </si>
  <si>
    <t xml:space="preserve">Work with AI Agents;</t>
  </si>
  <si>
    <t xml:space="preserve">LT847245@techmahindra.com</t>
  </si>
  <si>
    <t xml:space="preserve">Leena Talwar</t>
  </si>
  <si>
    <t xml:space="preserve">847245</t>
  </si>
  <si>
    <t xml:space="preserve">MFG Vertical</t>
  </si>
  <si>
    <t xml:space="preserve">NGS,D-4013, NGS-D-4014</t>
  </si>
  <si>
    <t xml:space="preserve">Workload Management;BGV queries;Queries related to BGV check;</t>
  </si>
  <si>
    <t xml:space="preserve">The associates had questions around WFH and leaves.;BGV related queries;</t>
  </si>
  <si>
    <t xml:space="preserve">AC111901@techmahindra.com</t>
  </si>
  <si>
    <t xml:space="preserve">Abdul Chhabra</t>
  </si>
  <si>
    <t xml:space="preserve">111901</t>
  </si>
  <si>
    <t xml:space="preserve">NWS-D-4019 &amp; NWS-D-4020</t>
  </si>
  <si>
    <t xml:space="preserve">Celebrated Priyanka Das’s 20th LSA in the Hyderabad location. We organized a virtual session as well where everyone appreciated her, followed by a cake-cutting ceremony and presentation of a memento. Overall, the associate was very happy and expressed her gratitude to the BHR team.</t>
  </si>
  <si>
    <t xml:space="preserve">PV274987@techmahindra.com</t>
  </si>
  <si>
    <t xml:space="preserve">Patrick Vasa</t>
  </si>
  <si>
    <t xml:space="preserve">274987</t>
  </si>
  <si>
    <t xml:space="preserve">Feedback on recent processes;Review of ongoing concerns;</t>
  </si>
  <si>
    <t xml:space="preserve">Continue regular check-ins;Monitor and follow up in next cycle;</t>
  </si>
  <si>
    <t xml:space="preserve">JS148159@techmahindra.com</t>
  </si>
  <si>
    <t xml:space="preserve">Jairaj Shan</t>
  </si>
  <si>
    <t xml:space="preserve">148159</t>
  </si>
  <si>
    <t xml:space="preserve">IBU Level Connect</t>
  </si>
  <si>
    <t xml:space="preserve">ES125071@techmahindra.com</t>
  </si>
  <si>
    <t xml:space="preserve">Edhitha Savant</t>
  </si>
  <si>
    <t xml:space="preserve">125071</t>
  </si>
  <si>
    <t xml:space="preserve">Motihari</t>
  </si>
  <si>
    <t xml:space="preserve">ENS-D-4001</t>
  </si>
  <si>
    <t xml:space="preserve">Clarity on expectations;</t>
  </si>
  <si>
    <t xml:space="preserve">NA;No major concerns raised;</t>
  </si>
  <si>
    <t xml:space="preserve">VS513507@techmahindra.com</t>
  </si>
  <si>
    <t xml:space="preserve">Vaishnavi Sengupta</t>
  </si>
  <si>
    <t xml:space="preserve">Yug Malhotra</t>
  </si>
  <si>
    <t xml:space="preserve">513507</t>
  </si>
  <si>
    <t xml:space="preserve">Mathura</t>
  </si>
  <si>
    <t xml:space="preserve">The connect was celebrate the success of a senior leader where even the SL head joined for the celebrations</t>
  </si>
  <si>
    <t xml:space="preserve">Connect with Practice head, associates were happy with the session and interaction opportunity with practice head.;</t>
  </si>
  <si>
    <t xml:space="preserve">BK265271@techmahindra.com</t>
  </si>
  <si>
    <t xml:space="preserve">Bhavika Keer</t>
  </si>
  <si>
    <t xml:space="preserve">265271</t>
  </si>
  <si>
    <t xml:space="preserve">Thanjavur</t>
  </si>
  <si>
    <t xml:space="preserve">PureStorage</t>
  </si>
  <si>
    <t xml:space="preserve">Feedback on recent processes;General wellbeing check-in;</t>
  </si>
  <si>
    <t xml:space="preserve">Share update with relevant stakeholder;</t>
  </si>
  <si>
    <t xml:space="preserve">LD188121@techmahindra.com</t>
  </si>
  <si>
    <t xml:space="preserve">Lakshit Dora</t>
  </si>
  <si>
    <t xml:space="preserve">188121</t>
  </si>
  <si>
    <t xml:space="preserve">MFG SL</t>
  </si>
  <si>
    <t xml:space="preserve">Allocation &amp; Deployment Transparency;</t>
  </si>
  <si>
    <t xml:space="preserve">Variation in how learning is translating into actual delivery readiness across different ELTP stages (early-stage ready, mid-stage struggling, late-stage stagnation);Lack of continuous career communication leads to: confusion in early stage, direction gap in mid-stage, retention risk in later stage;</t>
  </si>
  <si>
    <t xml:space="preserve">Introduce ELTP engagement framework by stage: 0–6M → onboarding support, 6–M → performance alignment, –M → growth &amp; retention;Work with work force management and delivery closely to ensure the ELTP associates are mapped to projects once their trainings are completed;</t>
  </si>
  <si>
    <t xml:space="preserve">TB623125@techmahindra.com</t>
  </si>
  <si>
    <t xml:space="preserve">Tanish Bhatt</t>
  </si>
  <si>
    <t xml:space="preserve">623125</t>
  </si>
  <si>
    <t xml:space="preserve">Discussion on team dynamics;Clarity on expectations;Review of ongoing concerns;</t>
  </si>
  <si>
    <t xml:space="preserve">Associates are settling in well;Positive feedback overall;</t>
  </si>
  <si>
    <t xml:space="preserve">Monitor and follow up in next cycle;Continue regular check-ins;</t>
  </si>
  <si>
    <t xml:space="preserve">US267378@techmahindra.com</t>
  </si>
  <si>
    <t xml:space="preserve">Unnati Sagar</t>
  </si>
  <si>
    <t xml:space="preserve">Samuel Salvi</t>
  </si>
  <si>
    <t xml:space="preserve">267378</t>
  </si>
  <si>
    <t xml:space="preserve">Manager Connect Effectiveness;Initial Engagement Level;Role Expectation Clarity;</t>
  </si>
  <si>
    <t xml:space="preserve">Ensure weekly  :  connect with manager;</t>
  </si>
  <si>
    <t xml:space="preserve">KPI FORMULAS</t>
  </si>
  <si>
    <t xml:space="preserve">ENGAGEMENT TYPE</t>
  </si>
  <si>
    <t xml:space="preserve">SL x SEVERITY</t>
  </si>
  <si>
    <t xml:space="preserve">COVERAGE ISSUES (self-populating from Data_Summary)</t>
  </si>
  <si>
    <t xml:space="preserve">COVERAGE BREAKDOWN</t>
  </si>
  <si>
    <t xml:space="preserve">SESSION DISTRIBUTION BY COHORT</t>
  </si>
  <si>
    <t xml:space="preserve">TOP ORGANIZATIONAL CONCERNS (chart feed)</t>
  </si>
  <si>
    <t xml:space="preserve">ENGAGEMENT TYPE (sorted feed)</t>
  </si>
  <si>
    <t xml:space="preserve">COVERAGE STATEMENT FREQ</t>
  </si>
  <si>
    <t xml:space="preserve">KPI</t>
  </si>
  <si>
    <t xml:space="preserve">Value</t>
  </si>
  <si>
    <t xml:space="preserve">Type</t>
  </si>
  <si>
    <t xml:space="preserve">Count</t>
  </si>
  <si>
    <t xml:space="preserve">Total</t>
  </si>
  <si>
    <t xml:space="preserve">Coverage Issue</t>
  </si>
  <si>
    <t xml:space="preserve">BHR Count</t>
  </si>
  <si>
    <t xml:space="preserve">% of Sessions</t>
  </si>
  <si>
    <t xml:space="preserve">Top Engagement Type</t>
  </si>
  <si>
    <t xml:space="preserve">Engagement / Coverage Area</t>
  </si>
  <si>
    <t xml:space="preserve">Sessions Covered</t>
  </si>
  <si>
    <t xml:space="preserve">Cohort</t>
  </si>
  <si>
    <t xml:space="preserve">Sessions</t>
  </si>
  <si>
    <t xml:space="preserve">Concern</t>
  </si>
  <si>
    <t xml:space="preserve">Mentions</t>
  </si>
  <si>
    <t xml:space="preserve">Statement</t>
  </si>
  <si>
    <t xml:space="preserve">Total Sessions</t>
  </si>
  <si>
    <t xml:space="preserve">Open Concerns</t>
  </si>
  <si>
    <t xml:space="preserve">HR Connect (Project-Wise)</t>
  </si>
  <si>
    <t xml:space="preserve">In Progress</t>
  </si>
  <si>
    <t xml:space="preserve">New Joinee Connect (7 Days)</t>
  </si>
  <si>
    <t xml:space="preserve">Closed Actions</t>
  </si>
  <si>
    <t xml:space="preserve">High Severity</t>
  </si>
  <si>
    <t xml:space="preserve">Moderate Severity</t>
  </si>
  <si>
    <t xml:space="preserve">Low Severity</t>
  </si>
  <si>
    <t xml:space="preserve">Connect with Women Associates</t>
  </si>
  <si>
    <t xml:space="preserve">Positive Sentiment</t>
  </si>
  <si>
    <t xml:space="preserve">Mixed Sentiment</t>
  </si>
  <si>
    <t xml:space="preserve">Account Based</t>
  </si>
  <si>
    <t xml:space="preserve">Neutral Sentiment</t>
  </si>
  <si>
    <t xml:space="preserve">Business Wait Connect</t>
  </si>
  <si>
    <t xml:space="preserve">Action Closure %</t>
  </si>
  <si>
    <t xml:space="preserve">New Joiner Induction</t>
  </si>
  <si>
    <t xml:space="preserve">Top Talent Connect (One to One) (Exclusives/Ascend/WLP/Mentor)</t>
  </si>
  <si>
    <t xml:space="preserve">Sentiment Score</t>
  </si>
  <si>
    <t xml:space="preserve">Top Talent FGD Connect (Exclusives/Ascend/WLP/Mentor)</t>
  </si>
  <si>
    <t xml:space="preserve">Total BHRs</t>
  </si>
  <si>
    <t xml:space="preserve">Total SLs</t>
  </si>
  <si>
    <t xml:space="preserve">Exclusives Award Ceremony (Not part of Townhall)</t>
  </si>
  <si>
    <t xml:space="preserve">Most Active SL</t>
  </si>
  <si>
    <t xml:space="preserve">ELTP Connect - Practice Level</t>
  </si>
  <si>
    <t xml:space="preserve">Top CARES Lever</t>
  </si>
  <si>
    <t xml:space="preserve">ELTP Connect (6- 12m)</t>
  </si>
  <si>
    <t xml:space="preserve">Open+InProgress</t>
  </si>
  <si>
    <t xml:space="preserve">SENTIMENT</t>
  </si>
  <si>
    <t xml:space="preserve">Label</t>
  </si>
  <si>
    <t xml:space="preserve">Top Talent FGD Connect (Ascend/WLP/Mentor)</t>
  </si>
  <si>
    <t xml:space="preserve">IBU Cadence Connect</t>
  </si>
  <si>
    <t xml:space="preserve">SEVERITY</t>
  </si>
  <si>
    <t xml:space="preserve">ISR Activity</t>
  </si>
  <si>
    <t xml:space="preserve">STATUS</t>
  </si>
  <si>
    <t xml:space="preserve">CARES</t>
  </si>
  <si>
    <t xml:space="preserve">ENGAGEMENT MODE</t>
  </si>
  <si>
    <t xml:space="preserve">Mode</t>
  </si>
  <si>
    <t xml:space="preserve">Raw</t>
  </si>
  <si>
    <t xml:space="preserve">In-person (Tech/Office)</t>
  </si>
  <si>
    <t xml:space="preserve">Virtual + In-person</t>
  </si>
  <si>
    <t xml:space="preserve">In-person (Client)</t>
  </si>
  <si>
    <t xml:space="preserve">ACTION ITEMS STATUS × SEVERITY  |  Data for Dashboard Chart</t>
  </si>
  <si>
    <t xml:space="preserve">TOP 10 OPEN + HIGH SEVERITY ISSUES  |  Dynamic — Auto-updates from SummaryData</t>
  </si>
  <si>
    <t xml:space="preserve">#</t>
  </si>
  <si>
    <t xml:space="preserve">Engagement Cohort</t>
  </si>
  <si>
    <t xml:space="preserve">Key Issue / Query</t>
  </si>
  <si>
    <t xml:space="preserve">EMPLOYEE PULSE  &amp;  ENGAGEMENT DASHBOARD</t>
  </si>
  <si>
    <t xml:space="preserve">May 2026  |  IBU: All</t>
  </si>
  <si>
    <t xml:space="preserve">Monthly HRBP–Business Cadence  |  Action-Oriented People Review</t>
  </si>
  <si>
    <t xml:space="preserve">TOTAL SESSIONS</t>
  </si>
  <si>
    <t xml:space="preserve">OPEN CONCERNS</t>
  </si>
  <si>
    <t xml:space="preserve">HIGH SEVERITY</t>
  </si>
  <si>
    <t xml:space="preserve">IN-PROGRESS</t>
  </si>
  <si>
    <t xml:space="preserve">ACTION CLOSURE %</t>
  </si>
  <si>
    <t xml:space="preserve">SENTIMENT SCORE</t>
  </si>
  <si>
    <t xml:space="preserve">ACTIVE BHRs</t>
  </si>
  <si>
    <t xml:space="preserve">SLs COVERED</t>
  </si>
  <si>
    <t xml:space="preserve">f</t>
  </si>
  <si>
    <t xml:space="preserve">MOST ACTIVE SERVICE LINE</t>
  </si>
  <si>
    <t xml:space="preserve">TOP CARES LEVER</t>
  </si>
  <si>
    <t xml:space="preserve">OPEN + IN-PROGRESS</t>
  </si>
  <si>
    <t xml:space="preserve">  ENGAGEMENT OVERVIEW</t>
  </si>
  <si>
    <t xml:space="preserve">  ENGAGEMENT MIX  |  Mode · Connect Type · Service-Line Risk</t>
  </si>
  <si>
    <t xml:space="preserve">  SERVICE LINE RISK HEATMAP  |  Severity by SL </t>
  </si>
  <si>
    <t xml:space="preserve">🍩  SESSION DISTRIBUTION  |  Share of sessions across engagement cohorts</t>
  </si>
  <si>
    <t xml:space="preserve">🚨  TOP 10 PRIORITY ISSUES  |  Ranked: High→Moderate→Low  ×  Open→In-Progress</t>
  </si>
  <si>
    <t xml:space="preserve">Key Issue / Engagement Query</t>
  </si>
  <si>
    <t xml:space="preserve">📊  ACTION ITEMS STATUS  |  Open · In-Progress · Closed  ×  Severity Level</t>
  </si>
  <si>
    <t xml:space="preserve">🔴 High</t>
  </si>
  <si>
    <t xml:space="preserve">🟡 Moderate</t>
  </si>
  <si>
    <t xml:space="preserve">🟢 Low</t>
  </si>
  <si>
    <t xml:space="preserve">🔍  TOP 10 COVERAGE ISSUES  |  Organization-wide discussion themes ranked by BHR coverage</t>
  </si>
  <si>
    <t xml:space="preserve">Coverage Area</t>
  </si>
  <si>
    <t xml:space="preserve">Associated Engagement Type</t>
  </si>
  <si>
    <t xml:space="preserve">🗣️  TOP ORGANIZATIONAL CONCERNS  |  What employees are talking about (top 10 recurring themes)</t>
  </si>
  <si>
    <t xml:space="preserve">⚖️  CARES LEVER BREAKDOWN  |  Sessions by Framework Pillar  ×  Severity + Action Owner</t>
  </si>
  <si>
    <t xml:space="preserve">CARES Lever</t>
  </si>
  <si>
    <t xml:space="preserve">High Sev</t>
  </si>
  <si>
    <t xml:space="preserve">Mod Sev</t>
  </si>
  <si>
    <t xml:space="preserve">Low Sev</t>
  </si>
  <si>
    <t xml:space="preserve">% of Total</t>
  </si>
  <si>
    <t xml:space="preserve">📍  ENGAGEMENT MODE &amp; TYPE  |  How and through what formats engagement happens</t>
  </si>
  <si>
    <t xml:space="preserve">Location Mentioned</t>
  </si>
  <si>
    <t xml:space="preserve">Practice Code</t>
  </si>
  <si>
    <t xml:space="preserve">Employee IBU Code</t>
  </si>
  <si>
    <t xml:space="preserve">Project Description</t>
  </si>
  <si>
    <t xml:space="preserve">Record Type</t>
  </si>
  <si>
    <t xml:space="preserve">Statement Order</t>
  </si>
  <si>
    <t xml:space="preserve">Coverage</t>
  </si>
  <si>
    <t xml:space="preserve">Review of ongoing concerns</t>
  </si>
  <si>
    <t xml:space="preserve">Key Insight</t>
  </si>
  <si>
    <t xml:space="preserve">No major concerns raised</t>
  </si>
  <si>
    <t xml:space="preserve">Minor process related queries</t>
  </si>
  <si>
    <t xml:space="preserve">Action Plan</t>
  </si>
  <si>
    <t xml:space="preserve">Continue regular check-ins</t>
  </si>
  <si>
    <t xml:space="preserve">Business &amp; Strategy Clarity</t>
  </si>
  <si>
    <t xml:space="preserve">Career Visibility &amp; Skill Roadmap</t>
  </si>
  <si>
    <t xml:space="preserve">AI/future Readiness Messaging Is High-level</t>
  </si>
  <si>
    <t xml:space="preserve">Associates are unsure how unit goals translate into day-to-day delivery expectations</t>
  </si>
  <si>
    <t xml:space="preserve">Capture workload hotspots and review with delivery leads for rebalancing</t>
  </si>
  <si>
    <t xml:space="preserve">Visibility on Allocation &amp; Demand</t>
  </si>
  <si>
    <t xml:space="preserve">Associates lack clarity on practice goals and IBU priorities</t>
  </si>
  <si>
    <t xml:space="preserve">HR/WFM/Training updates not actionable</t>
  </si>
  <si>
    <t xml:space="preserve">TLS SPOC had cleared all the queries w.r.t learning</t>
  </si>
  <si>
    <t xml:space="preserve">Provide FAQs, guides, refresher sessions</t>
  </si>
  <si>
    <t xml:space="preserve">General wellbeing check-in</t>
  </si>
  <si>
    <t xml:space="preserve">Associates are settling in well</t>
  </si>
  <si>
    <t xml:space="preserve">Share update with relevant stakeholder</t>
  </si>
  <si>
    <t xml:space="preserve">Connect for recognition</t>
  </si>
  <si>
    <t xml:space="preserve">Clarity On Role-based Learning Expectations</t>
  </si>
  <si>
    <t xml:space="preserve">On Hybrid/WFO Rules And Monthly Compliance Expectations</t>
  </si>
  <si>
    <t xml:space="preserve">Discussed on how to simply WFH exception requests and about various projects</t>
  </si>
  <si>
    <t xml:space="preserve">Share role-based learning pathways and recommended certifications</t>
  </si>
  <si>
    <t xml:space="preserve">Business Context &amp; Org Awareness</t>
  </si>
  <si>
    <t xml:space="preserve">Feedback is irregular or not tied to a rubric</t>
  </si>
  <si>
    <t xml:space="preserve">Run fortnightly utilization reviews with WFM + delivery owners to rebalance work</t>
  </si>
  <si>
    <t xml:space="preserve">Business &amp; Practice Awareness</t>
  </si>
  <si>
    <t xml:space="preserve">Low interaction and hesitation in raising questions</t>
  </si>
  <si>
    <t xml:space="preserve">Create consistent onboarding framework across practice</t>
  </si>
  <si>
    <t xml:space="preserve">Clarity on expectations</t>
  </si>
  <si>
    <t xml:space="preserve">Recognition &amp; Visibility</t>
  </si>
  <si>
    <t xml:space="preserve">Grievance/speak-up Clarity</t>
  </si>
  <si>
    <t xml:space="preserve">Empathy And Communication</t>
  </si>
  <si>
    <t xml:space="preserve">Need empathy and communication</t>
  </si>
  <si>
    <t xml:space="preserve">Grievance/speak-up clarity</t>
  </si>
  <si>
    <t xml:space="preserve">There werenot much queries</t>
  </si>
  <si>
    <t xml:space="preserve">Promote DEI initiatives</t>
  </si>
  <si>
    <t xml:space="preserve">Career Support &amp; Sponsorship</t>
  </si>
  <si>
    <t xml:space="preserve">Work-Life Balance &amp; Flexibility</t>
  </si>
  <si>
    <t xml:space="preserve">Inclusive team practices</t>
  </si>
  <si>
    <t xml:space="preserve">Reinforce speak-up channels</t>
  </si>
  <si>
    <t xml:space="preserve">Feedback on recent processes</t>
  </si>
  <si>
    <t xml:space="preserve">Monitor and follow up in next cycle</t>
  </si>
  <si>
    <t xml:space="preserve">AI Session</t>
  </si>
  <si>
    <t xml:space="preserve">Review Cadence</t>
  </si>
  <si>
    <t xml:space="preserve">Need AI/skill readiness</t>
  </si>
  <si>
    <t xml:space="preserve">Publish budget guidelines</t>
  </si>
  <si>
    <t xml:space="preserve">Identify hotspots</t>
  </si>
  <si>
    <t xml:space="preserve">Role Expectation Clarity</t>
  </si>
  <si>
    <t xml:space="preserve">Initial Engagement Level</t>
  </si>
  <si>
    <t xml:space="preserve">Most of the associates are undergoing trainings as there are FCTP's</t>
  </si>
  <si>
    <t xml:space="preserve">Delay or lack of clarity in project onboarding</t>
  </si>
  <si>
    <t xml:space="preserve">Define timeline for project allocation (max  0 days)</t>
  </si>
  <si>
    <t xml:space="preserve">Ensure weekly  :  connect with manager</t>
  </si>
  <si>
    <t xml:space="preserve">Learning &amp; Skill Building</t>
  </si>
  <si>
    <t xml:space="preserve">Inclusive Team Practices</t>
  </si>
  <si>
    <t xml:space="preserve">HR / WFM / Training Communication Effectiveness</t>
  </si>
  <si>
    <t xml:space="preserve">Timesheet Submission/approval Process Inconsistencies Create</t>
  </si>
  <si>
    <t xml:space="preserve">Workload &amp; Work-Life Balance</t>
  </si>
  <si>
    <t xml:space="preserve">Manager Support &amp; Local Leadership Effectiveness</t>
  </si>
  <si>
    <t xml:space="preserve">Timesheet submission/approval process inconsistencies create compliance risk</t>
  </si>
  <si>
    <t xml:space="preserve">Share project-specific policy FAQ (WFO, exceptions, leave, timesheet)</t>
  </si>
  <si>
    <t xml:space="preserve">Implement monthly recognition cadence (kudos, spotlight, customer praise)</t>
  </si>
  <si>
    <t xml:space="preserve">Internal Mobility / Rotation Opportunities</t>
  </si>
  <si>
    <t xml:space="preserve">Recognition &amp; Visibility of Growth</t>
  </si>
  <si>
    <t xml:space="preserve">Career Progression &amp; Next-Level Readiness</t>
  </si>
  <si>
    <t xml:space="preserve">Rotation/mobility interest is high but process and eligibility are unclear</t>
  </si>
  <si>
    <t xml:space="preserve">na</t>
  </si>
  <si>
    <t xml:space="preserve">Highlight ELTP success stories + learning milestones in leadership forums/townhalls</t>
  </si>
  <si>
    <t xml:space="preserve">Run structured mobility/rotation sessions with examples and process FAQs</t>
  </si>
  <si>
    <t xml:space="preserve">Project Allocation Clarity</t>
  </si>
  <si>
    <t xml:space="preserve">Manager Connect Effectiveness</t>
  </si>
  <si>
    <t xml:space="preserve">Difficulty in understanding tools/processes</t>
  </si>
  <si>
    <t xml:space="preserve">Associates undergoing project training</t>
  </si>
  <si>
    <t xml:space="preserve">Discussion on team dynamics</t>
  </si>
  <si>
    <t xml:space="preserve">No specific action required</t>
  </si>
  <si>
    <t xml:space="preserve">Workload Management</t>
  </si>
  <si>
    <t xml:space="preserve">Skill gaps becoming visible during execution</t>
  </si>
  <si>
    <t xml:space="preserve">The associates had questions around WFH and leaves.</t>
  </si>
  <si>
    <t xml:space="preserve">Mandate structured monthly feedback from manager</t>
  </si>
  <si>
    <t xml:space="preserve">The associates had queries mainly related to WFH and leaves.</t>
  </si>
  <si>
    <t xml:space="preserve">Clarity on Org Changes &amp; Priorities</t>
  </si>
  <si>
    <t xml:space="preserve">No hike/VP alignment with performance</t>
  </si>
  <si>
    <t xml:space="preserve">Run quarterly nominations</t>
  </si>
  <si>
    <t xml:space="preserve">Need flexible arrangements during caregiving</t>
  </si>
  <si>
    <t xml:space="preserve">Leadership acknowledgment</t>
  </si>
  <si>
    <t xml:space="preserve">associates seek practical relevance</t>
  </si>
  <si>
    <t xml:space="preserve">Publish role-based learning paths (beginner/intermediate/advanced) with links</t>
  </si>
  <si>
    <t xml:space="preserve">Engagement &amp; Motivation Across Stages</t>
  </si>
  <si>
    <t xml:space="preserve">Career Clarity &amp; Growth Continuity</t>
  </si>
  <si>
    <t xml:space="preserve">Allocation &amp; Deployment Transparency</t>
  </si>
  <si>
    <t xml:space="preserve">Inconsistent visibility on allocation timelines and decision-making creates confusion across all ELTP groups</t>
  </si>
  <si>
    <t xml:space="preserve">Work with work force management and delivery closely to ensure the ELTP associates are mapped to projects once their trainings are completed</t>
  </si>
  <si>
    <t xml:space="preserve">Introduce ELTP engagement framework by stage: 0–6M → onboarding support, 6–M → performance alignment, –M → growth &amp; retention</t>
  </si>
  <si>
    <t xml:space="preserve">Career Path Visibility</t>
  </si>
  <si>
    <t xml:space="preserve">seat allocation</t>
  </si>
  <si>
    <t xml:space="preserve">Lack of awareness of internal opportunities</t>
  </si>
  <si>
    <t xml:space="preserve">Align role expectations vs aspiration through discussion</t>
  </si>
  <si>
    <t xml:space="preserve">shared CS SPOC details</t>
  </si>
  <si>
    <t xml:space="preserve">For Role Rotation (PM/PGM/architect)</t>
  </si>
  <si>
    <t xml:space="preserve">Recognition Equity &amp; Visibility</t>
  </si>
  <si>
    <t xml:space="preserve">Not happy with no hike</t>
  </si>
  <si>
    <t xml:space="preserve">slows improvement</t>
  </si>
  <si>
    <t xml:space="preserve">Team Integration</t>
  </si>
  <si>
    <t xml:space="preserve">Queries related to BGV check</t>
  </si>
  <si>
    <t xml:space="preserve">Upskilling for future roles</t>
  </si>
  <si>
    <t xml:space="preserve">Female assocaites in Haleon office are quite happy with the setup</t>
  </si>
  <si>
    <t xml:space="preserve">Description</t>
  </si>
  <si>
    <t xml:space="preserve">Timely Policy/process Updates</t>
  </si>
  <si>
    <t xml:space="preserve">Manager Effectiveness &amp; Delegation</t>
  </si>
  <si>
    <t xml:space="preserve">Communication &amp; Transparency</t>
  </si>
  <si>
    <t xml:space="preserve">Need timely policy/process updates</t>
  </si>
  <si>
    <t xml:space="preserve">Need clarity on growth opportunities</t>
  </si>
  <si>
    <t xml:space="preserve">Set comms cadence</t>
  </si>
  <si>
    <t xml:space="preserve">Standardize messaging</t>
  </si>
  <si>
    <t xml:space="preserve">Internal Growth Opportunities</t>
  </si>
  <si>
    <t xml:space="preserve">Share internal job/cross-skill opportunities</t>
  </si>
  <si>
    <t xml:space="preserve">ELTPs want clarity on progression timelines and competencies for the next band/role</t>
  </si>
  <si>
    <t xml:space="preserve">Leadership Communication &amp; Q&amp;A Effectiveness</t>
  </si>
  <si>
    <t xml:space="preserve">Org/structural updates are heard but not fully understood (what changes for me?)</t>
  </si>
  <si>
    <t xml:space="preserve">Need clearer articulation of business direction and priorities for the quarter</t>
  </si>
  <si>
    <t xml:space="preserve">Engagement with Leadership &amp; Confidence Level</t>
  </si>
  <si>
    <t xml:space="preserve">Associates unclear how their role contributes to business</t>
  </si>
  <si>
    <t xml:space="preserve">Checked the action plan for pending allocation of new joiners and highlighted to IBU head and it was closed</t>
  </si>
  <si>
    <t xml:space="preserve">Learning/cert Support Requests</t>
  </si>
  <si>
    <t xml:space="preserve">Team recognition cadence</t>
  </si>
  <si>
    <t xml:space="preserve">Recognition &amp; Motivation</t>
  </si>
  <si>
    <t xml:space="preserve">Associates seek clarity on role progression and career paths within the unit</t>
  </si>
  <si>
    <t xml:space="preserve">Add ‘Wall of Fame’ segment: delivery wins, customer shoutouts, milestone highlights</t>
  </si>
  <si>
    <t xml:space="preserve">Policy &amp; Process Clarity</t>
  </si>
  <si>
    <t xml:space="preserve">Strategic Connect</t>
  </si>
  <si>
    <t xml:space="preserve">Seat availability and office logistics impact productivity</t>
  </si>
  <si>
    <t xml:space="preserve">Coach managers on feedback, delegation, and communication</t>
  </si>
  <si>
    <t xml:space="preserve">Role Confidence Level</t>
  </si>
  <si>
    <t xml:space="preserve">Feedback Mechanism</t>
  </si>
  <si>
    <t xml:space="preserve">Include in team rituals (scrum, meetings, discussions)</t>
  </si>
  <si>
    <t xml:space="preserve">Recognition Visibility</t>
  </si>
  <si>
    <t xml:space="preserve">Work-Life &amp; Sustainability Signals</t>
  </si>
  <si>
    <t xml:space="preserve">Add a ‘What changes for teams’ section with 3–5 concrete takeaways</t>
  </si>
  <si>
    <t xml:space="preserve">Queries On Performance Cycle Steps And Deadlines</t>
  </si>
  <si>
    <t xml:space="preserve">Need simplified updates on policy changes and timelines</t>
  </si>
  <si>
    <t xml:space="preserve">Feedback to be shared with IBU head</t>
  </si>
  <si>
    <t xml:space="preserve">Recognition &amp; Engagement within Project</t>
  </si>
  <si>
    <t xml:space="preserve">On Leave/comp-off Due To Client Calendar Mismatches</t>
  </si>
  <si>
    <t xml:space="preserve">associates want clear routes</t>
  </si>
  <si>
    <t xml:space="preserve">Define issue escalation ladder and response SLAs</t>
  </si>
  <si>
    <t xml:space="preserve">Positive feedback overall</t>
  </si>
  <si>
    <t xml:space="preserve">Share a 1-page business snapshot (targets, priorities, key wins) post townhall</t>
  </si>
  <si>
    <t xml:space="preserve">Need equitable recognition</t>
  </si>
  <si>
    <t xml:space="preserve">Variation in how learning is translating into actual delivery readiness across different ELTP stages (early-stage ready, mid-stage struggling, late-stage stagnation)</t>
  </si>
  <si>
    <t xml:space="preserve">All the queries were resolved in the session</t>
  </si>
  <si>
    <t xml:space="preserve">BGV queries</t>
  </si>
  <si>
    <t xml:space="preserve">Explained the complete process to associates</t>
  </si>
  <si>
    <t xml:space="preserve">Stress &amp; Burnout Management</t>
  </si>
  <si>
    <t xml:space="preserve">Low awareness</t>
  </si>
  <si>
    <t xml:space="preserve">Flexibility alignment</t>
  </si>
  <si>
    <t xml:space="preserve">Workshops</t>
  </si>
  <si>
    <t xml:space="preserve">Wellbeing check-ins</t>
  </si>
  <si>
    <t xml:space="preserve">AI/future readiness messaging is high-level</t>
  </si>
  <si>
    <t xml:space="preserve">Tool &amp; System Access</t>
  </si>
  <si>
    <t xml:space="preserve">Initial Organization Understanding</t>
  </si>
  <si>
    <t xml:space="preserve">Delays in access to systems/tools required for work</t>
  </si>
  <si>
    <t xml:space="preserve">New joiners feel overwhelmed or unclear post induction</t>
  </si>
  <si>
    <t xml:space="preserve">Hybrid working policy was explained in detail</t>
  </si>
  <si>
    <t xml:space="preserve">Implement Day-1 access checklist tracking (IT + Admin)</t>
  </si>
  <si>
    <t xml:space="preserve">Learning Curve Support</t>
  </si>
  <si>
    <t xml:space="preserve">Limited clarity on policies (leave, WFO, reporting)</t>
  </si>
  <si>
    <t xml:space="preserve">Share org structure + “who does what” quick guide</t>
  </si>
  <si>
    <t xml:space="preserve">Long-Term Role Alignment</t>
  </si>
  <si>
    <t xml:space="preserve">Improve team engagement (inclusion, recognition)</t>
  </si>
  <si>
    <t xml:space="preserve">BGV</t>
  </si>
  <si>
    <t xml:space="preserve">Infrastructure / Workplace Enablement</t>
  </si>
  <si>
    <t xml:space="preserve">Generic discussion about the account with the leads</t>
  </si>
  <si>
    <t xml:space="preserve">All the queries were resolved in the ODC COnnect</t>
  </si>
  <si>
    <t xml:space="preserve">Monthly Cadence IBU Head coverage on HC, Attrition, eltp and Bench</t>
  </si>
  <si>
    <t xml:space="preserve">Need guidance on leave, travel, and exception approvals</t>
  </si>
  <si>
    <t xml:space="preserve">Send monthly HR bulletin with key updates and links</t>
  </si>
  <si>
    <t xml:space="preserve">It was a general discussion with the IBU Head on the pulse at ground level</t>
  </si>
  <si>
    <t xml:space="preserve">Not fully integrated with team collaboration channels</t>
  </si>
  <si>
    <t xml:space="preserve">Guidance On Leave, Travel, And Exception Approvals</t>
  </si>
  <si>
    <t xml:space="preserve">No Action</t>
  </si>
  <si>
    <t xml:space="preserve">Issues with respect to applying leaves and communication regarding leaves to the managers</t>
  </si>
  <si>
    <t xml:space="preserve">HR and Delivery Head clarified on org level communication on appraisals</t>
  </si>
  <si>
    <t xml:space="preserve">All were resolved in the ODC connect</t>
  </si>
  <si>
    <t xml:space="preserve">Engagement &amp; Belonging</t>
  </si>
  <si>
    <t xml:space="preserve">Connect with Practice head, associates were happy with the session and interaction opportunity with practice head.</t>
  </si>
  <si>
    <t xml:space="preserve">Induction Effectiveness</t>
  </si>
  <si>
    <t xml:space="preserve">Buddy / Support System</t>
  </si>
  <si>
    <t xml:space="preserve">none</t>
  </si>
  <si>
    <t xml:space="preserve">Assign buddy with defined responsibilities for 2 weeks</t>
  </si>
  <si>
    <t xml:space="preserve">Recurring questions on WFO/WFH expectations and exception handling</t>
  </si>
  <si>
    <t xml:space="preserve">HR Process Clarity</t>
  </si>
  <si>
    <t xml:space="preserve">Standardize induction deck + post-induction summary mail</t>
  </si>
  <si>
    <t xml:space="preserve">Run a follow-up FAQ mailer and route unanswered questions to SPOCs</t>
  </si>
  <si>
    <t xml:space="preserve">Action Closure Discipline</t>
  </si>
  <si>
    <t xml:space="preserve">Work with AI Agents</t>
  </si>
  <si>
    <t xml:space="preserve">BGV related queries</t>
  </si>
  <si>
    <t xml:space="preserve">Lack of continuous career communication leads to: confusion in early stage, direction gap in mid-stage, retention risk in later stage</t>
  </si>
  <si>
    <t xml:space="preserve">Selected Connect</t>
  </si>
  <si>
    <t xml:space="preserve">Matched Connect Name</t>
  </si>
  <si>
    <t xml:space="preserve">Coverage 2</t>
  </si>
  <si>
    <t xml:space="preserve">Coverage 3</t>
  </si>
  <si>
    <t xml:space="preserve">Coverage 4</t>
  </si>
  <si>
    <t xml:space="preserve">Coverage 5</t>
  </si>
  <si>
    <t xml:space="preserve">Coverage 6</t>
  </si>
  <si>
    <t xml:space="preserve">Coverage 7</t>
  </si>
  <si>
    <t xml:space="preserve">Action Plan 2</t>
  </si>
  <si>
    <t xml:space="preserve">Action Plan 3</t>
  </si>
  <si>
    <t xml:space="preserve">Action Plan 4</t>
  </si>
  <si>
    <t xml:space="preserve">Column1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</si>
</sst>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General"/>
    <numFmt numFmtId="167" formatCode="0.0%"/>
    <numFmt numFmtId="168" formatCode="0%"/>
    <numFmt numFmtId="169" formatCode="0.00%"/>
    <numFmt numFmtId="170" formatCode="0"/>
    <numFmt numFmtId="171" formatCode="0.0"/>
    <numFmt numFmtId="172" formatCode="yyyy\-mm\-dd\ hh:mm:ss"/>
    <numFmt numFmtId="173" formatCode="h:mm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1A1A2E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1A1A2E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999999"/>
      <name val="Calibri"/>
      <family val="2"/>
      <charset val="1"/>
    </font>
    <font>
      <sz val="10"/>
      <color rgb="FFBFBFBF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FF9900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sz val="10"/>
      <color rgb="FF7B3F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b val="true"/>
      <sz val="20"/>
      <color rgb="FFFFFFFF"/>
      <name val="Arial"/>
      <family val="2"/>
      <charset val="1"/>
    </font>
    <font>
      <sz val="9"/>
      <color rgb="FF9999BB"/>
      <name val="Arial"/>
      <family val="2"/>
      <charset val="1"/>
    </font>
    <font>
      <i val="true"/>
      <sz val="10"/>
      <color rgb="FFBBBBDD"/>
      <name val="Arial"/>
      <family val="2"/>
      <charset val="1"/>
    </font>
    <font>
      <sz val="8"/>
      <color rgb="FF70C070"/>
      <name val="Arial"/>
      <family val="2"/>
      <charset val="1"/>
    </font>
    <font>
      <b val="true"/>
      <sz val="26"/>
      <color rgb="FF1A1A2E"/>
      <name val="Arial"/>
      <family val="2"/>
      <charset val="1"/>
    </font>
    <font>
      <b val="true"/>
      <sz val="26"/>
      <color rgb="FFE31837"/>
      <name val="Arial"/>
      <family val="2"/>
      <charset val="1"/>
    </font>
    <font>
      <b val="true"/>
      <sz val="26"/>
      <color rgb="FFF5A623"/>
      <name val="Arial"/>
      <family val="2"/>
      <charset val="1"/>
    </font>
    <font>
      <b val="true"/>
      <sz val="26"/>
      <color rgb="FF27AE60"/>
      <name val="Arial"/>
      <family val="2"/>
      <charset val="1"/>
    </font>
    <font>
      <b val="true"/>
      <sz val="26"/>
      <color rgb="FF2980B9"/>
      <name val="Arial"/>
      <family val="2"/>
      <charset val="1"/>
    </font>
    <font>
      <b val="true"/>
      <sz val="10"/>
      <color rgb="FF4A4A6A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1"/>
      <color rgb="FFE31837"/>
      <name val="Arial"/>
      <family val="2"/>
      <charset val="1"/>
    </font>
    <font>
      <b val="true"/>
      <sz val="16"/>
      <color rgb="FFE3183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8"/>
      <color rgb="FFC0392B"/>
      <name val="Arial"/>
      <family val="2"/>
      <charset val="1"/>
    </font>
    <font>
      <sz val="8"/>
      <color rgb="FF999999"/>
      <name val="Arial"/>
      <family val="2"/>
      <charset val="1"/>
    </font>
    <font>
      <b val="true"/>
      <sz val="9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1"/>
      <color rgb="FFC00000"/>
      <name val="Cambria"/>
      <family val="1"/>
      <charset val="1"/>
    </font>
    <font>
      <sz val="11"/>
      <color rgb="FF7B3F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9"/>
      <color rgb="FF1A1A2E"/>
      <name val="Arial"/>
      <family val="2"/>
      <charset val="1"/>
    </font>
    <font>
      <b val="true"/>
      <sz val="11"/>
      <color rgb="FF4472C4"/>
      <name val="Cambria"/>
      <family val="1"/>
      <charset val="1"/>
    </font>
    <font>
      <sz val="11"/>
      <color rgb="FFC00000"/>
      <name val="Cambria"/>
      <family val="1"/>
      <charset val="1"/>
    </font>
    <font>
      <sz val="11"/>
      <color rgb="FFFF9900"/>
      <name val="Cambria"/>
      <family val="1"/>
      <charset val="1"/>
    </font>
    <font>
      <sz val="11"/>
      <color rgb="FF375623"/>
      <name val="Cambria"/>
      <family val="1"/>
      <charset val="1"/>
    </font>
    <font>
      <b val="true"/>
      <sz val="11"/>
      <color rgb="FF70AD47"/>
      <name val="Cambria"/>
      <family val="1"/>
      <charset val="1"/>
    </font>
    <font>
      <b val="true"/>
      <sz val="11"/>
      <color rgb="FFFF9900"/>
      <name val="Cambria"/>
      <family val="1"/>
      <charset val="1"/>
    </font>
    <font>
      <b val="true"/>
      <sz val="11"/>
      <color rgb="FFED7D31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8"/>
      <color rgb="FF000000"/>
      <name val="Calibri"/>
      <family val="2"/>
    </font>
    <font>
      <b val="true"/>
      <sz val="10.5"/>
      <color rgb="FF000000"/>
      <name val="Calibri"/>
      <family val="2"/>
    </font>
    <font>
      <b val="true"/>
      <sz val="11"/>
      <color rgb="FFFFFFFF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53063"/>
      </patternFill>
    </fill>
    <fill>
      <patternFill patternType="solid">
        <fgColor theme="0"/>
        <bgColor rgb="FFF9FAFB"/>
      </patternFill>
    </fill>
    <fill>
      <patternFill patternType="solid">
        <fgColor rgb="FF153063"/>
        <bgColor rgb="FF1D3664"/>
      </patternFill>
    </fill>
    <fill>
      <patternFill patternType="solid">
        <fgColor rgb="FF484868"/>
        <bgColor rgb="FF4A4A6A"/>
      </patternFill>
    </fill>
    <fill>
      <patternFill patternType="solid">
        <fgColor rgb="FF375623"/>
        <bgColor rgb="FF5A595B"/>
      </patternFill>
    </fill>
    <fill>
      <patternFill patternType="solid">
        <fgColor rgb="FFF0FFF0"/>
        <bgColor rgb="FFF9FAFB"/>
      </patternFill>
    </fill>
    <fill>
      <patternFill patternType="solid">
        <fgColor rgb="FFBC0001"/>
        <bgColor rgb="FFC00000"/>
      </patternFill>
    </fill>
    <fill>
      <patternFill patternType="solid">
        <fgColor rgb="FFFFF2CC"/>
        <bgColor rgb="FFFDECEA"/>
      </patternFill>
    </fill>
    <fill>
      <patternFill patternType="solid">
        <fgColor rgb="FFE31837"/>
        <bgColor rgb="FFFF0000"/>
      </patternFill>
    </fill>
    <fill>
      <patternFill patternType="mediumGray">
        <fgColor rgb="FFBC3B2F"/>
        <bgColor rgb="FFC0392B"/>
      </patternFill>
    </fill>
    <fill>
      <patternFill patternType="solid">
        <fgColor rgb="FFF9AB13"/>
        <bgColor rgb="FFF6A424"/>
      </patternFill>
    </fill>
    <fill>
      <patternFill patternType="solid">
        <fgColor rgb="FF27AE60"/>
        <bgColor rgb="FF3995B3"/>
      </patternFill>
    </fill>
    <fill>
      <patternFill patternType="solid">
        <fgColor rgb="FF3B82B9"/>
        <bgColor rgb="FF2980B9"/>
      </patternFill>
    </fill>
    <fill>
      <patternFill patternType="solid">
        <fgColor rgb="FFF5F5F7"/>
        <bgColor rgb="FFEFF5FB"/>
      </patternFill>
    </fill>
    <fill>
      <patternFill patternType="solid">
        <fgColor rgb="FF1D3664"/>
        <bgColor rgb="FF153063"/>
      </patternFill>
    </fill>
    <fill>
      <patternFill patternType="solid">
        <fgColor rgb="FFF9FAFB"/>
        <bgColor rgb="FFF5F5F7"/>
      </patternFill>
    </fill>
    <fill>
      <patternFill patternType="solid">
        <fgColor rgb="FFFDECEA"/>
        <bgColor rgb="FFF3E5F5"/>
      </patternFill>
    </fill>
    <fill>
      <patternFill patternType="solid">
        <fgColor rgb="FFFCE4D6"/>
        <bgColor rgb="FFFDECEA"/>
      </patternFill>
    </fill>
    <fill>
      <patternFill patternType="solid">
        <fgColor rgb="FFE2EFDA"/>
        <bgColor rgb="FFE1EAF1"/>
      </patternFill>
    </fill>
    <fill>
      <patternFill patternType="solid">
        <fgColor rgb="FF4A77C4"/>
        <bgColor rgb="FF4471C0"/>
      </patternFill>
    </fill>
    <fill>
      <patternFill patternType="solid">
        <fgColor rgb="FF6A0572"/>
        <bgColor rgb="FF1A1A2E"/>
      </patternFill>
    </fill>
    <fill>
      <patternFill patternType="solid">
        <fgColor rgb="FFF3E5F5"/>
        <bgColor rgb="FFFDECEA"/>
      </patternFill>
    </fill>
    <fill>
      <patternFill patternType="solid">
        <fgColor rgb="FF264478"/>
        <bgColor rgb="FF1F4E78"/>
      </patternFill>
    </fill>
    <fill>
      <patternFill patternType="solid">
        <fgColor rgb="FFE1EAF1"/>
        <bgColor rgb="FFE2EFDA"/>
      </patternFill>
    </fill>
    <fill>
      <patternFill patternType="solid">
        <fgColor rgb="FFEFF5FB"/>
        <bgColor rgb="FFF5F5F7"/>
      </patternFill>
    </fill>
    <fill>
      <patternFill patternType="solid">
        <fgColor rgb="FF1F4E78"/>
        <bgColor rgb="FF26447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BFBFC6"/>
      </left>
      <right style="thin">
        <color rgb="FFBFBFC6"/>
      </right>
      <top style="thin">
        <color rgb="FFBFBFC6"/>
      </top>
      <bottom style="thin">
        <color rgb="FFBFBFC6"/>
      </bottom>
      <diagonal/>
    </border>
    <border diagonalUp="false" diagonalDown="false">
      <left style="thin">
        <color rgb="FFE0E0E1"/>
      </left>
      <right style="thin">
        <color rgb="FFE0E0E1"/>
      </right>
      <top style="thin">
        <color rgb="FFE0E0E1"/>
      </top>
      <bottom style="thin">
        <color rgb="FFE0E0E1"/>
      </bottom>
      <diagonal/>
    </border>
    <border diagonalUp="false" diagonalDown="false">
      <left style="thin">
        <color rgb="FFD7D8D8"/>
      </left>
      <right style="thin">
        <color rgb="FFD7D8D8"/>
      </right>
      <top style="thin">
        <color rgb="FFD7D8D8"/>
      </top>
      <bottom style="thin">
        <color rgb="FFD7D8D8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0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0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7" fillId="1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2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2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2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3" fillId="2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3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4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5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2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77C06C"/>
      <rgbColor rgb="FF4A77C4"/>
      <rgbColor rgb="FFE0E0E1"/>
      <rgbColor rgb="FFC0504D"/>
      <rgbColor rgb="FFD7D8D8"/>
      <rgbColor rgb="FFBC0001"/>
      <rgbColor rgb="FF1F4E78"/>
      <rgbColor rgb="FF4A4A6A"/>
      <rgbColor rgb="FF7C9740"/>
      <rgbColor rgb="FFE31837"/>
      <rgbColor rgb="FF2980B9"/>
      <rgbColor rgb="FFBFBFBF"/>
      <rgbColor rgb="FF86808C"/>
      <rgbColor rgb="FF9999BB"/>
      <rgbColor rgb="FFBC3B2F"/>
      <rgbColor rgb="FFFFF2CC"/>
      <rgbColor rgb="FFE1EAF1"/>
      <rgbColor rgb="FF6A0572"/>
      <rgbColor rgb="FFF6A424"/>
      <rgbColor rgb="FF0070C0"/>
      <rgbColor rgb="FFD0D0D0"/>
      <rgbColor rgb="FFF9FAFB"/>
      <rgbColor rgb="FFF3E5F5"/>
      <rgbColor rgb="FFD9D9D9"/>
      <rgbColor rgb="FFEFF5FB"/>
      <rgbColor rgb="FF484868"/>
      <rgbColor rgb="FFC00000"/>
      <rgbColor rgb="FF3B82B9"/>
      <rgbColor rgb="FFF5F5F7"/>
      <rgbColor rgb="FF4F81BD"/>
      <rgbColor rgb="FFF0FFF0"/>
      <rgbColor rgb="FFE2EFDA"/>
      <rgbColor rgb="FFFDECEA"/>
      <rgbColor rgb="FFB8BBDD"/>
      <rgbColor rgb="FFBFBFC6"/>
      <rgbColor rgb="FFBCB2B2"/>
      <rgbColor rgb="FFFCE4D6"/>
      <rgbColor rgb="FF4471C0"/>
      <rgbColor rgb="FF3995B3"/>
      <rgbColor rgb="FF70AD47"/>
      <rgbColor rgb="FFF9AB13"/>
      <rgbColor rgb="FFFF9900"/>
      <rgbColor rgb="FFEB7D32"/>
      <rgbColor rgb="FF5A595B"/>
      <rgbColor rgb="FF999999"/>
      <rgbColor rgb="FF153063"/>
      <rgbColor rgb="FF27AE60"/>
      <rgbColor rgb="FF375623"/>
      <rgbColor rgb="FF1A1A2E"/>
      <rgbColor rgb="FF7B3F00"/>
      <rgbColor rgb="FFC0392B"/>
      <rgbColor rgb="FF264478"/>
      <rgbColor rgb="FF1D36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Feedback by IBU — Total vs Open &amp; High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Feedback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Open &amp; High Severity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overlap val="0"/>
        <c:axId val="23074952"/>
        <c:axId val="86697399"/>
      </c:barChart>
      <c:catAx>
        <c:axId val="2307495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Number of 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697399"/>
        <c:crosses val="autoZero"/>
        <c:auto val="1"/>
        <c:lblAlgn val="ctr"/>
        <c:lblOffset val="100"/>
        <c:noMultiLvlLbl val="0"/>
      </c:catAx>
      <c:valAx>
        <c:axId val="866973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IBU Code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0749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Engagement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Calc!$AH$2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Calc!$AG$3:$AG$15</c:f>
              <c:strCache>
                <c:ptCount val="13"/>
                <c:pt idx="0">
                  <c:v>Large Connect</c:v>
                </c:pt>
                <c:pt idx="1">
                  <c:v>FGD</c:v>
                </c:pt>
                <c:pt idx="2">
                  <c:v>1:1</c:v>
                </c:pt>
                <c:pt idx="3">
                  <c:v>Location-Offshore</c:v>
                </c:pt>
                <c:pt idx="4">
                  <c:v>Floor Connect</c:v>
                </c:pt>
                <c:pt idx="5">
                  <c:v>Workshop/Session</c:v>
                </c:pt>
                <c:pt idx="6">
                  <c:v>Location-Mixed</c:v>
                </c:pt>
                <c:pt idx="7">
                  <c:v>Induction</c:v>
                </c:pt>
                <c:pt idx="8">
                  <c:v>Leadership Connect</c:v>
                </c:pt>
                <c:pt idx="9">
                  <c:v>Monthly Cadence</c:v>
                </c:pt>
                <c:pt idx="10">
                  <c:v>Connect with Women Associates</c:v>
                </c:pt>
                <c:pt idx="11">
                  <c:v>Account Based</c:v>
                </c:pt>
                <c:pt idx="12">
                  <c:v>New Joiner Induction</c:v>
                </c:pt>
              </c:strCache>
            </c:strRef>
          </c:cat>
          <c:val>
            <c:numRef>
              <c:f>Calc!$AH$3:$AH$15</c:f>
              <c:numCache>
                <c:formatCode>General</c:formatCode>
                <c:ptCount val="13"/>
                <c:pt idx="0">
                  <c:v>28</c:v>
                </c:pt>
                <c:pt idx="1">
                  <c:v>24</c:v>
                </c:pt>
                <c:pt idx="2">
                  <c:v>19</c:v>
                </c:pt>
                <c:pt idx="3">
                  <c:v>11</c:v>
                </c:pt>
                <c:pt idx="4">
                  <c:v>10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21714929"/>
        <c:axId val="35960016"/>
      </c:barChart>
      <c:catAx>
        <c:axId val="217149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60016"/>
        <c:crosses val="autoZero"/>
        <c:auto val="1"/>
        <c:lblAlgn val="ctr"/>
        <c:lblOffset val="100"/>
        <c:noMultiLvlLbl val="0"/>
      </c:catAx>
      <c:valAx>
        <c:axId val="359600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4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Session Distribution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Calc!$AB$2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Calc!$AA$3:$AA$17</c:f>
              <c:strCache>
                <c:ptCount val="15"/>
                <c:pt idx="0">
                  <c:v>HR Connect (Project Wise)</c:v>
                </c:pt>
                <c:pt idx="1">
                  <c:v>New Joiner Connect (60 Days)</c:v>
                </c:pt>
                <c:pt idx="2">
                  <c:v>New Joiner Connect (90 Days)</c:v>
                </c:pt>
                <c:pt idx="3">
                  <c:v>New Joiner Connect (30 Days)</c:v>
                </c:pt>
                <c:pt idx="4">
                  <c:v>ELTP Connect (12-24m)</c:v>
                </c:pt>
                <c:pt idx="5">
                  <c:v>Skip Meeting</c:v>
                </c:pt>
                <c:pt idx="6">
                  <c:v>New Joiner Connect (7 Days)</c:v>
                </c:pt>
                <c:pt idx="7">
                  <c:v>Top Talent FGD Connect</c:v>
                </c:pt>
                <c:pt idx="8">
                  <c:v>ELTP Connect (Practice Level)</c:v>
                </c:pt>
                <c:pt idx="9">
                  <c:v>Leadership Connect</c:v>
                </c:pt>
                <c:pt idx="10">
                  <c:v>Josh (Fun Engagements)</c:v>
                </c:pt>
                <c:pt idx="11">
                  <c:v>Top Talent Connect</c:v>
                </c:pt>
                <c:pt idx="12">
                  <c:v>ELTP Connect (&lt;6m)</c:v>
                </c:pt>
                <c:pt idx="13">
                  <c:v>LSA Connect</c:v>
                </c:pt>
                <c:pt idx="14">
                  <c:v>Exclusive Award Ceremony</c:v>
                </c:pt>
              </c:strCache>
            </c:strRef>
          </c:cat>
          <c:val>
            <c:numRef>
              <c:f>Calc!$AB$3:$AB$17</c:f>
              <c:numCache>
                <c:formatCode>General</c:formatCode>
                <c:ptCount val="15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Sentiment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Calc!$B$23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185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Calc!$A$24:$A$26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Mixed</c:v>
                </c:pt>
              </c:strCache>
            </c:strRef>
          </c:cat>
          <c:val>
            <c:numRef>
              <c:f>Calc!$B$24:$B$26</c:f>
              <c:numCache>
                <c:formatCode>General</c:formatCode>
                <c:ptCount val="3"/>
                <c:pt idx="0">
                  <c:v>62</c:v>
                </c:pt>
                <c:pt idx="1">
                  <c:v>24</c:v>
                </c:pt>
                <c:pt idx="2">
                  <c:v>11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Calc!$B$29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Calc!$A$30:$A$32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Calc!$B$30:$B$32</c:f>
              <c:numCache>
                <c:formatCode>0%</c:formatCode>
                <c:ptCount val="3"/>
                <c:pt idx="0">
                  <c:v>0.22</c:v>
                </c:pt>
                <c:pt idx="1">
                  <c:v>0.44</c:v>
                </c:pt>
                <c:pt idx="2">
                  <c:v>0.34</c:v>
                </c:pt>
              </c:numCache>
            </c:numRef>
          </c:val>
        </c:ser>
        <c:gapWidth val="150"/>
        <c:overlap val="0"/>
        <c:axId val="22262208"/>
        <c:axId val="12086915"/>
      </c:barChart>
      <c:catAx>
        <c:axId val="22262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86915"/>
        <c:crosses val="autoZero"/>
        <c:auto val="1"/>
        <c:lblAlgn val="ctr"/>
        <c:lblOffset val="100"/>
        <c:noMultiLvlLbl val="0"/>
      </c:catAx>
      <c:valAx>
        <c:axId val="12086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62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3872190888683"/>
          <c:y val="0.411782721756718"/>
          <c:w val="0.23194942211434"/>
          <c:h val="0.221181739381682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980b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a4a6a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Calc!$A$42:$A$46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Calc!$B$42:$B$46</c:f>
              <c:numCache>
                <c:formatCode>General</c:formatCode>
                <c:ptCount val="5"/>
                <c:pt idx="0">
                  <c:v>56</c:v>
                </c:pt>
                <c:pt idx="1">
                  <c:v>18</c:v>
                </c:pt>
                <c:pt idx="2">
                  <c:v>19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59791592"/>
        <c:axId val="97484519"/>
      </c:barChart>
      <c:catAx>
        <c:axId val="59791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84519"/>
        <c:crosses val="autoZero"/>
        <c:auto val="1"/>
        <c:lblAlgn val="ctr"/>
        <c:lblOffset val="100"/>
        <c:noMultiLvlLbl val="0"/>
      </c:catAx>
      <c:valAx>
        <c:axId val="97484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91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600" spc="-1" strike="noStrike">
                <a:solidFill>
                  <a:srgbClr val="000000"/>
                </a:solidFill>
                <a:latin typeface="Calibri"/>
              </a:rPr>
              <a:t>Engagement Mode</a:t>
            </a:r>
          </a:p>
        </c:rich>
      </c:tx>
      <c:layout>
        <c:manualLayout>
          <c:xMode val="edge"/>
          <c:yMode val="edge"/>
          <c:x val="0.219292097424216"/>
          <c:y val="0.012612402195492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0751708428246"/>
          <c:y val="0.170384211140955"/>
          <c:w val="0.577361135447696"/>
          <c:h val="0.549456966016583"/>
        </c:manualLayout>
      </c:layout>
      <c:doughnutChart>
        <c:varyColors val="1"/>
        <c:ser>
          <c:idx val="0"/>
          <c:order val="0"/>
          <c:tx>
            <c:strRef>
              <c:f>Calc!$B$49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793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980b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Calc!$A$50:$A$53</c:f>
              <c:strCache>
                <c:ptCount val="4"/>
                <c:pt idx="0">
                  <c:v>Virtual</c:v>
                </c:pt>
                <c:pt idx="1">
                  <c:v>In-person (Tech/Office)</c:v>
                </c:pt>
                <c:pt idx="2">
                  <c:v>Virtual + In-person</c:v>
                </c:pt>
                <c:pt idx="3">
                  <c:v>In-person (Client)</c:v>
                </c:pt>
              </c:strCache>
            </c:strRef>
          </c:cat>
          <c:val>
            <c:numRef>
              <c:f>Calc!$B$50:$B$53</c:f>
              <c:numCache>
                <c:formatCode>General</c:formatCode>
                <c:ptCount val="4"/>
                <c:pt idx="0">
                  <c:v>60</c:v>
                </c:pt>
                <c:pt idx="1">
                  <c:v>27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26297289297667"/>
          <c:y val="0.563175124650522"/>
          <c:w val="0.343116977051573"/>
          <c:h val="0.41721164455727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05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050" spc="-1" strike="noStrike">
                <a:solidFill>
                  <a:srgbClr val="000000"/>
                </a:solidFill>
                <a:latin typeface="Calibri"/>
              </a:rPr>
              <a:t>Coverage by Connect Type</a:t>
            </a:r>
          </a:p>
        </c:rich>
      </c:tx>
      <c:layout>
        <c:manualLayout>
          <c:xMode val="edge"/>
          <c:yMode val="edge"/>
          <c:x val="0.565658301821932"/>
          <c:y val="0.068010387040929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8484015125473"/>
          <c:y val="0.065042661060962"/>
          <c:w val="0.580096253007907"/>
          <c:h val="0.8918016569803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Calc!$X$2</c:f>
              <c:strCache>
                <c:ptCount val="1"/>
                <c:pt idx="0">
                  <c:v>Sessions Covered</c:v>
                </c:pt>
              </c:strCache>
            </c:strRef>
          </c:tx>
          <c:spPr>
            <a:solidFill>
              <a:srgbClr val="e3183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Calc!$W$3:$W$10</c:f>
              <c:strCache>
                <c:ptCount val="8"/>
                <c:pt idx="0">
                  <c:v>HR Connect (General)</c:v>
                </c:pt>
                <c:pt idx="1">
                  <c:v>HR Connect (Project-Wise)</c:v>
                </c:pt>
                <c:pt idx="2">
                  <c:v>New Joinee Connect (7 Days)</c:v>
                </c:pt>
                <c:pt idx="3">
                  <c:v>New Joiner Connect (30 Days)</c:v>
                </c:pt>
                <c:pt idx="4">
                  <c:v>New Joiner Connect (60 Days)</c:v>
                </c:pt>
                <c:pt idx="5">
                  <c:v>New Joiner Connect (90 Days)</c:v>
                </c:pt>
                <c:pt idx="6">
                  <c:v>SL Induction</c:v>
                </c:pt>
                <c:pt idx="7">
                  <c:v>Townhall</c:v>
                </c:pt>
              </c:strCache>
            </c:strRef>
          </c:cat>
          <c:val>
            <c:numRef>
              <c:f>Calc!$X$3:$X$10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</c:numCache>
            </c:numRef>
          </c:val>
        </c:ser>
        <c:gapWidth val="150"/>
        <c:overlap val="0"/>
        <c:axId val="89576655"/>
        <c:axId val="15040086"/>
      </c:barChart>
      <c:catAx>
        <c:axId val="89576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40086"/>
        <c:crosses val="autoZero"/>
        <c:auto val="1"/>
        <c:lblAlgn val="ctr"/>
        <c:lblOffset val="100"/>
        <c:noMultiLvlLbl val="0"/>
      </c:catAx>
      <c:valAx>
        <c:axId val="150400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76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Action Items: Status ×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Dashboard!$D$107</c:f>
              <c:strCache>
                <c:ptCount val="1"/>
                <c:pt idx="0">
                  <c:v>🔴 High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Dashboard!$D$108:$D$110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</c:ser>
        <c:ser>
          <c:idx val="1"/>
          <c:order val="1"/>
          <c:tx>
            <c:strRef>
              <c:f>Dashboard!$E$107</c:f>
              <c:strCache>
                <c:ptCount val="1"/>
                <c:pt idx="0">
                  <c:v>🟡 Moderate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Dashboard!$E$108:$E$110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30</c:v>
                </c:pt>
              </c:numCache>
            </c:numRef>
          </c:val>
        </c:ser>
        <c:ser>
          <c:idx val="2"/>
          <c:order val="2"/>
          <c:tx>
            <c:strRef>
              <c:f>Dashboard!$F$107</c:f>
              <c:strCache>
                <c:ptCount val="1"/>
                <c:pt idx="0">
                  <c:v>🟢 Low</c:v>
                </c:pt>
              </c:strCache>
            </c:strRef>
          </c:tx>
          <c:spPr>
            <a:solidFill>
              <a:srgbClr val="375623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Dashboard!$F$108:$F$110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27</c:v>
                </c:pt>
              </c:numCache>
            </c:numRef>
          </c:val>
        </c:ser>
        <c:gapWidth val="150"/>
        <c:overlap val="0"/>
        <c:axId val="14696527"/>
        <c:axId val="97879930"/>
      </c:barChart>
      <c:catAx>
        <c:axId val="14696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79930"/>
        <c:crosses val="autoZero"/>
        <c:auto val="1"/>
        <c:lblAlgn val="ctr"/>
        <c:lblOffset val="100"/>
        <c:noMultiLvlLbl val="0"/>
      </c:catAx>
      <c:valAx>
        <c:axId val="978799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96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Lever: Sessions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577698695136"/>
          <c:y val="0.158602690222847"/>
          <c:w val="0.67628838803216"/>
          <c:h val="0.66532824733989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Dashboard!$E$148</c:f>
              <c:strCache>
                <c:ptCount val="1"/>
                <c:pt idx="0">
                  <c:v>High Sev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Dashboard!$E$149:$E$153</c:f>
              <c:numCache>
                <c:formatCode>General</c:formatCode>
                <c:ptCount val="5"/>
                <c:pt idx="0">
                  <c:v>13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Dashboard!$F$148</c:f>
              <c:strCache>
                <c:ptCount val="1"/>
                <c:pt idx="0">
                  <c:v>Mod Sev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Dashboard!$F$149:$F$153</c:f>
              <c:numCache>
                <c:formatCode>General</c:formatCode>
                <c:ptCount val="5"/>
                <c:pt idx="0">
                  <c:v>27</c:v>
                </c:pt>
                <c:pt idx="1">
                  <c:v>6</c:v>
                </c:pt>
                <c:pt idx="2">
                  <c:v>10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Dashboard!$G$148</c:f>
              <c:strCache>
                <c:ptCount val="1"/>
                <c:pt idx="0">
                  <c:v>Low Sev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Dashboard!$G$149:$G$153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32474043"/>
        <c:axId val="30541983"/>
      </c:barChart>
      <c:catAx>
        <c:axId val="324740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41983"/>
        <c:crosses val="autoZero"/>
        <c:auto val="1"/>
        <c:lblAlgn val="ctr"/>
        <c:lblOffset val="100"/>
        <c:noMultiLvlLbl val="0"/>
      </c:catAx>
      <c:valAx>
        <c:axId val="305419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74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Top Organizational Concerns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Calc!$AE$2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Calc!$AD$3:$AD$12</c:f>
              <c:strCache>
                <c:ptCount val="10"/>
                <c:pt idx="0">
                  <c:v>Feedback on recent processes</c:v>
                </c:pt>
                <c:pt idx="1">
                  <c:v>Clarity on expectations</c:v>
                </c:pt>
                <c:pt idx="2">
                  <c:v>Business &amp; Strategy Clarity</c:v>
                </c:pt>
                <c:pt idx="3">
                  <c:v>General wellbeing check-in</c:v>
                </c:pt>
                <c:pt idx="4">
                  <c:v>Career Visibility &amp; Skill Roadmap</c:v>
                </c:pt>
                <c:pt idx="5">
                  <c:v>Business Context &amp; Org Awareness</c:v>
                </c:pt>
                <c:pt idx="6">
                  <c:v>Business &amp; Practice Awareness</c:v>
                </c:pt>
                <c:pt idx="7">
                  <c:v>HR / WFM / Training Communication Effectiveness</c:v>
                </c:pt>
                <c:pt idx="8">
                  <c:v>Career Progression &amp; Next-Level Readiness</c:v>
                </c:pt>
                <c:pt idx="9">
                  <c:v>AI/future Readiness Messaging Is High-level</c:v>
                </c:pt>
              </c:strCache>
            </c:strRef>
          </c:cat>
          <c:val>
            <c:numRef>
              <c:f>Calc!$AE$3:$AE$12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gapWidth val="150"/>
        <c:overlap val="0"/>
        <c:axId val="9482051"/>
        <c:axId val="26745609"/>
      </c:barChart>
      <c:catAx>
        <c:axId val="94820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45609"/>
        <c:crosses val="autoZero"/>
        <c:auto val="1"/>
        <c:lblAlgn val="ctr"/>
        <c:lblOffset val="100"/>
        <c:noMultiLvlLbl val="0"/>
      </c:catAx>
      <c:valAx>
        <c:axId val="267456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20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Relationship Id="rId9" Type="http://schemas.openxmlformats.org/officeDocument/2006/relationships/chart" Target="../charts/chart10.xml"/><Relationship Id="rId10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149</xdr:row>
      <xdr:rowOff>162000</xdr:rowOff>
    </xdr:from>
    <xdr:to>
      <xdr:col>7</xdr:col>
      <xdr:colOff>1404720</xdr:colOff>
      <xdr:row>166</xdr:row>
      <xdr:rowOff>185400</xdr:rowOff>
    </xdr:to>
    <xdr:graphicFrame>
      <xdr:nvGraphicFramePr>
        <xdr:cNvPr id="0" name="Chart 1"/>
        <xdr:cNvGraphicFramePr/>
      </xdr:nvGraphicFramePr>
      <xdr:xfrm>
        <a:off x="7924320" y="31794480"/>
        <a:ext cx="6227280" cy="34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155</xdr:row>
      <xdr:rowOff>0</xdr:rowOff>
    </xdr:from>
    <xdr:to>
      <xdr:col>17</xdr:col>
      <xdr:colOff>304200</xdr:colOff>
      <xdr:row>172</xdr:row>
      <xdr:rowOff>186840</xdr:rowOff>
    </xdr:to>
    <xdr:graphicFrame>
      <xdr:nvGraphicFramePr>
        <xdr:cNvPr id="1" name="Chart 1"/>
        <xdr:cNvGraphicFramePr/>
      </xdr:nvGraphicFramePr>
      <xdr:xfrm>
        <a:off x="181080" y="34575840"/>
        <a:ext cx="9204120" cy="509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70</xdr:row>
      <xdr:rowOff>0</xdr:rowOff>
    </xdr:from>
    <xdr:to>
      <xdr:col>15</xdr:col>
      <xdr:colOff>304560</xdr:colOff>
      <xdr:row>88</xdr:row>
      <xdr:rowOff>187200</xdr:rowOff>
    </xdr:to>
    <xdr:graphicFrame>
      <xdr:nvGraphicFramePr>
        <xdr:cNvPr id="2" name="Chart 2"/>
        <xdr:cNvGraphicFramePr/>
      </xdr:nvGraphicFramePr>
      <xdr:xfrm>
        <a:off x="181080" y="13296960"/>
        <a:ext cx="8197560" cy="42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360</xdr:colOff>
      <xdr:row>15</xdr:row>
      <xdr:rowOff>0</xdr:rowOff>
    </xdr:from>
    <xdr:to>
      <xdr:col>5</xdr:col>
      <xdr:colOff>254160</xdr:colOff>
      <xdr:row>33</xdr:row>
      <xdr:rowOff>62280</xdr:rowOff>
    </xdr:to>
    <xdr:graphicFrame>
      <xdr:nvGraphicFramePr>
        <xdr:cNvPr id="3" name="Chart 3"/>
        <xdr:cNvGraphicFramePr/>
      </xdr:nvGraphicFramePr>
      <xdr:xfrm>
        <a:off x="181440" y="2905200"/>
        <a:ext cx="3646440" cy="31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418680</xdr:colOff>
      <xdr:row>15</xdr:row>
      <xdr:rowOff>0</xdr:rowOff>
    </xdr:from>
    <xdr:to>
      <xdr:col>13</xdr:col>
      <xdr:colOff>112320</xdr:colOff>
      <xdr:row>33</xdr:row>
      <xdr:rowOff>28440</xdr:rowOff>
    </xdr:to>
    <xdr:graphicFrame>
      <xdr:nvGraphicFramePr>
        <xdr:cNvPr id="4" name="Chart 4"/>
        <xdr:cNvGraphicFramePr/>
      </xdr:nvGraphicFramePr>
      <xdr:xfrm>
        <a:off x="3992400" y="2905200"/>
        <a:ext cx="3348000" cy="311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204480</xdr:colOff>
      <xdr:row>15</xdr:row>
      <xdr:rowOff>33480</xdr:rowOff>
    </xdr:from>
    <xdr:to>
      <xdr:col>22</xdr:col>
      <xdr:colOff>236880</xdr:colOff>
      <xdr:row>33</xdr:row>
      <xdr:rowOff>50760</xdr:rowOff>
    </xdr:to>
    <xdr:graphicFrame>
      <xdr:nvGraphicFramePr>
        <xdr:cNvPr id="5" name="Chart 5"/>
        <xdr:cNvGraphicFramePr/>
      </xdr:nvGraphicFramePr>
      <xdr:xfrm>
        <a:off x="7432560" y="2938680"/>
        <a:ext cx="4372200" cy="310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10</xdr:col>
      <xdr:colOff>303840</xdr:colOff>
      <xdr:row>52</xdr:row>
      <xdr:rowOff>167760</xdr:rowOff>
    </xdr:to>
    <xdr:graphicFrame>
      <xdr:nvGraphicFramePr>
        <xdr:cNvPr id="6" name="Chart 6"/>
        <xdr:cNvGraphicFramePr/>
      </xdr:nvGraphicFramePr>
      <xdr:xfrm>
        <a:off x="2154600" y="6315120"/>
        <a:ext cx="4108680" cy="308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35</xdr:row>
      <xdr:rowOff>0</xdr:rowOff>
    </xdr:from>
    <xdr:to>
      <xdr:col>20</xdr:col>
      <xdr:colOff>423360</xdr:colOff>
      <xdr:row>51</xdr:row>
      <xdr:rowOff>167760</xdr:rowOff>
    </xdr:to>
    <xdr:graphicFrame>
      <xdr:nvGraphicFramePr>
        <xdr:cNvPr id="7" name="Chart 7"/>
        <xdr:cNvGraphicFramePr/>
      </xdr:nvGraphicFramePr>
      <xdr:xfrm>
        <a:off x="6805440" y="6315120"/>
        <a:ext cx="4188600" cy="291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105</xdr:row>
      <xdr:rowOff>62640</xdr:rowOff>
    </xdr:from>
    <xdr:to>
      <xdr:col>19</xdr:col>
      <xdr:colOff>466920</xdr:colOff>
      <xdr:row>118</xdr:row>
      <xdr:rowOff>69120</xdr:rowOff>
    </xdr:to>
    <xdr:graphicFrame>
      <xdr:nvGraphicFramePr>
        <xdr:cNvPr id="8" name="Chart 8"/>
        <xdr:cNvGraphicFramePr/>
      </xdr:nvGraphicFramePr>
      <xdr:xfrm>
        <a:off x="5113800" y="22598640"/>
        <a:ext cx="5380560" cy="272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146520</xdr:colOff>
      <xdr:row>146</xdr:row>
      <xdr:rowOff>115200</xdr:rowOff>
    </xdr:from>
    <xdr:to>
      <xdr:col>21</xdr:col>
      <xdr:colOff>151560</xdr:colOff>
      <xdr:row>152</xdr:row>
      <xdr:rowOff>212400</xdr:rowOff>
    </xdr:to>
    <xdr:graphicFrame>
      <xdr:nvGraphicFramePr>
        <xdr:cNvPr id="9" name="Chart 9"/>
        <xdr:cNvGraphicFramePr/>
      </xdr:nvGraphicFramePr>
      <xdr:xfrm>
        <a:off x="5682960" y="32252400"/>
        <a:ext cx="5462280" cy="179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19080</xdr:colOff>
      <xdr:row>134</xdr:row>
      <xdr:rowOff>200160</xdr:rowOff>
    </xdr:from>
    <xdr:to>
      <xdr:col>18</xdr:col>
      <xdr:colOff>75960</xdr:colOff>
      <xdr:row>143</xdr:row>
      <xdr:rowOff>275760</xdr:rowOff>
    </xdr:to>
    <xdr:graphicFrame>
      <xdr:nvGraphicFramePr>
        <xdr:cNvPr id="10" name="Chart 10"/>
        <xdr:cNvGraphicFramePr/>
      </xdr:nvGraphicFramePr>
      <xdr:xfrm>
        <a:off x="200160" y="29022840"/>
        <a:ext cx="937980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sightData" displayName="InsightData" ref="A1:AL20001" headerRowCount="1" totalsRowCount="0" totalsRowShown="0">
  <autoFilter ref="A1:AL20001">
    <filterColumn colId="21">
      <filters>
        <filter val="High"/>
      </filters>
    </filterColumn>
    <filterColumn colId="22">
      <filters>
        <filter val="In-progress"/>
        <filter val="Open"/>
      </filters>
    </filterColumn>
  </autoFilter>
  <tableColumns count="38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Selected Connect"/>
    <tableColumn id="25" name="Matched Connect Name"/>
    <tableColumn id="26" name="Coverage"/>
    <tableColumn id="27" name="Coverage 2"/>
    <tableColumn id="28" name="Coverage 3"/>
    <tableColumn id="29" name="Coverage 4"/>
    <tableColumn id="30" name="Coverage 5"/>
    <tableColumn id="31" name="Coverage 6"/>
    <tableColumn id="32" name="Coverage 7"/>
    <tableColumn id="33" name="Action Plan"/>
    <tableColumn id="34" name="Action Plan 2"/>
    <tableColumn id="35" name="Action Plan 3"/>
    <tableColumn id="36" name="Action Plan 4"/>
    <tableColumn id="37" name="Description"/>
    <tableColumn id="38" name="Column1"/>
  </tableColumns>
</table>
</file>

<file path=xl/tables/table2.xml><?xml version="1.0" encoding="utf-8"?>
<table xmlns="http://schemas.openxmlformats.org/spreadsheetml/2006/main" id="2" name="RawData" displayName="RawData" ref="A1:CY5001" headerRowCount="1" totalsRowCount="0" totalsRowShown="0">
  <autoFilter ref="A1:CY5001"/>
  <tableColumns count="103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Engagement Type"/>
    <tableColumn id="10" name="IBU/Practice/Location"/>
    <tableColumn id="11" name="Mention your location {Ex. Noida}"/>
    <tableColumn id="12" name="PRACTICE CODE (As per head count report) {Ex. DEA-D-2007}"/>
    <tableColumn id="13" name="Band"/>
    <tableColumn id="14" name="Engagement Mode"/>
    <tableColumn id="15" name="Service Line"/>
    <tableColumn id="16" name="EMPLOYEE IBU CODE (As per head count report) {Ex. DEA-D-4031}"/>
    <tableColumn id="17" name="PROJECT DESCRIPTION (As per head count report) {If Mixed then list down all the Project name/Practice/ SL}"/>
    <tableColumn id="18" name="LSA Connect (In detail)"/>
    <tableColumn id="19" name="Exclusive Award Ceremony (Not part of Townhall) (In detail)"/>
    <tableColumn id="20" name="Cadence Connect"/>
    <tableColumn id="21" name="CARES Framework"/>
    <tableColumn id="22" name="Career"/>
    <tableColumn id="23" name="Alignment"/>
    <tableColumn id="24" name="Recognition"/>
    <tableColumn id="25" name="Empowerment"/>
    <tableColumn id="26" name="Strive"/>
    <tableColumn id="27" name="Townhall - Coverage"/>
    <tableColumn id="28" name="Townhall - Key Insight&#10;"/>
    <tableColumn id="29" name=" Townhall - Action Plan"/>
    <tableColumn id="30" name="SL Induction - Coverage"/>
    <tableColumn id="31" name="SL Induction - Key Insight"/>
    <tableColumn id="32" name="SL Induction - Action Plan"/>
    <tableColumn id="33" name="Business Wait Connect - Coverage"/>
    <tableColumn id="34" name="Business Wait Connect - Key Insight"/>
    <tableColumn id="35" name="Business Wait Connect - Action Plan"/>
    <tableColumn id="36" name="ELTP Connect (Practice Level) - Coverage"/>
    <tableColumn id="37" name="ELTP Connect (Practice Level) - Key Insight"/>
    <tableColumn id="38" name="ELTP Connect (Practice Level) - Action Plan&#10;"/>
    <tableColumn id="39" name="ELTP Connect (&lt;6m) - Coverage"/>
    <tableColumn id="40" name="ELTP Connect (&lt;6m) - Key Insight"/>
    <tableColumn id="41" name="ELTP Connect (&lt;6m) - Action Plan"/>
    <tableColumn id="42" name="ELTP Connect (6-12m) - Coverage"/>
    <tableColumn id="43" name="ELTP Connect (6-12m) - Key Insight"/>
    <tableColumn id="44" name="ELTP Connect (6-12m) - Action Plan"/>
    <tableColumn id="45" name="ELTP Connect (12-24m) - Coverage"/>
    <tableColumn id="46" name="ELTP Connect (12-24m) - Key Insight"/>
    <tableColumn id="47" name="ELTP Connect (12-24m) - Action Plan"/>
    <tableColumn id="48" name="HR Connect (Project Wise) - Coverage"/>
    <tableColumn id="49" name="HR Connect (Project Wise) - Key Insights "/>
    <tableColumn id="50" name="HR Connect (Project Wise) - Action Plan"/>
    <tableColumn id="51" name="HR Connect (General) - Coverage"/>
    <tableColumn id="52" name="HR Connect (General) - Key Insights"/>
    <tableColumn id="53" name="HR Connect (General) - Action Plan"/>
    <tableColumn id="54" name="Top Talent Connect - Coverage"/>
    <tableColumn id="55" name="Top Talent Connect - Key Insights"/>
    <tableColumn id="56" name="Top Talent Connect - Action Plan"/>
    <tableColumn id="57" name="Top Talent FGD Connect - Coverage"/>
    <tableColumn id="58" name="Top Talent FGD Connect - Key Insights"/>
    <tableColumn id="59" name="Top Talent FGD Connect - Action Plan"/>
    <tableColumn id="60" name="New Joiner Connect (7 Days) - Coverage"/>
    <tableColumn id="61" name="New Joiner Connect (7 Days) - Key Insights"/>
    <tableColumn id="62" name="New Joiner Connect (7 Days) - Action Plan"/>
    <tableColumn id="63" name="New Joiner Connect (30 Days) - Coverage"/>
    <tableColumn id="64" name="New Joiner Connect (30 Days) - Key Insights"/>
    <tableColumn id="65" name="New Joiner Connect (30 Days) - Action Plan"/>
    <tableColumn id="66" name="New Joiner Connect (60 Days) - Coverage"/>
    <tableColumn id="67" name="New Joiner Connect (60 Days) - Key Insights"/>
    <tableColumn id="68" name="New Joiner Connect (60 Days) - Action Plan"/>
    <tableColumn id="69" name="New Joiner Connect (90 Days) - Coverage"/>
    <tableColumn id="70" name="New Joiner Connect (90 Days) - Key Insights"/>
    <tableColumn id="71" name="New Joiner Connect (90 Days) - Action Plan"/>
    <tableColumn id="72" name="ML Returnee Connect - Coverage"/>
    <tableColumn id="73" name="ML Returnee Connect - Key Insights"/>
    <tableColumn id="74" name="ML Returnee Connect - Action Plan"/>
    <tableColumn id="75" name="Skip Meeting - Coverage"/>
    <tableColumn id="76" name="Skip Meeting - Key Insights"/>
    <tableColumn id="77" name="Skip Meeting - Action Plan"/>
    <tableColumn id="78" name="Women Associate Connect - Coverage"/>
    <tableColumn id="79" name="Women Associate Connect - Key Insights"/>
    <tableColumn id="80" name="Women Associate Connect - Action Plan"/>
    <tableColumn id="81" name="Band Specific FGD Connect - Coverage"/>
    <tableColumn id="82" name="Band Specific FGD Connect - Key Insights"/>
    <tableColumn id="83" name="Band Specific FGD Connect - Action Plan"/>
    <tableColumn id="84" name="Leadership Connect - Coverage"/>
    <tableColumn id="85" name="Leadership Connect - Key Insights"/>
    <tableColumn id="86" name="Leadership Connect - Action Plan"/>
    <tableColumn id="87" name="Josh (Fun Engagements) - Coverage"/>
    <tableColumn id="88" name="Josh (Fun Engagements) - Key Insights"/>
    <tableColumn id="89" name="Josh (Fun Engagements) - Action Plan"/>
    <tableColumn id="90" name="Wellness Session - Coverage"/>
    <tableColumn id="91" name="Wellness Session - Key Insights"/>
    <tableColumn id="92" name="Wellness Session - Action Plan"/>
    <tableColumn id="93" name="ISR Activity - Coverage"/>
    <tableColumn id="94" name="ISR Activity - Key Insights"/>
    <tableColumn id="95" name="ISR Activity - Action Plan"/>
    <tableColumn id="96" name="Overall Sentiment"/>
    <tableColumn id="97" name="Action Owner"/>
    <tableColumn id="98" name="Engagement related Queries"/>
    <tableColumn id="99" name="Severity"/>
    <tableColumn id="100" name="Status"/>
    <tableColumn id="101" name="IBU Level Connect (Points discussed if any)"/>
    <tableColumn id="102" name="SL Level Connect (Points discussed if any)"/>
    <tableColumn id="103" name="Practice Level Connect ( (Points discussed if any)"/>
  </tableColumns>
</table>
</file>

<file path=xl/tables/table3.xml><?xml version="1.0" encoding="utf-8"?>
<table xmlns="http://schemas.openxmlformats.org/spreadsheetml/2006/main" id="3" name="SummaryData" displayName="SummaryData" ref="A1:AA20001" headerRowCount="1" totalsRowCount="0" totalsRowShown="0">
  <tableColumns count="27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Engagement Cohort"/>
    <tableColumn id="25" name="Record Type"/>
    <tableColumn id="26" name="Statement Order"/>
    <tableColumn id="27" name="Statement"/>
  </tableColumns>
</table>
</file>

<file path=xl/tables/table4.xml><?xml version="1.0" encoding="utf-8"?>
<table xmlns="http://schemas.openxmlformats.org/spreadsheetml/2006/main" id="4" name="UnmatchedData" displayName="UnmatchedData" ref="A1:C20001" headerRowCount="1" totalsRowCount="0" totalsRowShown="0">
  <autoFilter ref="A1:C20001"/>
  <tableColumns count="3">
    <tableColumn id="1" name="ID"/>
    <tableColumn id="2" name="Selected Connect"/>
    <tableColumn id="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CK176" activePane="bottomRight" state="frozen"/>
      <selection pane="topLeft" activeCell="A1" activeCellId="0" sqref="A1"/>
      <selection pane="topRight" activeCell="CK1" activeCellId="0" sqref="CK1"/>
      <selection pane="bottomLeft" activeCell="A176" activeCellId="0" sqref="A17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2" width="15.42"/>
    <col collapsed="false" customWidth="true" hidden="false" outlineLevel="0" max="4" min="4" style="1" width="8"/>
    <col collapsed="false" customWidth="true" hidden="false" outlineLevel="0" max="5" min="5" style="1" width="14.42"/>
    <col collapsed="false" customWidth="true" hidden="false" outlineLevel="0" max="6" min="6" style="1" width="17.42"/>
    <col collapsed="false" customWidth="true" hidden="false" outlineLevel="0" max="7" min="7" style="1" width="8"/>
    <col collapsed="false" customWidth="true" hidden="false" outlineLevel="0" max="8" min="8" style="2" width="15"/>
    <col collapsed="false" customWidth="true" hidden="false" outlineLevel="0" max="9" min="9" style="2" width="14.71"/>
    <col collapsed="false" customWidth="true" hidden="false" outlineLevel="0" max="10" min="10" style="1" width="10.85"/>
    <col collapsed="false" customWidth="true" hidden="false" outlineLevel="0" max="11" min="11" style="1" width="28.71"/>
    <col collapsed="false" customWidth="true" hidden="false" outlineLevel="0" max="15" min="12" style="1" width="22"/>
    <col collapsed="false" customWidth="true" hidden="false" outlineLevel="0" max="16" min="16" style="1" width="13.42"/>
    <col collapsed="false" customWidth="true" hidden="false" outlineLevel="0" max="17" min="17" style="1" width="8"/>
    <col collapsed="false" customWidth="true" hidden="false" outlineLevel="0" max="18" min="18" style="1" width="9.86"/>
    <col collapsed="false" customWidth="true" hidden="false" outlineLevel="0" max="19" min="19" style="1" width="20.71"/>
    <col collapsed="false" customWidth="true" hidden="false" outlineLevel="0" max="20" min="20" style="1" width="8"/>
    <col collapsed="false" customWidth="true" hidden="false" outlineLevel="0" max="22" min="21" style="1" width="20.71"/>
    <col collapsed="false" customWidth="true" hidden="false" outlineLevel="0" max="66" min="23" style="1" width="22"/>
    <col collapsed="false" customWidth="true" hidden="false" outlineLevel="0" max="67" min="67" style="1" width="20.71"/>
    <col collapsed="false" customWidth="true" hidden="false" outlineLevel="0" max="84" min="68" style="1" width="22"/>
    <col collapsed="false" customWidth="true" hidden="false" outlineLevel="0" max="85" min="85" style="1" width="20.71"/>
    <col collapsed="false" customWidth="true" hidden="false" outlineLevel="0" max="86" min="86" style="1" width="22"/>
    <col collapsed="false" customWidth="true" hidden="false" outlineLevel="0" max="87" min="87" style="1" width="15.29"/>
    <col collapsed="false" customWidth="true" hidden="false" outlineLevel="0" max="88" min="88" style="1" width="10.85"/>
    <col collapsed="false" customWidth="true" hidden="false" outlineLevel="0" max="90" min="90" style="1" width="11.29"/>
    <col collapsed="false" customWidth="true" hidden="false" outlineLevel="0" max="91" min="91" style="1" width="12.29"/>
    <col collapsed="false" customWidth="true" hidden="false" outlineLevel="0" max="92" min="92" style="1" width="9.42"/>
    <col collapsed="false" customWidth="true" hidden="false" outlineLevel="0" max="93" min="93" style="1" width="10.14"/>
    <col collapsed="false" customWidth="true" hidden="false" outlineLevel="0" max="94" min="94" style="1" width="9.71"/>
    <col collapsed="false" customWidth="true" hidden="false" outlineLevel="0" max="95" min="95" style="1" width="10.29"/>
    <col collapsed="false" customWidth="true" hidden="false" outlineLevel="0" max="96" min="96" style="1" width="10.42"/>
    <col collapsed="false" customWidth="true" hidden="false" outlineLevel="0" max="97" min="97" style="1" width="10.29"/>
    <col collapsed="false" customWidth="true" hidden="false" outlineLevel="0" max="98" min="98" style="1" width="10.85"/>
    <col collapsed="false" customWidth="true" hidden="false" outlineLevel="0" max="99" min="99" style="1" width="22"/>
    <col collapsed="false" customWidth="false" hidden="false" outlineLevel="0" max="100" min="100" style="1" width="8.71"/>
    <col collapsed="false" customWidth="true" hidden="false" outlineLevel="0" max="101" min="101" style="1" width="14.14"/>
    <col collapsed="false" customWidth="false" hidden="false" outlineLevel="0" max="111" min="102" style="3" width="8.71"/>
    <col collapsed="false" customWidth="false" hidden="false" outlineLevel="0" max="16384" min="112" style="4" width="8.71"/>
  </cols>
  <sheetData>
    <row r="1" s="4" customFormat="true" ht="39" hidden="false" customHeight="true" outlineLevel="0" collapsed="false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5" t="s">
        <v>97</v>
      </c>
      <c r="CU1" s="8" t="s">
        <v>98</v>
      </c>
      <c r="CV1" s="8" t="s">
        <v>99</v>
      </c>
      <c r="CW1" s="4" t="s">
        <v>100</v>
      </c>
      <c r="CX1" s="4" t="s">
        <v>101</v>
      </c>
      <c r="CY1" s="4" t="s">
        <v>102</v>
      </c>
    </row>
    <row r="2" customFormat="false" ht="11.25" hidden="false" customHeight="true" outlineLevel="0" collapsed="false">
      <c r="A2" s="9" t="n">
        <v>1</v>
      </c>
      <c r="B2" s="10" t="n">
        <v>46150.5185496296</v>
      </c>
      <c r="C2" s="10" t="n">
        <v>46150.5350889815</v>
      </c>
      <c r="D2" s="9" t="s">
        <v>103</v>
      </c>
      <c r="E2" s="9" t="s">
        <v>104</v>
      </c>
      <c r="F2" s="9" t="s">
        <v>105</v>
      </c>
      <c r="G2" s="9" t="s">
        <v>106</v>
      </c>
      <c r="H2" s="10" t="n">
        <v>46142</v>
      </c>
      <c r="I2" s="10" t="s">
        <v>107</v>
      </c>
      <c r="J2" s="9" t="s">
        <v>108</v>
      </c>
      <c r="K2" s="9" t="s">
        <v>109</v>
      </c>
      <c r="L2" s="9" t="s">
        <v>110</v>
      </c>
      <c r="M2" s="9" t="s">
        <v>111</v>
      </c>
      <c r="N2" s="9" t="s">
        <v>112</v>
      </c>
      <c r="O2" s="9" t="s">
        <v>113</v>
      </c>
      <c r="P2" s="9" t="s">
        <v>114</v>
      </c>
      <c r="Q2" s="9" t="s">
        <v>115</v>
      </c>
      <c r="R2" s="9"/>
      <c r="S2" s="9"/>
      <c r="T2" s="9"/>
      <c r="U2" s="9" t="s">
        <v>22</v>
      </c>
      <c r="V2" s="9"/>
      <c r="W2" s="9" t="s">
        <v>116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 t="s">
        <v>117</v>
      </c>
      <c r="BU2" s="9" t="s">
        <v>118</v>
      </c>
      <c r="BV2" s="9" t="s">
        <v>119</v>
      </c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3"/>
      <c r="CN2" s="3"/>
      <c r="CO2" s="3"/>
      <c r="CP2" s="3"/>
      <c r="CQ2" s="3"/>
      <c r="CR2" s="3" t="s">
        <v>120</v>
      </c>
      <c r="CS2" s="3" t="s">
        <v>121</v>
      </c>
      <c r="CT2" s="9" t="s">
        <v>122</v>
      </c>
      <c r="CU2" s="3" t="s">
        <v>123</v>
      </c>
      <c r="CV2" s="3" t="s">
        <v>124</v>
      </c>
      <c r="CW2" s="3"/>
      <c r="DG2" s="4"/>
    </row>
    <row r="3" customFormat="false" ht="11.25" hidden="false" customHeight="true" outlineLevel="0" collapsed="false">
      <c r="A3" s="9" t="n">
        <v>2</v>
      </c>
      <c r="B3" s="10" t="n">
        <v>46110.8195409028</v>
      </c>
      <c r="C3" s="10" t="n">
        <v>46110.840050162</v>
      </c>
      <c r="D3" s="9" t="s">
        <v>125</v>
      </c>
      <c r="E3" s="9" t="s">
        <v>126</v>
      </c>
      <c r="F3" s="9" t="s">
        <v>126</v>
      </c>
      <c r="G3" s="9" t="s">
        <v>127</v>
      </c>
      <c r="H3" s="10" t="n">
        <v>46093</v>
      </c>
      <c r="I3" s="10" t="s">
        <v>107</v>
      </c>
      <c r="J3" s="9" t="s">
        <v>128</v>
      </c>
      <c r="K3" s="9" t="s">
        <v>129</v>
      </c>
      <c r="L3" s="9" t="s">
        <v>130</v>
      </c>
      <c r="M3" s="9" t="s">
        <v>131</v>
      </c>
      <c r="N3" s="9" t="s">
        <v>112</v>
      </c>
      <c r="O3" s="9" t="s">
        <v>132</v>
      </c>
      <c r="P3" s="9" t="s">
        <v>133</v>
      </c>
      <c r="Q3" s="9" t="s">
        <v>134</v>
      </c>
      <c r="R3" s="9"/>
      <c r="S3" s="9"/>
      <c r="T3" s="9"/>
      <c r="U3" s="9" t="s">
        <v>22</v>
      </c>
      <c r="V3" s="9"/>
      <c r="W3" s="9" t="s">
        <v>135</v>
      </c>
      <c r="X3" s="9"/>
      <c r="Y3" s="9"/>
      <c r="Z3" s="9"/>
      <c r="AA3" s="9" t="s">
        <v>136</v>
      </c>
      <c r="AB3" s="9" t="s">
        <v>137</v>
      </c>
      <c r="AC3" s="9" t="s">
        <v>138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3"/>
      <c r="CN3" s="3"/>
      <c r="CO3" s="3"/>
      <c r="CP3" s="3"/>
      <c r="CQ3" s="3"/>
      <c r="CR3" s="3" t="s">
        <v>120</v>
      </c>
      <c r="CS3" s="3" t="s">
        <v>121</v>
      </c>
      <c r="CT3" s="9"/>
      <c r="CU3" s="3" t="s">
        <v>123</v>
      </c>
      <c r="CV3" s="3" t="s">
        <v>139</v>
      </c>
      <c r="CW3" s="3"/>
      <c r="DG3" s="4"/>
    </row>
    <row r="4" customFormat="false" ht="11.25" hidden="false" customHeight="true" outlineLevel="0" collapsed="false">
      <c r="A4" s="9" t="n">
        <v>3</v>
      </c>
      <c r="B4" s="10" t="n">
        <v>46143.6908287963</v>
      </c>
      <c r="C4" s="10" t="n">
        <v>46143.7094977778</v>
      </c>
      <c r="D4" s="9" t="s">
        <v>140</v>
      </c>
      <c r="E4" s="9" t="s">
        <v>141</v>
      </c>
      <c r="F4" s="9" t="s">
        <v>141</v>
      </c>
      <c r="G4" s="9" t="s">
        <v>142</v>
      </c>
      <c r="H4" s="10" t="n">
        <v>46131</v>
      </c>
      <c r="I4" s="10" t="s">
        <v>107</v>
      </c>
      <c r="J4" s="9" t="s">
        <v>128</v>
      </c>
      <c r="K4" s="9" t="s">
        <v>143</v>
      </c>
      <c r="L4" s="9" t="s">
        <v>144</v>
      </c>
      <c r="M4" s="9" t="s">
        <v>131</v>
      </c>
      <c r="N4" s="9" t="s">
        <v>145</v>
      </c>
      <c r="O4" s="9" t="s">
        <v>113</v>
      </c>
      <c r="P4" s="9" t="s">
        <v>146</v>
      </c>
      <c r="Q4" s="9" t="s">
        <v>147</v>
      </c>
      <c r="R4" s="9"/>
      <c r="S4" s="9"/>
      <c r="T4" s="9"/>
      <c r="U4" s="9" t="s">
        <v>22</v>
      </c>
      <c r="V4" s="9"/>
      <c r="W4" s="9" t="s">
        <v>148</v>
      </c>
      <c r="X4" s="9"/>
      <c r="Y4" s="9"/>
      <c r="Z4" s="9"/>
      <c r="AA4" s="9"/>
      <c r="AB4" s="9"/>
      <c r="AC4" s="9"/>
      <c r="AD4" s="9" t="s">
        <v>149</v>
      </c>
      <c r="AE4" s="9" t="s">
        <v>150</v>
      </c>
      <c r="AF4" s="9" t="s">
        <v>151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3"/>
      <c r="CN4" s="3"/>
      <c r="CO4" s="3"/>
      <c r="CP4" s="3"/>
      <c r="CQ4" s="3"/>
      <c r="CR4" s="3" t="s">
        <v>152</v>
      </c>
      <c r="CS4" s="3" t="s">
        <v>121</v>
      </c>
      <c r="CT4" s="9" t="s">
        <v>153</v>
      </c>
      <c r="CU4" s="3" t="s">
        <v>123</v>
      </c>
      <c r="CV4" s="3" t="s">
        <v>124</v>
      </c>
      <c r="CW4" s="3"/>
      <c r="DG4" s="4"/>
    </row>
    <row r="5" customFormat="false" ht="11.25" hidden="false" customHeight="true" outlineLevel="0" collapsed="false">
      <c r="A5" s="9" t="n">
        <v>4</v>
      </c>
      <c r="B5" s="10" t="n">
        <v>46115.8000054977</v>
      </c>
      <c r="C5" s="10" t="n">
        <v>46115.8046698495</v>
      </c>
      <c r="D5" s="9" t="s">
        <v>154</v>
      </c>
      <c r="E5" s="9" t="s">
        <v>155</v>
      </c>
      <c r="F5" s="9" t="s">
        <v>155</v>
      </c>
      <c r="G5" s="9" t="s">
        <v>156</v>
      </c>
      <c r="H5" s="10" t="n">
        <v>46114</v>
      </c>
      <c r="I5" s="10" t="s">
        <v>157</v>
      </c>
      <c r="J5" s="9" t="s">
        <v>108</v>
      </c>
      <c r="K5" s="9" t="s">
        <v>158</v>
      </c>
      <c r="L5" s="9" t="s">
        <v>159</v>
      </c>
      <c r="M5" s="9" t="s">
        <v>111</v>
      </c>
      <c r="N5" s="9" t="s">
        <v>112</v>
      </c>
      <c r="O5" s="9" t="s">
        <v>113</v>
      </c>
      <c r="P5" s="9" t="s">
        <v>160</v>
      </c>
      <c r="Q5" s="9" t="s">
        <v>161</v>
      </c>
      <c r="R5" s="9"/>
      <c r="S5" s="9"/>
      <c r="T5" s="9"/>
      <c r="U5" s="9" t="s">
        <v>22</v>
      </c>
      <c r="V5" s="9"/>
      <c r="W5" s="9" t="s">
        <v>116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 t="s">
        <v>162</v>
      </c>
      <c r="BU5" s="9" t="s">
        <v>163</v>
      </c>
      <c r="BV5" s="9" t="s">
        <v>164</v>
      </c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3"/>
      <c r="CN5" s="3"/>
      <c r="CO5" s="3"/>
      <c r="CP5" s="3"/>
      <c r="CQ5" s="3"/>
      <c r="CR5" s="3" t="s">
        <v>152</v>
      </c>
      <c r="CS5" s="3" t="s">
        <v>165</v>
      </c>
      <c r="CT5" s="9" t="s">
        <v>166</v>
      </c>
      <c r="CU5" s="3" t="s">
        <v>167</v>
      </c>
      <c r="CV5" s="3" t="s">
        <v>168</v>
      </c>
      <c r="CW5" s="3"/>
      <c r="DG5" s="4"/>
    </row>
    <row r="6" customFormat="false" ht="11.25" hidden="false" customHeight="true" outlineLevel="0" collapsed="false">
      <c r="A6" s="9" t="n">
        <v>5</v>
      </c>
      <c r="B6" s="10" t="n">
        <v>46084.5274476505</v>
      </c>
      <c r="C6" s="10" t="n">
        <v>46084.5439754282</v>
      </c>
      <c r="D6" s="9" t="s">
        <v>169</v>
      </c>
      <c r="E6" s="9" t="s">
        <v>170</v>
      </c>
      <c r="F6" s="9" t="s">
        <v>170</v>
      </c>
      <c r="G6" s="9" t="s">
        <v>171</v>
      </c>
      <c r="H6" s="10" t="n">
        <v>46080</v>
      </c>
      <c r="I6" s="10" t="s">
        <v>172</v>
      </c>
      <c r="J6" s="9" t="s">
        <v>108</v>
      </c>
      <c r="K6" s="9" t="s">
        <v>173</v>
      </c>
      <c r="L6" s="9" t="s">
        <v>144</v>
      </c>
      <c r="M6" s="9" t="s">
        <v>111</v>
      </c>
      <c r="N6" s="9" t="s">
        <v>112</v>
      </c>
      <c r="O6" s="9" t="s">
        <v>113</v>
      </c>
      <c r="P6" s="9" t="s">
        <v>174</v>
      </c>
      <c r="Q6" s="9" t="s">
        <v>175</v>
      </c>
      <c r="R6" s="9"/>
      <c r="S6" s="9"/>
      <c r="T6" s="9"/>
      <c r="U6" s="9" t="s">
        <v>22</v>
      </c>
      <c r="V6" s="9"/>
      <c r="W6" s="9" t="s">
        <v>176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 t="s">
        <v>177</v>
      </c>
      <c r="AZ6" s="9" t="s">
        <v>178</v>
      </c>
      <c r="BA6" s="9" t="s">
        <v>179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3"/>
      <c r="CN6" s="3"/>
      <c r="CO6" s="3"/>
      <c r="CP6" s="3"/>
      <c r="CQ6" s="3"/>
      <c r="CR6" s="3" t="s">
        <v>152</v>
      </c>
      <c r="CS6" s="3" t="s">
        <v>180</v>
      </c>
      <c r="CT6" s="9" t="s">
        <v>122</v>
      </c>
      <c r="CU6" s="3" t="s">
        <v>123</v>
      </c>
      <c r="CV6" s="3" t="s">
        <v>124</v>
      </c>
      <c r="CW6" s="3"/>
      <c r="DG6" s="4"/>
    </row>
    <row r="7" customFormat="false" ht="11.25" hidden="false" customHeight="true" outlineLevel="0" collapsed="false">
      <c r="A7" s="9" t="n">
        <v>6</v>
      </c>
      <c r="B7" s="10" t="n">
        <v>46050.7383417014</v>
      </c>
      <c r="C7" s="10" t="n">
        <v>46050.7471148495</v>
      </c>
      <c r="D7" s="9" t="s">
        <v>181</v>
      </c>
      <c r="E7" s="9" t="s">
        <v>182</v>
      </c>
      <c r="F7" s="9" t="s">
        <v>182</v>
      </c>
      <c r="G7" s="9" t="s">
        <v>183</v>
      </c>
      <c r="H7" s="10" t="n">
        <v>46030</v>
      </c>
      <c r="I7" s="10" t="s">
        <v>172</v>
      </c>
      <c r="J7" s="9" t="s">
        <v>128</v>
      </c>
      <c r="K7" s="9" t="s">
        <v>143</v>
      </c>
      <c r="L7" s="9" t="s">
        <v>184</v>
      </c>
      <c r="M7" s="9" t="s">
        <v>111</v>
      </c>
      <c r="N7" s="9" t="s">
        <v>112</v>
      </c>
      <c r="O7" s="9" t="s">
        <v>113</v>
      </c>
      <c r="P7" s="9" t="s">
        <v>185</v>
      </c>
      <c r="Q7" s="9" t="s">
        <v>186</v>
      </c>
      <c r="R7" s="9"/>
      <c r="S7" s="9"/>
      <c r="T7" s="9"/>
      <c r="U7" s="9" t="s">
        <v>21</v>
      </c>
      <c r="V7" s="9" t="s">
        <v>187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 t="s">
        <v>188</v>
      </c>
      <c r="AQ7" s="9" t="s">
        <v>189</v>
      </c>
      <c r="AR7" s="9" t="s">
        <v>190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3"/>
      <c r="CN7" s="3"/>
      <c r="CO7" s="3"/>
      <c r="CP7" s="3"/>
      <c r="CQ7" s="3"/>
      <c r="CR7" s="3" t="s">
        <v>152</v>
      </c>
      <c r="CS7" s="3" t="s">
        <v>121</v>
      </c>
      <c r="CT7" s="9" t="s">
        <v>191</v>
      </c>
      <c r="CU7" s="3" t="s">
        <v>192</v>
      </c>
      <c r="CV7" s="3" t="s">
        <v>124</v>
      </c>
      <c r="CW7" s="3"/>
      <c r="DG7" s="4"/>
    </row>
    <row r="8" customFormat="false" ht="11.25" hidden="false" customHeight="true" outlineLevel="0" collapsed="false">
      <c r="A8" s="9" t="n">
        <v>7</v>
      </c>
      <c r="B8" s="10" t="n">
        <v>46144.0024456134</v>
      </c>
      <c r="C8" s="10" t="n">
        <v>46144.015038206</v>
      </c>
      <c r="D8" s="9" t="s">
        <v>193</v>
      </c>
      <c r="E8" s="9" t="s">
        <v>194</v>
      </c>
      <c r="F8" s="9" t="s">
        <v>194</v>
      </c>
      <c r="G8" s="9" t="s">
        <v>195</v>
      </c>
      <c r="H8" s="10" t="n">
        <v>46141</v>
      </c>
      <c r="I8" s="10" t="s">
        <v>107</v>
      </c>
      <c r="J8" s="9" t="s">
        <v>108</v>
      </c>
      <c r="K8" s="9" t="s">
        <v>196</v>
      </c>
      <c r="L8" s="9" t="s">
        <v>197</v>
      </c>
      <c r="M8" s="9" t="s">
        <v>111</v>
      </c>
      <c r="N8" s="9" t="s">
        <v>198</v>
      </c>
      <c r="O8" s="9" t="s">
        <v>113</v>
      </c>
      <c r="P8" s="9" t="s">
        <v>199</v>
      </c>
      <c r="Q8" s="9" t="s">
        <v>200</v>
      </c>
      <c r="R8" s="9"/>
      <c r="S8" s="9"/>
      <c r="T8" s="9"/>
      <c r="U8" s="9" t="s">
        <v>22</v>
      </c>
      <c r="V8" s="9"/>
      <c r="W8" s="9" t="s">
        <v>148</v>
      </c>
      <c r="X8" s="9"/>
      <c r="Y8" s="9"/>
      <c r="Z8" s="9"/>
      <c r="AA8" s="9"/>
      <c r="AB8" s="9"/>
      <c r="AC8" s="9"/>
      <c r="AD8" s="9" t="s">
        <v>201</v>
      </c>
      <c r="AE8" s="9" t="s">
        <v>202</v>
      </c>
      <c r="AF8" s="9" t="s">
        <v>203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3"/>
      <c r="CN8" s="3"/>
      <c r="CO8" s="3"/>
      <c r="CP8" s="3"/>
      <c r="CQ8" s="3"/>
      <c r="CR8" s="3" t="s">
        <v>152</v>
      </c>
      <c r="CS8" s="3" t="s">
        <v>121</v>
      </c>
      <c r="CT8" s="9" t="s">
        <v>204</v>
      </c>
      <c r="CU8" s="3" t="s">
        <v>123</v>
      </c>
      <c r="CV8" s="3" t="s">
        <v>168</v>
      </c>
      <c r="CW8" s="3"/>
      <c r="CY8" s="3" t="s">
        <v>205</v>
      </c>
      <c r="DG8" s="4"/>
    </row>
    <row r="9" customFormat="false" ht="11.25" hidden="false" customHeight="true" outlineLevel="0" collapsed="false">
      <c r="A9" s="9" t="n">
        <v>8</v>
      </c>
      <c r="B9" s="10" t="n">
        <v>46056.5936416088</v>
      </c>
      <c r="C9" s="10" t="n">
        <v>46056.5953777199</v>
      </c>
      <c r="D9" s="9" t="s">
        <v>206</v>
      </c>
      <c r="E9" s="9" t="s">
        <v>207</v>
      </c>
      <c r="F9" s="9" t="s">
        <v>207</v>
      </c>
      <c r="G9" s="9" t="s">
        <v>208</v>
      </c>
      <c r="H9" s="10" t="n">
        <v>46049</v>
      </c>
      <c r="I9" s="10" t="s">
        <v>107</v>
      </c>
      <c r="J9" s="9" t="s">
        <v>108</v>
      </c>
      <c r="K9" s="9" t="s">
        <v>209</v>
      </c>
      <c r="L9" s="9" t="s">
        <v>210</v>
      </c>
      <c r="M9" s="9" t="s">
        <v>211</v>
      </c>
      <c r="N9" s="9" t="s">
        <v>112</v>
      </c>
      <c r="O9" s="9" t="s">
        <v>113</v>
      </c>
      <c r="P9" s="9" t="s">
        <v>212</v>
      </c>
      <c r="Q9" s="9" t="s">
        <v>213</v>
      </c>
      <c r="R9" s="9"/>
      <c r="S9" s="9"/>
      <c r="T9" s="9"/>
      <c r="U9" s="9" t="s">
        <v>24</v>
      </c>
      <c r="V9" s="9"/>
      <c r="W9" s="9"/>
      <c r="X9" s="9"/>
      <c r="Y9" s="9" t="s">
        <v>214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 t="s">
        <v>215</v>
      </c>
      <c r="CD9" s="9" t="s">
        <v>216</v>
      </c>
      <c r="CE9" s="9" t="s">
        <v>217</v>
      </c>
      <c r="CF9" s="9"/>
      <c r="CG9" s="9"/>
      <c r="CH9" s="9"/>
      <c r="CI9" s="9"/>
      <c r="CJ9" s="9"/>
      <c r="CK9" s="9"/>
      <c r="CL9" s="9"/>
      <c r="CM9" s="3"/>
      <c r="CN9" s="3"/>
      <c r="CO9" s="3"/>
      <c r="CP9" s="3"/>
      <c r="CQ9" s="3"/>
      <c r="CR9" s="3" t="s">
        <v>152</v>
      </c>
      <c r="CS9" s="3" t="s">
        <v>121</v>
      </c>
      <c r="CT9" s="9" t="s">
        <v>218</v>
      </c>
      <c r="CU9" s="3" t="s">
        <v>123</v>
      </c>
      <c r="CV9" s="3" t="s">
        <v>124</v>
      </c>
      <c r="CW9" s="3" t="s">
        <v>219</v>
      </c>
      <c r="DG9" s="4"/>
    </row>
    <row r="10" customFormat="false" ht="11.25" hidden="false" customHeight="true" outlineLevel="0" collapsed="false">
      <c r="A10" s="9" t="n">
        <v>9</v>
      </c>
      <c r="B10" s="10" t="n">
        <v>46068.9068838657</v>
      </c>
      <c r="C10" s="10" t="n">
        <v>46068.9101709028</v>
      </c>
      <c r="D10" s="9" t="s">
        <v>220</v>
      </c>
      <c r="E10" s="9" t="s">
        <v>221</v>
      </c>
      <c r="F10" s="9" t="s">
        <v>221</v>
      </c>
      <c r="G10" s="9" t="s">
        <v>222</v>
      </c>
      <c r="H10" s="10" t="n">
        <v>46049</v>
      </c>
      <c r="I10" s="10" t="s">
        <v>107</v>
      </c>
      <c r="J10" s="9" t="s">
        <v>128</v>
      </c>
      <c r="K10" s="9" t="s">
        <v>143</v>
      </c>
      <c r="L10" s="9" t="s">
        <v>197</v>
      </c>
      <c r="M10" s="9" t="s">
        <v>111</v>
      </c>
      <c r="N10" s="9" t="s">
        <v>112</v>
      </c>
      <c r="O10" s="9" t="s">
        <v>113</v>
      </c>
      <c r="P10" s="9" t="s">
        <v>144</v>
      </c>
      <c r="Q10" s="9" t="s">
        <v>147</v>
      </c>
      <c r="R10" s="9"/>
      <c r="S10" s="9"/>
      <c r="T10" s="9"/>
      <c r="U10" s="9" t="s">
        <v>24</v>
      </c>
      <c r="V10" s="9"/>
      <c r="W10" s="9"/>
      <c r="X10" s="9"/>
      <c r="Y10" s="9" t="s">
        <v>223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 t="s">
        <v>224</v>
      </c>
      <c r="CA10" s="9" t="s">
        <v>225</v>
      </c>
      <c r="CB10" s="9" t="s">
        <v>226</v>
      </c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3"/>
      <c r="CN10" s="3"/>
      <c r="CO10" s="3"/>
      <c r="CP10" s="3"/>
      <c r="CQ10" s="3"/>
      <c r="CR10" s="3" t="s">
        <v>227</v>
      </c>
      <c r="CS10" s="3" t="s">
        <v>228</v>
      </c>
      <c r="CT10" s="9" t="s">
        <v>122</v>
      </c>
      <c r="CU10" s="3" t="s">
        <v>192</v>
      </c>
      <c r="CV10" s="3" t="s">
        <v>124</v>
      </c>
      <c r="CW10" s="3"/>
      <c r="DG10" s="4"/>
    </row>
    <row r="11" customFormat="false" ht="11.25" hidden="false" customHeight="true" outlineLevel="0" collapsed="false">
      <c r="A11" s="9" t="n">
        <v>10</v>
      </c>
      <c r="B11" s="10" t="n">
        <v>46174.9108039352</v>
      </c>
      <c r="C11" s="10" t="n">
        <v>46174.920456713</v>
      </c>
      <c r="D11" s="9" t="s">
        <v>229</v>
      </c>
      <c r="E11" s="9" t="s">
        <v>230</v>
      </c>
      <c r="F11" s="9" t="s">
        <v>230</v>
      </c>
      <c r="G11" s="9" t="s">
        <v>231</v>
      </c>
      <c r="H11" s="10" t="n">
        <v>46163</v>
      </c>
      <c r="I11" s="10" t="s">
        <v>172</v>
      </c>
      <c r="J11" s="9" t="s">
        <v>108</v>
      </c>
      <c r="K11" s="9" t="s">
        <v>232</v>
      </c>
      <c r="L11" s="9" t="s">
        <v>233</v>
      </c>
      <c r="M11" s="9" t="s">
        <v>111</v>
      </c>
      <c r="N11" s="9" t="s">
        <v>145</v>
      </c>
      <c r="O11" s="9" t="s">
        <v>113</v>
      </c>
      <c r="P11" s="9" t="s">
        <v>234</v>
      </c>
      <c r="Q11" s="9" t="s">
        <v>235</v>
      </c>
      <c r="R11" s="9"/>
      <c r="S11" s="9"/>
      <c r="T11" s="9"/>
      <c r="U11" s="9" t="s">
        <v>24</v>
      </c>
      <c r="V11" s="9"/>
      <c r="W11" s="9"/>
      <c r="X11" s="9"/>
      <c r="Y11" s="9" t="s">
        <v>223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 t="s">
        <v>236</v>
      </c>
      <c r="CA11" s="9" t="s">
        <v>237</v>
      </c>
      <c r="CB11" s="9" t="s">
        <v>238</v>
      </c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3"/>
      <c r="CN11" s="3"/>
      <c r="CO11" s="3"/>
      <c r="CP11" s="3"/>
      <c r="CQ11" s="3"/>
      <c r="CR11" s="3" t="s">
        <v>152</v>
      </c>
      <c r="CS11" s="3" t="s">
        <v>180</v>
      </c>
      <c r="CT11" s="9" t="s">
        <v>239</v>
      </c>
      <c r="CU11" s="3" t="s">
        <v>192</v>
      </c>
      <c r="CV11" s="3" t="s">
        <v>168</v>
      </c>
      <c r="CW11" s="3"/>
      <c r="DG11" s="4"/>
    </row>
    <row r="12" customFormat="false" ht="11.25" hidden="false" customHeight="true" outlineLevel="0" collapsed="false">
      <c r="A12" s="9" t="n">
        <v>11</v>
      </c>
      <c r="B12" s="10" t="n">
        <v>46103.1910089699</v>
      </c>
      <c r="C12" s="10" t="n">
        <v>46103.1989487847</v>
      </c>
      <c r="D12" s="9" t="s">
        <v>240</v>
      </c>
      <c r="E12" s="9" t="s">
        <v>241</v>
      </c>
      <c r="F12" s="9" t="s">
        <v>242</v>
      </c>
      <c r="G12" s="9" t="s">
        <v>243</v>
      </c>
      <c r="H12" s="10" t="n">
        <v>46099</v>
      </c>
      <c r="I12" s="10" t="s">
        <v>244</v>
      </c>
      <c r="J12" s="9" t="s">
        <v>108</v>
      </c>
      <c r="K12" s="9" t="s">
        <v>245</v>
      </c>
      <c r="L12" s="9" t="s">
        <v>246</v>
      </c>
      <c r="M12" s="9" t="s">
        <v>111</v>
      </c>
      <c r="N12" s="9" t="s">
        <v>247</v>
      </c>
      <c r="O12" s="9" t="s">
        <v>113</v>
      </c>
      <c r="P12" s="9" t="s">
        <v>248</v>
      </c>
      <c r="Q12" s="9" t="s">
        <v>249</v>
      </c>
      <c r="R12" s="9"/>
      <c r="S12" s="9"/>
      <c r="T12" s="9"/>
      <c r="U12" s="9" t="s">
        <v>21</v>
      </c>
      <c r="V12" s="9" t="s">
        <v>250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251</v>
      </c>
      <c r="BF12" s="9" t="s">
        <v>252</v>
      </c>
      <c r="BG12" s="9" t="s">
        <v>253</v>
      </c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3"/>
      <c r="CN12" s="3"/>
      <c r="CO12" s="3"/>
      <c r="CP12" s="3"/>
      <c r="CQ12" s="3"/>
      <c r="CR12" s="3" t="s">
        <v>120</v>
      </c>
      <c r="CS12" s="3" t="s">
        <v>121</v>
      </c>
      <c r="CT12" s="9"/>
      <c r="CU12" s="3" t="s">
        <v>192</v>
      </c>
      <c r="CV12" s="3" t="s">
        <v>168</v>
      </c>
      <c r="CW12" s="3"/>
      <c r="DG12" s="4"/>
    </row>
    <row r="13" customFormat="false" ht="11.25" hidden="false" customHeight="true" outlineLevel="0" collapsed="false">
      <c r="A13" s="9" t="n">
        <v>12</v>
      </c>
      <c r="B13" s="10" t="n">
        <v>46156.1307431944</v>
      </c>
      <c r="C13" s="10" t="n">
        <v>46156.1377339352</v>
      </c>
      <c r="D13" s="9" t="s">
        <v>254</v>
      </c>
      <c r="E13" s="9" t="s">
        <v>255</v>
      </c>
      <c r="F13" s="9" t="s">
        <v>255</v>
      </c>
      <c r="G13" s="9" t="s">
        <v>256</v>
      </c>
      <c r="H13" s="10" t="n">
        <v>46151</v>
      </c>
      <c r="I13" s="10" t="s">
        <v>157</v>
      </c>
      <c r="J13" s="9" t="s">
        <v>108</v>
      </c>
      <c r="K13" s="9" t="s">
        <v>257</v>
      </c>
      <c r="L13" s="9" t="s">
        <v>159</v>
      </c>
      <c r="M13" s="9" t="s">
        <v>131</v>
      </c>
      <c r="N13" s="9" t="s">
        <v>145</v>
      </c>
      <c r="O13" s="9" t="s">
        <v>132</v>
      </c>
      <c r="P13" s="9" t="s">
        <v>258</v>
      </c>
      <c r="Q13" s="9" t="s">
        <v>259</v>
      </c>
      <c r="R13" s="9"/>
      <c r="S13" s="9"/>
      <c r="T13" s="9"/>
      <c r="U13" s="9" t="s">
        <v>24</v>
      </c>
      <c r="V13" s="9"/>
      <c r="W13" s="9"/>
      <c r="X13" s="9"/>
      <c r="Y13" s="9" t="s">
        <v>260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 t="s">
        <v>261</v>
      </c>
      <c r="CG13" s="9" t="s">
        <v>262</v>
      </c>
      <c r="CH13" s="9" t="s">
        <v>263</v>
      </c>
      <c r="CI13" s="9"/>
      <c r="CJ13" s="9"/>
      <c r="CK13" s="9"/>
      <c r="CL13" s="9"/>
      <c r="CM13" s="3"/>
      <c r="CN13" s="3"/>
      <c r="CO13" s="3"/>
      <c r="CP13" s="3"/>
      <c r="CQ13" s="3"/>
      <c r="CR13" s="3" t="s">
        <v>120</v>
      </c>
      <c r="CS13" s="3" t="s">
        <v>264</v>
      </c>
      <c r="CT13" s="9" t="s">
        <v>122</v>
      </c>
      <c r="CU13" s="3" t="s">
        <v>123</v>
      </c>
      <c r="CV13" s="3" t="s">
        <v>124</v>
      </c>
      <c r="CW13" s="3"/>
      <c r="DG13" s="4"/>
    </row>
    <row r="14" customFormat="false" ht="11.25" hidden="false" customHeight="true" outlineLevel="0" collapsed="false">
      <c r="A14" s="9" t="n">
        <v>13</v>
      </c>
      <c r="B14" s="10" t="n">
        <v>46166.8905935301</v>
      </c>
      <c r="C14" s="10" t="n">
        <v>46166.9040541782</v>
      </c>
      <c r="D14" s="9" t="s">
        <v>265</v>
      </c>
      <c r="E14" s="9" t="s">
        <v>266</v>
      </c>
      <c r="F14" s="9" t="s">
        <v>266</v>
      </c>
      <c r="G14" s="9" t="s">
        <v>267</v>
      </c>
      <c r="H14" s="10" t="n">
        <v>46149</v>
      </c>
      <c r="I14" s="10" t="s">
        <v>172</v>
      </c>
      <c r="J14" s="9" t="s">
        <v>108</v>
      </c>
      <c r="K14" s="9" t="s">
        <v>232</v>
      </c>
      <c r="L14" s="9" t="s">
        <v>268</v>
      </c>
      <c r="M14" s="9" t="s">
        <v>111</v>
      </c>
      <c r="N14" s="9" t="s">
        <v>198</v>
      </c>
      <c r="O14" s="9" t="s">
        <v>113</v>
      </c>
      <c r="P14" s="9" t="s">
        <v>269</v>
      </c>
      <c r="Q14" s="9" t="s">
        <v>270</v>
      </c>
      <c r="R14" s="9"/>
      <c r="S14" s="9"/>
      <c r="T14" s="9"/>
      <c r="U14" s="9" t="s">
        <v>22</v>
      </c>
      <c r="V14" s="9"/>
      <c r="W14" s="9" t="s">
        <v>271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272</v>
      </c>
      <c r="BL14" s="9" t="s">
        <v>273</v>
      </c>
      <c r="BM14" s="9" t="s">
        <v>274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3"/>
      <c r="CN14" s="3"/>
      <c r="CO14" s="3"/>
      <c r="CP14" s="3"/>
      <c r="CQ14" s="3"/>
      <c r="CR14" s="3" t="s">
        <v>152</v>
      </c>
      <c r="CS14" s="3" t="s">
        <v>228</v>
      </c>
      <c r="CT14" s="9" t="s">
        <v>122</v>
      </c>
      <c r="CU14" s="3" t="s">
        <v>192</v>
      </c>
      <c r="CV14" s="3" t="s">
        <v>124</v>
      </c>
      <c r="CW14" s="3"/>
      <c r="DG14" s="4"/>
    </row>
    <row r="15" customFormat="false" ht="11.25" hidden="false" customHeight="true" outlineLevel="0" collapsed="false">
      <c r="A15" s="9" t="n">
        <v>14</v>
      </c>
      <c r="B15" s="10" t="n">
        <v>46083.0812477199</v>
      </c>
      <c r="C15" s="10" t="n">
        <v>46083.0904606829</v>
      </c>
      <c r="D15" s="9" t="s">
        <v>275</v>
      </c>
      <c r="E15" s="9" t="s">
        <v>276</v>
      </c>
      <c r="F15" s="9" t="s">
        <v>276</v>
      </c>
      <c r="G15" s="9" t="s">
        <v>277</v>
      </c>
      <c r="H15" s="10" t="n">
        <v>46080</v>
      </c>
      <c r="I15" s="10" t="s">
        <v>278</v>
      </c>
      <c r="J15" s="9" t="s">
        <v>108</v>
      </c>
      <c r="K15" s="9" t="s">
        <v>245</v>
      </c>
      <c r="L15" s="9" t="s">
        <v>144</v>
      </c>
      <c r="M15" s="9" t="s">
        <v>111</v>
      </c>
      <c r="N15" s="9" t="s">
        <v>112</v>
      </c>
      <c r="O15" s="9" t="s">
        <v>113</v>
      </c>
      <c r="P15" s="9" t="s">
        <v>279</v>
      </c>
      <c r="Q15" s="9" t="s">
        <v>280</v>
      </c>
      <c r="R15" s="9"/>
      <c r="S15" s="9"/>
      <c r="T15" s="9"/>
      <c r="U15" s="9" t="s">
        <v>24</v>
      </c>
      <c r="V15" s="9"/>
      <c r="W15" s="9"/>
      <c r="X15" s="9"/>
      <c r="Y15" s="9" t="s">
        <v>223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 t="s">
        <v>281</v>
      </c>
      <c r="CA15" s="9" t="s">
        <v>237</v>
      </c>
      <c r="CB15" s="9" t="s">
        <v>282</v>
      </c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3"/>
      <c r="CN15" s="3"/>
      <c r="CO15" s="3"/>
      <c r="CP15" s="3"/>
      <c r="CQ15" s="3"/>
      <c r="CR15" s="3" t="s">
        <v>120</v>
      </c>
      <c r="CS15" s="3" t="s">
        <v>180</v>
      </c>
      <c r="CT15" s="9"/>
      <c r="CU15" s="3" t="s">
        <v>192</v>
      </c>
      <c r="CV15" s="3" t="s">
        <v>124</v>
      </c>
      <c r="CW15" s="3"/>
      <c r="DG15" s="4"/>
    </row>
    <row r="16" customFormat="false" ht="11.25" hidden="false" customHeight="true" outlineLevel="0" collapsed="false">
      <c r="A16" s="9" t="n">
        <v>15</v>
      </c>
      <c r="B16" s="10" t="n">
        <v>46075.6162244676</v>
      </c>
      <c r="C16" s="10" t="n">
        <v>46075.6332267824</v>
      </c>
      <c r="D16" s="9" t="s">
        <v>283</v>
      </c>
      <c r="E16" s="9" t="s">
        <v>284</v>
      </c>
      <c r="F16" s="9" t="s">
        <v>284</v>
      </c>
      <c r="G16" s="9" t="s">
        <v>285</v>
      </c>
      <c r="H16" s="10" t="n">
        <v>46055</v>
      </c>
      <c r="I16" s="10" t="s">
        <v>244</v>
      </c>
      <c r="J16" s="9" t="s">
        <v>108</v>
      </c>
      <c r="K16" s="9" t="s">
        <v>143</v>
      </c>
      <c r="L16" s="9" t="s">
        <v>130</v>
      </c>
      <c r="M16" s="9" t="s">
        <v>111</v>
      </c>
      <c r="N16" s="9" t="s">
        <v>112</v>
      </c>
      <c r="O16" s="9" t="s">
        <v>113</v>
      </c>
      <c r="P16" s="9" t="s">
        <v>286</v>
      </c>
      <c r="Q16" s="9" t="s">
        <v>287</v>
      </c>
      <c r="R16" s="9"/>
      <c r="S16" s="9"/>
      <c r="T16" s="9"/>
      <c r="U16" s="9" t="s">
        <v>22</v>
      </c>
      <c r="V16" s="9"/>
      <c r="W16" s="9" t="s">
        <v>148</v>
      </c>
      <c r="X16" s="9"/>
      <c r="Y16" s="9"/>
      <c r="Z16" s="9"/>
      <c r="AA16" s="9"/>
      <c r="AB16" s="9"/>
      <c r="AC16" s="9"/>
      <c r="AD16" s="9" t="s">
        <v>288</v>
      </c>
      <c r="AE16" s="9" t="s">
        <v>289</v>
      </c>
      <c r="AF16" s="9" t="s">
        <v>290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3"/>
      <c r="CN16" s="3"/>
      <c r="CO16" s="3"/>
      <c r="CP16" s="3"/>
      <c r="CQ16" s="3"/>
      <c r="CR16" s="3" t="s">
        <v>120</v>
      </c>
      <c r="CS16" s="3" t="s">
        <v>121</v>
      </c>
      <c r="CT16" s="9" t="s">
        <v>291</v>
      </c>
      <c r="CU16" s="3" t="s">
        <v>192</v>
      </c>
      <c r="CV16" s="3" t="s">
        <v>124</v>
      </c>
      <c r="CW16" s="3"/>
      <c r="DG16" s="4"/>
    </row>
    <row r="17" customFormat="false" ht="11.25" hidden="false" customHeight="true" outlineLevel="0" collapsed="false">
      <c r="A17" s="9" t="n">
        <v>16</v>
      </c>
      <c r="B17" s="10" t="n">
        <v>46082.6784350579</v>
      </c>
      <c r="C17" s="10" t="n">
        <v>46082.6930299653</v>
      </c>
      <c r="D17" s="9" t="s">
        <v>292</v>
      </c>
      <c r="E17" s="9" t="s">
        <v>293</v>
      </c>
      <c r="F17" s="9" t="s">
        <v>293</v>
      </c>
      <c r="G17" s="9" t="s">
        <v>294</v>
      </c>
      <c r="H17" s="10" t="n">
        <v>46079</v>
      </c>
      <c r="I17" s="10" t="s">
        <v>172</v>
      </c>
      <c r="J17" s="9" t="s">
        <v>295</v>
      </c>
      <c r="K17" s="9" t="s">
        <v>257</v>
      </c>
      <c r="L17" s="9" t="s">
        <v>296</v>
      </c>
      <c r="M17" s="9" t="s">
        <v>111</v>
      </c>
      <c r="N17" s="9" t="s">
        <v>145</v>
      </c>
      <c r="O17" s="9" t="s">
        <v>113</v>
      </c>
      <c r="P17" s="9" t="s">
        <v>174</v>
      </c>
      <c r="Q17" s="9" t="s">
        <v>297</v>
      </c>
      <c r="R17" s="9"/>
      <c r="S17" s="9"/>
      <c r="T17" s="9"/>
      <c r="U17" s="9" t="s">
        <v>22</v>
      </c>
      <c r="V17" s="9"/>
      <c r="W17" s="9" t="s">
        <v>298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 t="s">
        <v>299</v>
      </c>
      <c r="AW17" s="9" t="s">
        <v>300</v>
      </c>
      <c r="AX17" s="9" t="s">
        <v>301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3"/>
      <c r="CN17" s="3"/>
      <c r="CO17" s="3"/>
      <c r="CP17" s="3"/>
      <c r="CQ17" s="3"/>
      <c r="CR17" s="3" t="s">
        <v>152</v>
      </c>
      <c r="CS17" s="3" t="s">
        <v>121</v>
      </c>
      <c r="CT17" s="9" t="s">
        <v>122</v>
      </c>
      <c r="CU17" s="3" t="s">
        <v>123</v>
      </c>
      <c r="CV17" s="3" t="s">
        <v>124</v>
      </c>
      <c r="CW17" s="3"/>
      <c r="DG17" s="4"/>
    </row>
    <row r="18" customFormat="false" ht="11.25" hidden="false" customHeight="true" outlineLevel="0" collapsed="false">
      <c r="A18" s="9" t="n">
        <v>17</v>
      </c>
      <c r="B18" s="10" t="n">
        <v>46153.4410355556</v>
      </c>
      <c r="C18" s="10" t="n">
        <v>46153.4514985185</v>
      </c>
      <c r="D18" s="9" t="s">
        <v>302</v>
      </c>
      <c r="E18" s="9" t="s">
        <v>303</v>
      </c>
      <c r="F18" s="9" t="s">
        <v>303</v>
      </c>
      <c r="G18" s="9" t="s">
        <v>304</v>
      </c>
      <c r="H18" s="10" t="n">
        <v>46147</v>
      </c>
      <c r="I18" s="10" t="s">
        <v>107</v>
      </c>
      <c r="J18" s="9" t="s">
        <v>108</v>
      </c>
      <c r="K18" s="9" t="s">
        <v>245</v>
      </c>
      <c r="L18" s="9" t="s">
        <v>197</v>
      </c>
      <c r="M18" s="9" t="s">
        <v>111</v>
      </c>
      <c r="N18" s="9" t="s">
        <v>112</v>
      </c>
      <c r="O18" s="9" t="s">
        <v>305</v>
      </c>
      <c r="P18" s="9" t="s">
        <v>185</v>
      </c>
      <c r="Q18" s="9" t="s">
        <v>306</v>
      </c>
      <c r="R18" s="9"/>
      <c r="S18" s="9"/>
      <c r="T18" s="9"/>
      <c r="U18" s="9" t="s">
        <v>21</v>
      </c>
      <c r="V18" s="9" t="s">
        <v>307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 t="s">
        <v>308</v>
      </c>
      <c r="AT18" s="9" t="s">
        <v>309</v>
      </c>
      <c r="AU18" s="9" t="s">
        <v>310</v>
      </c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3"/>
      <c r="CN18" s="3"/>
      <c r="CO18" s="3"/>
      <c r="CP18" s="3"/>
      <c r="CQ18" s="3"/>
      <c r="CR18" s="3" t="s">
        <v>152</v>
      </c>
      <c r="CS18" s="3" t="s">
        <v>121</v>
      </c>
      <c r="CT18" s="9"/>
      <c r="CU18" s="3" t="s">
        <v>192</v>
      </c>
      <c r="CV18" s="3" t="s">
        <v>124</v>
      </c>
      <c r="CW18" s="3"/>
      <c r="DG18" s="4"/>
    </row>
    <row r="19" customFormat="false" ht="11.25" hidden="false" customHeight="true" outlineLevel="0" collapsed="false">
      <c r="A19" s="9" t="n">
        <v>18</v>
      </c>
      <c r="B19" s="10" t="n">
        <v>46082.1562983565</v>
      </c>
      <c r="C19" s="10" t="n">
        <v>46082.1724326157</v>
      </c>
      <c r="D19" s="9" t="s">
        <v>311</v>
      </c>
      <c r="E19" s="9" t="s">
        <v>312</v>
      </c>
      <c r="F19" s="9" t="s">
        <v>313</v>
      </c>
      <c r="G19" s="9" t="s">
        <v>314</v>
      </c>
      <c r="H19" s="10" t="n">
        <v>46070</v>
      </c>
      <c r="I19" s="10" t="s">
        <v>244</v>
      </c>
      <c r="J19" s="9" t="s">
        <v>295</v>
      </c>
      <c r="K19" s="9" t="s">
        <v>315</v>
      </c>
      <c r="L19" s="9" t="s">
        <v>159</v>
      </c>
      <c r="M19" s="9" t="s">
        <v>111</v>
      </c>
      <c r="N19" s="9" t="s">
        <v>112</v>
      </c>
      <c r="O19" s="9" t="s">
        <v>113</v>
      </c>
      <c r="P19" s="9" t="s">
        <v>212</v>
      </c>
      <c r="Q19" s="9" t="s">
        <v>316</v>
      </c>
      <c r="R19" s="9"/>
      <c r="S19" s="9"/>
      <c r="T19" s="9"/>
      <c r="U19" s="9" t="s">
        <v>22</v>
      </c>
      <c r="V19" s="9"/>
      <c r="W19" s="9" t="s">
        <v>271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 t="s">
        <v>317</v>
      </c>
      <c r="BL19" s="9" t="s">
        <v>318</v>
      </c>
      <c r="BM19" s="9" t="s">
        <v>319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3"/>
      <c r="CN19" s="3"/>
      <c r="CO19" s="3"/>
      <c r="CP19" s="3"/>
      <c r="CQ19" s="3"/>
      <c r="CR19" s="3" t="s">
        <v>320</v>
      </c>
      <c r="CS19" s="3" t="s">
        <v>121</v>
      </c>
      <c r="CT19" s="9" t="s">
        <v>321</v>
      </c>
      <c r="CU19" s="3" t="s">
        <v>123</v>
      </c>
      <c r="CV19" s="3" t="s">
        <v>124</v>
      </c>
      <c r="CW19" s="3"/>
      <c r="DG19" s="4"/>
    </row>
    <row r="20" customFormat="false" ht="11.25" hidden="false" customHeight="true" outlineLevel="0" collapsed="false">
      <c r="A20" s="9" t="n">
        <v>19</v>
      </c>
      <c r="B20" s="10" t="n">
        <v>46123.8868805556</v>
      </c>
      <c r="C20" s="10" t="n">
        <v>46123.8939175926</v>
      </c>
      <c r="D20" s="9" t="s">
        <v>322</v>
      </c>
      <c r="E20" s="9" t="s">
        <v>323</v>
      </c>
      <c r="F20" s="9" t="s">
        <v>323</v>
      </c>
      <c r="G20" s="9" t="s">
        <v>324</v>
      </c>
      <c r="H20" s="10" t="n">
        <v>46120</v>
      </c>
      <c r="I20" s="10" t="s">
        <v>244</v>
      </c>
      <c r="J20" s="9" t="s">
        <v>108</v>
      </c>
      <c r="K20" s="9" t="s">
        <v>257</v>
      </c>
      <c r="L20" s="9" t="s">
        <v>268</v>
      </c>
      <c r="M20" s="9" t="s">
        <v>111</v>
      </c>
      <c r="N20" s="9" t="s">
        <v>247</v>
      </c>
      <c r="O20" s="9" t="s">
        <v>325</v>
      </c>
      <c r="P20" s="9" t="s">
        <v>326</v>
      </c>
      <c r="Q20" s="9" t="s">
        <v>259</v>
      </c>
      <c r="R20" s="9"/>
      <c r="S20" s="9"/>
      <c r="T20" s="9"/>
      <c r="U20" s="9" t="s">
        <v>25</v>
      </c>
      <c r="V20" s="9"/>
      <c r="W20" s="9"/>
      <c r="X20" s="9"/>
      <c r="Y20" s="9"/>
      <c r="Z20" s="9" t="s">
        <v>327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 t="s">
        <v>328</v>
      </c>
      <c r="CJ20" s="9" t="s">
        <v>329</v>
      </c>
      <c r="CK20" s="9" t="s">
        <v>330</v>
      </c>
      <c r="CL20" s="9"/>
      <c r="CM20" s="3"/>
      <c r="CN20" s="3"/>
      <c r="CO20" s="3"/>
      <c r="CP20" s="3"/>
      <c r="CQ20" s="3"/>
      <c r="CR20" s="3" t="s">
        <v>120</v>
      </c>
      <c r="CS20" s="3" t="s">
        <v>180</v>
      </c>
      <c r="CT20" s="9" t="s">
        <v>122</v>
      </c>
      <c r="CU20" s="3" t="s">
        <v>167</v>
      </c>
      <c r="CV20" s="3" t="s">
        <v>124</v>
      </c>
      <c r="CW20" s="3"/>
      <c r="CX20" s="3" t="s">
        <v>331</v>
      </c>
      <c r="DG20" s="4"/>
    </row>
    <row r="21" customFormat="false" ht="11.25" hidden="false" customHeight="true" outlineLevel="0" collapsed="false">
      <c r="A21" s="9" t="n">
        <v>20</v>
      </c>
      <c r="B21" s="10" t="n">
        <v>46148.3318218982</v>
      </c>
      <c r="C21" s="10" t="n">
        <v>46148.3414399537</v>
      </c>
      <c r="D21" s="9" t="s">
        <v>332</v>
      </c>
      <c r="E21" s="9" t="s">
        <v>333</v>
      </c>
      <c r="F21" s="9" t="s">
        <v>333</v>
      </c>
      <c r="G21" s="9" t="s">
        <v>334</v>
      </c>
      <c r="H21" s="10" t="n">
        <v>46137</v>
      </c>
      <c r="I21" s="10" t="s">
        <v>107</v>
      </c>
      <c r="J21" s="9" t="s">
        <v>295</v>
      </c>
      <c r="K21" s="9" t="s">
        <v>335</v>
      </c>
      <c r="L21" s="9" t="s">
        <v>159</v>
      </c>
      <c r="M21" s="9" t="s">
        <v>131</v>
      </c>
      <c r="N21" s="9" t="s">
        <v>112</v>
      </c>
      <c r="O21" s="9" t="s">
        <v>336</v>
      </c>
      <c r="P21" s="9" t="s">
        <v>337</v>
      </c>
      <c r="Q21" s="9" t="s">
        <v>338</v>
      </c>
      <c r="R21" s="9"/>
      <c r="S21" s="9"/>
      <c r="T21" s="9"/>
      <c r="U21" s="9" t="s">
        <v>22</v>
      </c>
      <c r="V21" s="9"/>
      <c r="W21" s="9" t="s">
        <v>339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340</v>
      </c>
      <c r="BO21" s="9" t="s">
        <v>341</v>
      </c>
      <c r="BP21" s="9" t="s">
        <v>342</v>
      </c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3"/>
      <c r="CN21" s="3"/>
      <c r="CO21" s="3"/>
      <c r="CP21" s="3"/>
      <c r="CQ21" s="3"/>
      <c r="CR21" s="3" t="s">
        <v>120</v>
      </c>
      <c r="CS21" s="3" t="s">
        <v>180</v>
      </c>
      <c r="CT21" s="9"/>
      <c r="CU21" s="3" t="s">
        <v>167</v>
      </c>
      <c r="CV21" s="3" t="s">
        <v>124</v>
      </c>
      <c r="CW21" s="3"/>
      <c r="DG21" s="4"/>
    </row>
    <row r="22" customFormat="false" ht="11.25" hidden="false" customHeight="true" outlineLevel="0" collapsed="false">
      <c r="A22" s="9" t="n">
        <v>21</v>
      </c>
      <c r="B22" s="10" t="n">
        <v>46215.6224446875</v>
      </c>
      <c r="C22" s="10" t="n">
        <v>46215.6396669097</v>
      </c>
      <c r="D22" s="9" t="s">
        <v>343</v>
      </c>
      <c r="E22" s="9" t="s">
        <v>344</v>
      </c>
      <c r="F22" s="9" t="s">
        <v>344</v>
      </c>
      <c r="G22" s="9" t="s">
        <v>345</v>
      </c>
      <c r="H22" s="10" t="n">
        <v>46200</v>
      </c>
      <c r="I22" s="10" t="s">
        <v>157</v>
      </c>
      <c r="J22" s="9" t="s">
        <v>108</v>
      </c>
      <c r="K22" s="9" t="s">
        <v>158</v>
      </c>
      <c r="L22" s="9" t="s">
        <v>346</v>
      </c>
      <c r="M22" s="9" t="s">
        <v>111</v>
      </c>
      <c r="N22" s="9" t="s">
        <v>145</v>
      </c>
      <c r="O22" s="9" t="s">
        <v>325</v>
      </c>
      <c r="P22" s="9" t="s">
        <v>258</v>
      </c>
      <c r="Q22" s="9" t="s">
        <v>347</v>
      </c>
      <c r="R22" s="9"/>
      <c r="S22" s="9"/>
      <c r="T22" s="9"/>
      <c r="U22" s="9" t="s">
        <v>21</v>
      </c>
      <c r="V22" s="9" t="s">
        <v>348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 t="s">
        <v>349</v>
      </c>
      <c r="BC22" s="9" t="s">
        <v>350</v>
      </c>
      <c r="BD22" s="9" t="s">
        <v>351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3"/>
      <c r="CN22" s="3"/>
      <c r="CO22" s="3"/>
      <c r="CP22" s="3"/>
      <c r="CQ22" s="3"/>
      <c r="CR22" s="3" t="s">
        <v>152</v>
      </c>
      <c r="CS22" s="3" t="s">
        <v>352</v>
      </c>
      <c r="CT22" s="9"/>
      <c r="CU22" s="3" t="s">
        <v>123</v>
      </c>
      <c r="CV22" s="3" t="s">
        <v>124</v>
      </c>
      <c r="CW22" s="3"/>
      <c r="DG22" s="4"/>
    </row>
    <row r="23" customFormat="false" ht="11.25" hidden="false" customHeight="true" outlineLevel="0" collapsed="false">
      <c r="A23" s="9" t="n">
        <v>22</v>
      </c>
      <c r="B23" s="10" t="n">
        <v>46054.1708730903</v>
      </c>
      <c r="C23" s="10" t="n">
        <v>46054.1853754051</v>
      </c>
      <c r="D23" s="9" t="s">
        <v>353</v>
      </c>
      <c r="E23" s="9" t="s">
        <v>354</v>
      </c>
      <c r="F23" s="9" t="s">
        <v>354</v>
      </c>
      <c r="G23" s="9" t="s">
        <v>355</v>
      </c>
      <c r="H23" s="10" t="n">
        <v>46037</v>
      </c>
      <c r="I23" s="10" t="s">
        <v>172</v>
      </c>
      <c r="J23" s="9" t="s">
        <v>295</v>
      </c>
      <c r="K23" s="9" t="s">
        <v>356</v>
      </c>
      <c r="L23" s="9" t="s">
        <v>346</v>
      </c>
      <c r="M23" s="9" t="s">
        <v>111</v>
      </c>
      <c r="N23" s="9" t="s">
        <v>145</v>
      </c>
      <c r="O23" s="9" t="s">
        <v>113</v>
      </c>
      <c r="P23" s="9" t="s">
        <v>357</v>
      </c>
      <c r="Q23" s="9" t="s">
        <v>219</v>
      </c>
      <c r="R23" s="9"/>
      <c r="S23" s="9"/>
      <c r="T23" s="9"/>
      <c r="U23" s="9" t="s">
        <v>24</v>
      </c>
      <c r="V23" s="9"/>
      <c r="W23" s="9"/>
      <c r="X23" s="9"/>
      <c r="Y23" s="9" t="s">
        <v>223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 t="s">
        <v>358</v>
      </c>
      <c r="CA23" s="9" t="s">
        <v>359</v>
      </c>
      <c r="CB23" s="9" t="s">
        <v>360</v>
      </c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3"/>
      <c r="CN23" s="3"/>
      <c r="CO23" s="3"/>
      <c r="CP23" s="3"/>
      <c r="CQ23" s="3"/>
      <c r="CR23" s="3" t="s">
        <v>152</v>
      </c>
      <c r="CS23" s="3" t="s">
        <v>121</v>
      </c>
      <c r="CT23" s="9" t="s">
        <v>122</v>
      </c>
      <c r="CU23" s="3" t="s">
        <v>123</v>
      </c>
      <c r="CV23" s="3" t="s">
        <v>124</v>
      </c>
      <c r="CW23" s="3"/>
      <c r="DG23" s="4"/>
    </row>
    <row r="24" customFormat="false" ht="11.25" hidden="false" customHeight="true" outlineLevel="0" collapsed="false">
      <c r="A24" s="9" t="n">
        <v>23</v>
      </c>
      <c r="B24" s="10" t="n">
        <v>46211.1993861806</v>
      </c>
      <c r="C24" s="10" t="n">
        <v>46211.2158908102</v>
      </c>
      <c r="D24" s="9" t="s">
        <v>361</v>
      </c>
      <c r="E24" s="9" t="s">
        <v>362</v>
      </c>
      <c r="F24" s="9" t="s">
        <v>362</v>
      </c>
      <c r="G24" s="9" t="s">
        <v>363</v>
      </c>
      <c r="H24" s="10" t="n">
        <v>46211</v>
      </c>
      <c r="I24" s="10" t="s">
        <v>244</v>
      </c>
      <c r="J24" s="9" t="s">
        <v>108</v>
      </c>
      <c r="K24" s="9" t="s">
        <v>364</v>
      </c>
      <c r="L24" s="9" t="s">
        <v>197</v>
      </c>
      <c r="M24" s="9" t="s">
        <v>111</v>
      </c>
      <c r="N24" s="9" t="s">
        <v>145</v>
      </c>
      <c r="O24" s="9" t="s">
        <v>113</v>
      </c>
      <c r="P24" s="9" t="s">
        <v>365</v>
      </c>
      <c r="Q24" s="9" t="s">
        <v>174</v>
      </c>
      <c r="R24" s="9"/>
      <c r="S24" s="9"/>
      <c r="T24" s="9"/>
      <c r="U24" s="9" t="s">
        <v>22</v>
      </c>
      <c r="V24" s="9"/>
      <c r="W24" s="9" t="s">
        <v>135</v>
      </c>
      <c r="X24" s="9"/>
      <c r="Y24" s="9"/>
      <c r="Z24" s="9"/>
      <c r="AA24" s="9" t="s">
        <v>366</v>
      </c>
      <c r="AB24" s="9" t="s">
        <v>367</v>
      </c>
      <c r="AC24" s="9" t="s">
        <v>368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3"/>
      <c r="CN24" s="3"/>
      <c r="CO24" s="3"/>
      <c r="CP24" s="3"/>
      <c r="CQ24" s="3"/>
      <c r="CR24" s="3" t="s">
        <v>120</v>
      </c>
      <c r="CS24" s="3" t="s">
        <v>180</v>
      </c>
      <c r="CT24" s="9" t="s">
        <v>369</v>
      </c>
      <c r="CU24" s="3" t="s">
        <v>192</v>
      </c>
      <c r="CV24" s="3" t="s">
        <v>124</v>
      </c>
      <c r="CW24" s="3" t="s">
        <v>370</v>
      </c>
      <c r="CY24" s="3" t="s">
        <v>205</v>
      </c>
      <c r="DG24" s="4"/>
    </row>
    <row r="25" customFormat="false" ht="11.25" hidden="false" customHeight="true" outlineLevel="0" collapsed="false">
      <c r="A25" s="9" t="n">
        <v>24</v>
      </c>
      <c r="B25" s="10" t="n">
        <v>46192.6974197338</v>
      </c>
      <c r="C25" s="10" t="n">
        <v>46192.706042419</v>
      </c>
      <c r="D25" s="9" t="s">
        <v>371</v>
      </c>
      <c r="E25" s="9" t="s">
        <v>372</v>
      </c>
      <c r="F25" s="9" t="s">
        <v>372</v>
      </c>
      <c r="G25" s="9" t="s">
        <v>373</v>
      </c>
      <c r="H25" s="10" t="n">
        <v>46173</v>
      </c>
      <c r="I25" s="10" t="s">
        <v>260</v>
      </c>
      <c r="J25" s="9" t="s">
        <v>108</v>
      </c>
      <c r="K25" s="9" t="s">
        <v>143</v>
      </c>
      <c r="L25" s="9" t="s">
        <v>346</v>
      </c>
      <c r="M25" s="9" t="s">
        <v>111</v>
      </c>
      <c r="N25" s="9" t="s">
        <v>112</v>
      </c>
      <c r="O25" s="9" t="s">
        <v>113</v>
      </c>
      <c r="P25" s="9" t="s">
        <v>365</v>
      </c>
      <c r="Q25" s="9" t="s">
        <v>259</v>
      </c>
      <c r="R25" s="9"/>
      <c r="S25" s="9"/>
      <c r="T25" s="9"/>
      <c r="U25" s="9" t="s">
        <v>21</v>
      </c>
      <c r="V25" s="9" t="s">
        <v>374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 t="s">
        <v>375</v>
      </c>
      <c r="AK25" s="9" t="s">
        <v>376</v>
      </c>
      <c r="AL25" s="9" t="s">
        <v>377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3"/>
      <c r="CN25" s="3"/>
      <c r="CO25" s="3"/>
      <c r="CP25" s="3"/>
      <c r="CQ25" s="3"/>
      <c r="CR25" s="3" t="s">
        <v>152</v>
      </c>
      <c r="CS25" s="3" t="s">
        <v>121</v>
      </c>
      <c r="CT25" s="9" t="s">
        <v>122</v>
      </c>
      <c r="CU25" s="3" t="s">
        <v>192</v>
      </c>
      <c r="CV25" s="3" t="s">
        <v>168</v>
      </c>
      <c r="CW25" s="3"/>
      <c r="DG25" s="4"/>
    </row>
    <row r="26" customFormat="false" ht="11.25" hidden="false" customHeight="true" outlineLevel="0" collapsed="false">
      <c r="A26" s="9" t="n">
        <v>25</v>
      </c>
      <c r="B26" s="10" t="n">
        <v>46061.706593669</v>
      </c>
      <c r="C26" s="10" t="n">
        <v>46061.7115126505</v>
      </c>
      <c r="D26" s="9" t="s">
        <v>378</v>
      </c>
      <c r="E26" s="9" t="s">
        <v>379</v>
      </c>
      <c r="F26" s="9" t="s">
        <v>379</v>
      </c>
      <c r="G26" s="9" t="s">
        <v>380</v>
      </c>
      <c r="H26" s="10" t="n">
        <v>46059</v>
      </c>
      <c r="I26" s="10" t="s">
        <v>107</v>
      </c>
      <c r="J26" s="9" t="s">
        <v>295</v>
      </c>
      <c r="K26" s="9" t="s">
        <v>232</v>
      </c>
      <c r="L26" s="9" t="s">
        <v>296</v>
      </c>
      <c r="M26" s="9" t="s">
        <v>111</v>
      </c>
      <c r="N26" s="9" t="s">
        <v>145</v>
      </c>
      <c r="O26" s="9" t="s">
        <v>325</v>
      </c>
      <c r="P26" s="9" t="s">
        <v>258</v>
      </c>
      <c r="Q26" s="9" t="s">
        <v>115</v>
      </c>
      <c r="R26" s="9"/>
      <c r="S26" s="9"/>
      <c r="T26" s="9"/>
      <c r="U26" s="9" t="s">
        <v>22</v>
      </c>
      <c r="V26" s="9"/>
      <c r="W26" s="9" t="s">
        <v>381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 t="s">
        <v>382</v>
      </c>
      <c r="BR26" s="9" t="s">
        <v>383</v>
      </c>
      <c r="BS26" s="9" t="s">
        <v>384</v>
      </c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3"/>
      <c r="CN26" s="3"/>
      <c r="CO26" s="3"/>
      <c r="CP26" s="3"/>
      <c r="CQ26" s="3"/>
      <c r="CR26" s="3" t="s">
        <v>152</v>
      </c>
      <c r="CS26" s="3" t="s">
        <v>180</v>
      </c>
      <c r="CT26" s="9" t="s">
        <v>385</v>
      </c>
      <c r="CU26" s="3" t="s">
        <v>167</v>
      </c>
      <c r="CV26" s="3" t="s">
        <v>139</v>
      </c>
      <c r="CW26" s="3"/>
      <c r="DG26" s="4"/>
    </row>
    <row r="27" customFormat="false" ht="11.25" hidden="false" customHeight="true" outlineLevel="0" collapsed="false">
      <c r="A27" s="9" t="n">
        <v>26</v>
      </c>
      <c r="B27" s="10" t="n">
        <v>46122.9906842014</v>
      </c>
      <c r="C27" s="10" t="n">
        <v>46123.009989757</v>
      </c>
      <c r="D27" s="9" t="s">
        <v>386</v>
      </c>
      <c r="E27" s="9" t="s">
        <v>387</v>
      </c>
      <c r="F27" s="9" t="s">
        <v>387</v>
      </c>
      <c r="G27" s="9" t="s">
        <v>388</v>
      </c>
      <c r="H27" s="10" t="n">
        <v>46102</v>
      </c>
      <c r="I27" s="10" t="s">
        <v>172</v>
      </c>
      <c r="J27" s="9" t="s">
        <v>108</v>
      </c>
      <c r="K27" s="9" t="s">
        <v>245</v>
      </c>
      <c r="L27" s="9" t="s">
        <v>389</v>
      </c>
      <c r="M27" s="9" t="s">
        <v>390</v>
      </c>
      <c r="N27" s="9" t="s">
        <v>112</v>
      </c>
      <c r="O27" s="9" t="s">
        <v>113</v>
      </c>
      <c r="P27" s="9" t="s">
        <v>391</v>
      </c>
      <c r="Q27" s="9" t="s">
        <v>280</v>
      </c>
      <c r="R27" s="9"/>
      <c r="S27" s="9"/>
      <c r="T27" s="9"/>
      <c r="U27" s="9" t="s">
        <v>21</v>
      </c>
      <c r="V27" s="9" t="s">
        <v>348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 t="s">
        <v>392</v>
      </c>
      <c r="BC27" s="9" t="s">
        <v>350</v>
      </c>
      <c r="BD27" s="9" t="s">
        <v>393</v>
      </c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3"/>
      <c r="CN27" s="3"/>
      <c r="CO27" s="3"/>
      <c r="CP27" s="3"/>
      <c r="CQ27" s="3"/>
      <c r="CR27" s="3" t="s">
        <v>152</v>
      </c>
      <c r="CS27" s="3" t="s">
        <v>121</v>
      </c>
      <c r="CT27" s="9" t="s">
        <v>122</v>
      </c>
      <c r="CU27" s="3" t="s">
        <v>167</v>
      </c>
      <c r="CV27" s="3" t="s">
        <v>168</v>
      </c>
      <c r="CW27" s="3"/>
      <c r="DG27" s="4"/>
    </row>
    <row r="28" customFormat="false" ht="11.25" hidden="false" customHeight="true" outlineLevel="0" collapsed="false">
      <c r="A28" s="9" t="n">
        <v>27</v>
      </c>
      <c r="B28" s="10" t="n">
        <v>46077.5152060532</v>
      </c>
      <c r="C28" s="10" t="n">
        <v>46077.5178796644</v>
      </c>
      <c r="D28" s="9" t="s">
        <v>394</v>
      </c>
      <c r="E28" s="9" t="s">
        <v>395</v>
      </c>
      <c r="F28" s="9" t="s">
        <v>395</v>
      </c>
      <c r="G28" s="9" t="s">
        <v>396</v>
      </c>
      <c r="H28" s="10" t="n">
        <v>46058</v>
      </c>
      <c r="I28" s="10" t="s">
        <v>278</v>
      </c>
      <c r="J28" s="9" t="s">
        <v>108</v>
      </c>
      <c r="K28" s="9" t="s">
        <v>143</v>
      </c>
      <c r="L28" s="9" t="s">
        <v>346</v>
      </c>
      <c r="M28" s="9" t="s">
        <v>111</v>
      </c>
      <c r="N28" s="9" t="s">
        <v>247</v>
      </c>
      <c r="O28" s="9" t="s">
        <v>113</v>
      </c>
      <c r="P28" s="9" t="s">
        <v>397</v>
      </c>
      <c r="Q28" s="9" t="s">
        <v>398</v>
      </c>
      <c r="R28" s="9"/>
      <c r="S28" s="9"/>
      <c r="T28" s="9"/>
      <c r="U28" s="9" t="s">
        <v>21</v>
      </c>
      <c r="V28" s="9" t="s">
        <v>187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 t="s">
        <v>188</v>
      </c>
      <c r="AQ28" s="9" t="s">
        <v>399</v>
      </c>
      <c r="AR28" s="9" t="s">
        <v>190</v>
      </c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3"/>
      <c r="CN28" s="3"/>
      <c r="CO28" s="3"/>
      <c r="CP28" s="3"/>
      <c r="CQ28" s="3"/>
      <c r="CR28" s="3" t="s">
        <v>152</v>
      </c>
      <c r="CS28" s="3" t="s">
        <v>400</v>
      </c>
      <c r="CT28" s="9" t="s">
        <v>401</v>
      </c>
      <c r="CU28" s="3" t="s">
        <v>167</v>
      </c>
      <c r="CV28" s="3" t="s">
        <v>124</v>
      </c>
      <c r="CW28" s="3"/>
      <c r="DG28" s="4"/>
    </row>
    <row r="29" customFormat="false" ht="11.25" hidden="false" customHeight="true" outlineLevel="0" collapsed="false">
      <c r="A29" s="9" t="n">
        <v>28</v>
      </c>
      <c r="B29" s="10" t="n">
        <v>46167.3981445833</v>
      </c>
      <c r="C29" s="10" t="n">
        <v>46167.4162464352</v>
      </c>
      <c r="D29" s="9" t="s">
        <v>402</v>
      </c>
      <c r="E29" s="9" t="s">
        <v>403</v>
      </c>
      <c r="F29" s="9" t="s">
        <v>403</v>
      </c>
      <c r="G29" s="9" t="s">
        <v>404</v>
      </c>
      <c r="H29" s="10" t="n">
        <v>46152</v>
      </c>
      <c r="I29" s="10" t="s">
        <v>405</v>
      </c>
      <c r="J29" s="9" t="s">
        <v>108</v>
      </c>
      <c r="K29" s="9" t="s">
        <v>245</v>
      </c>
      <c r="L29" s="9" t="s">
        <v>286</v>
      </c>
      <c r="M29" s="9" t="s">
        <v>211</v>
      </c>
      <c r="N29" s="9" t="s">
        <v>112</v>
      </c>
      <c r="O29" s="9" t="s">
        <v>305</v>
      </c>
      <c r="P29" s="9" t="s">
        <v>406</v>
      </c>
      <c r="Q29" s="9" t="s">
        <v>407</v>
      </c>
      <c r="R29" s="9"/>
      <c r="S29" s="9"/>
      <c r="T29" s="9"/>
      <c r="U29" s="9" t="s">
        <v>22</v>
      </c>
      <c r="V29" s="9"/>
      <c r="W29" s="9" t="s">
        <v>339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408</v>
      </c>
      <c r="BO29" s="9" t="s">
        <v>252</v>
      </c>
      <c r="BP29" s="9" t="s">
        <v>409</v>
      </c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3"/>
      <c r="CN29" s="3"/>
      <c r="CO29" s="3"/>
      <c r="CP29" s="3"/>
      <c r="CQ29" s="3"/>
      <c r="CR29" s="3" t="s">
        <v>320</v>
      </c>
      <c r="CS29" s="3" t="s">
        <v>121</v>
      </c>
      <c r="CT29" s="9" t="s">
        <v>122</v>
      </c>
      <c r="CU29" s="3" t="s">
        <v>123</v>
      </c>
      <c r="CV29" s="3" t="s">
        <v>124</v>
      </c>
      <c r="CW29" s="3"/>
      <c r="DG29" s="4"/>
    </row>
    <row r="30" customFormat="false" ht="11.25" hidden="false" customHeight="true" outlineLevel="0" collapsed="false">
      <c r="A30" s="9" t="n">
        <v>29</v>
      </c>
      <c r="B30" s="10" t="n">
        <v>46154.228090544</v>
      </c>
      <c r="C30" s="10" t="n">
        <v>46154.2339470255</v>
      </c>
      <c r="D30" s="9" t="s">
        <v>410</v>
      </c>
      <c r="E30" s="9" t="s">
        <v>411</v>
      </c>
      <c r="F30" s="9" t="s">
        <v>411</v>
      </c>
      <c r="G30" s="9" t="s">
        <v>412</v>
      </c>
      <c r="H30" s="10" t="n">
        <v>46142</v>
      </c>
      <c r="I30" s="10" t="s">
        <v>107</v>
      </c>
      <c r="J30" s="9" t="s">
        <v>295</v>
      </c>
      <c r="K30" s="9" t="s">
        <v>413</v>
      </c>
      <c r="L30" s="9" t="s">
        <v>389</v>
      </c>
      <c r="M30" s="9" t="s">
        <v>111</v>
      </c>
      <c r="N30" s="9" t="s">
        <v>145</v>
      </c>
      <c r="O30" s="9" t="s">
        <v>113</v>
      </c>
      <c r="P30" s="9" t="s">
        <v>234</v>
      </c>
      <c r="Q30" s="9" t="s">
        <v>414</v>
      </c>
      <c r="R30" s="9"/>
      <c r="S30" s="9"/>
      <c r="T30" s="9"/>
      <c r="U30" s="9" t="s">
        <v>24</v>
      </c>
      <c r="V30" s="9"/>
      <c r="W30" s="9"/>
      <c r="X30" s="9"/>
      <c r="Y30" s="9" t="s">
        <v>223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 t="s">
        <v>415</v>
      </c>
      <c r="CA30" s="9" t="s">
        <v>416</v>
      </c>
      <c r="CB30" s="9" t="s">
        <v>417</v>
      </c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3"/>
      <c r="CN30" s="3"/>
      <c r="CO30" s="3"/>
      <c r="CP30" s="3"/>
      <c r="CQ30" s="3"/>
      <c r="CR30" s="3" t="s">
        <v>120</v>
      </c>
      <c r="CS30" s="3" t="s">
        <v>121</v>
      </c>
      <c r="CT30" s="9" t="s">
        <v>122</v>
      </c>
      <c r="CU30" s="3" t="s">
        <v>167</v>
      </c>
      <c r="CV30" s="3" t="s">
        <v>124</v>
      </c>
      <c r="CW30" s="3"/>
      <c r="DG30" s="4"/>
    </row>
    <row r="31" customFormat="false" ht="11.25" hidden="false" customHeight="true" outlineLevel="0" collapsed="false">
      <c r="A31" s="9" t="n">
        <v>30</v>
      </c>
      <c r="B31" s="10" t="n">
        <v>46203.3556611111</v>
      </c>
      <c r="C31" s="10" t="n">
        <v>46203.3664712963</v>
      </c>
      <c r="D31" s="9" t="s">
        <v>418</v>
      </c>
      <c r="E31" s="9" t="s">
        <v>419</v>
      </c>
      <c r="F31" s="9" t="s">
        <v>420</v>
      </c>
      <c r="G31" s="9" t="s">
        <v>421</v>
      </c>
      <c r="H31" s="10" t="n">
        <v>46193</v>
      </c>
      <c r="I31" s="10" t="s">
        <v>157</v>
      </c>
      <c r="J31" s="9" t="s">
        <v>128</v>
      </c>
      <c r="K31" s="9" t="s">
        <v>257</v>
      </c>
      <c r="L31" s="9" t="s">
        <v>389</v>
      </c>
      <c r="M31" s="9" t="s">
        <v>131</v>
      </c>
      <c r="N31" s="9" t="s">
        <v>112</v>
      </c>
      <c r="O31" s="9" t="s">
        <v>113</v>
      </c>
      <c r="P31" s="9" t="s">
        <v>337</v>
      </c>
      <c r="Q31" s="9" t="s">
        <v>422</v>
      </c>
      <c r="R31" s="9"/>
      <c r="S31" s="9"/>
      <c r="T31" s="9"/>
      <c r="U31" s="9" t="s">
        <v>24</v>
      </c>
      <c r="V31" s="9"/>
      <c r="W31" s="9"/>
      <c r="X31" s="9"/>
      <c r="Y31" s="9" t="s">
        <v>223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 t="s">
        <v>423</v>
      </c>
      <c r="CA31" s="9" t="s">
        <v>424</v>
      </c>
      <c r="CB31" s="9" t="s">
        <v>425</v>
      </c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3"/>
      <c r="CN31" s="3"/>
      <c r="CO31" s="3"/>
      <c r="CP31" s="3"/>
      <c r="CQ31" s="3"/>
      <c r="CR31" s="3" t="s">
        <v>120</v>
      </c>
      <c r="CS31" s="3" t="s">
        <v>121</v>
      </c>
      <c r="CT31" s="9" t="s">
        <v>426</v>
      </c>
      <c r="CU31" s="3" t="s">
        <v>123</v>
      </c>
      <c r="CV31" s="3" t="s">
        <v>124</v>
      </c>
      <c r="CW31" s="3"/>
      <c r="DG31" s="4"/>
    </row>
    <row r="32" customFormat="false" ht="11.25" hidden="false" customHeight="true" outlineLevel="0" collapsed="false">
      <c r="A32" s="9" t="n">
        <v>31</v>
      </c>
      <c r="B32" s="10" t="n">
        <v>46116.2156209028</v>
      </c>
      <c r="C32" s="10" t="n">
        <v>46116.2212690509</v>
      </c>
      <c r="D32" s="9" t="s">
        <v>427</v>
      </c>
      <c r="E32" s="9" t="s">
        <v>428</v>
      </c>
      <c r="F32" s="9" t="s">
        <v>428</v>
      </c>
      <c r="G32" s="9" t="s">
        <v>429</v>
      </c>
      <c r="H32" s="10" t="n">
        <v>46097</v>
      </c>
      <c r="I32" s="10" t="s">
        <v>157</v>
      </c>
      <c r="J32" s="9" t="s">
        <v>108</v>
      </c>
      <c r="K32" s="9" t="s">
        <v>430</v>
      </c>
      <c r="L32" s="9" t="s">
        <v>431</v>
      </c>
      <c r="M32" s="9" t="s">
        <v>111</v>
      </c>
      <c r="N32" s="9" t="s">
        <v>112</v>
      </c>
      <c r="O32" s="9" t="s">
        <v>113</v>
      </c>
      <c r="P32" s="9" t="s">
        <v>234</v>
      </c>
      <c r="Q32" s="9" t="s">
        <v>432</v>
      </c>
      <c r="R32" s="9"/>
      <c r="S32" s="9"/>
      <c r="T32" s="9"/>
      <c r="U32" s="9" t="s">
        <v>24</v>
      </c>
      <c r="V32" s="9"/>
      <c r="W32" s="9"/>
      <c r="X32" s="9"/>
      <c r="Y32" s="9" t="s">
        <v>214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 t="s">
        <v>433</v>
      </c>
      <c r="CD32" s="9" t="s">
        <v>434</v>
      </c>
      <c r="CE32" s="9" t="s">
        <v>435</v>
      </c>
      <c r="CF32" s="9"/>
      <c r="CG32" s="9"/>
      <c r="CH32" s="9"/>
      <c r="CI32" s="9"/>
      <c r="CJ32" s="9"/>
      <c r="CK32" s="9"/>
      <c r="CL32" s="9"/>
      <c r="CM32" s="3"/>
      <c r="CN32" s="3"/>
      <c r="CO32" s="3"/>
      <c r="CP32" s="3"/>
      <c r="CQ32" s="3"/>
      <c r="CR32" s="3" t="s">
        <v>120</v>
      </c>
      <c r="CS32" s="3" t="s">
        <v>121</v>
      </c>
      <c r="CT32" s="9" t="s">
        <v>122</v>
      </c>
      <c r="CU32" s="3" t="s">
        <v>123</v>
      </c>
      <c r="CV32" s="3" t="s">
        <v>124</v>
      </c>
      <c r="CW32" s="3"/>
      <c r="DG32" s="4"/>
    </row>
    <row r="33" customFormat="false" ht="11.25" hidden="false" customHeight="true" outlineLevel="0" collapsed="false">
      <c r="A33" s="9" t="n">
        <v>32</v>
      </c>
      <c r="B33" s="10" t="n">
        <v>46141.188477662</v>
      </c>
      <c r="C33" s="10" t="n">
        <v>46141.2034892361</v>
      </c>
      <c r="D33" s="9" t="s">
        <v>436</v>
      </c>
      <c r="E33" s="9" t="s">
        <v>437</v>
      </c>
      <c r="F33" s="9" t="s">
        <v>437</v>
      </c>
      <c r="G33" s="9" t="s">
        <v>438</v>
      </c>
      <c r="H33" s="10" t="n">
        <v>46132</v>
      </c>
      <c r="I33" s="10" t="s">
        <v>107</v>
      </c>
      <c r="J33" s="9" t="s">
        <v>295</v>
      </c>
      <c r="K33" s="9" t="s">
        <v>173</v>
      </c>
      <c r="L33" s="9" t="s">
        <v>197</v>
      </c>
      <c r="M33" s="9" t="s">
        <v>211</v>
      </c>
      <c r="N33" s="9" t="s">
        <v>145</v>
      </c>
      <c r="O33" s="9" t="s">
        <v>132</v>
      </c>
      <c r="P33" s="9" t="s">
        <v>439</v>
      </c>
      <c r="Q33" s="9" t="s">
        <v>440</v>
      </c>
      <c r="R33" s="9"/>
      <c r="S33" s="9" t="s">
        <v>441</v>
      </c>
      <c r="T33" s="9"/>
      <c r="U33" s="9" t="s">
        <v>23</v>
      </c>
      <c r="V33" s="9"/>
      <c r="W33" s="9"/>
      <c r="X33" s="9" t="s">
        <v>442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3"/>
      <c r="CN33" s="3"/>
      <c r="CO33" s="3"/>
      <c r="CP33" s="3"/>
      <c r="CQ33" s="3"/>
      <c r="CR33" s="3" t="s">
        <v>152</v>
      </c>
      <c r="CS33" s="3" t="s">
        <v>121</v>
      </c>
      <c r="CT33" s="9" t="s">
        <v>122</v>
      </c>
      <c r="CU33" s="3" t="s">
        <v>192</v>
      </c>
      <c r="CV33" s="3" t="s">
        <v>124</v>
      </c>
      <c r="CW33" s="3"/>
      <c r="DG33" s="4"/>
    </row>
    <row r="34" customFormat="false" ht="11.25" hidden="false" customHeight="true" outlineLevel="0" collapsed="false">
      <c r="A34" s="9" t="n">
        <v>33</v>
      </c>
      <c r="B34" s="10" t="n">
        <v>46046.7680284259</v>
      </c>
      <c r="C34" s="10" t="n">
        <v>46046.7703432407</v>
      </c>
      <c r="D34" s="9" t="s">
        <v>443</v>
      </c>
      <c r="E34" s="9" t="s">
        <v>444</v>
      </c>
      <c r="F34" s="9" t="s">
        <v>444</v>
      </c>
      <c r="G34" s="9" t="s">
        <v>445</v>
      </c>
      <c r="H34" s="10" t="n">
        <v>46045</v>
      </c>
      <c r="I34" s="10" t="s">
        <v>244</v>
      </c>
      <c r="J34" s="9" t="s">
        <v>295</v>
      </c>
      <c r="K34" s="9" t="s">
        <v>446</v>
      </c>
      <c r="L34" s="9" t="s">
        <v>130</v>
      </c>
      <c r="M34" s="9" t="s">
        <v>111</v>
      </c>
      <c r="N34" s="9" t="s">
        <v>112</v>
      </c>
      <c r="O34" s="9" t="s">
        <v>113</v>
      </c>
      <c r="P34" s="9" t="s">
        <v>447</v>
      </c>
      <c r="Q34" s="9" t="s">
        <v>249</v>
      </c>
      <c r="R34" s="9"/>
      <c r="S34" s="9"/>
      <c r="T34" s="9"/>
      <c r="U34" s="9" t="s">
        <v>24</v>
      </c>
      <c r="V34" s="9"/>
      <c r="W34" s="9"/>
      <c r="X34" s="9"/>
      <c r="Y34" s="9" t="s">
        <v>448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 t="s">
        <v>449</v>
      </c>
      <c r="BX34" s="9" t="s">
        <v>450</v>
      </c>
      <c r="BY34" s="9" t="s">
        <v>451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3"/>
      <c r="CN34" s="3"/>
      <c r="CO34" s="3"/>
      <c r="CP34" s="3"/>
      <c r="CQ34" s="3"/>
      <c r="CR34" s="3" t="s">
        <v>227</v>
      </c>
      <c r="CS34" s="3" t="s">
        <v>121</v>
      </c>
      <c r="CT34" s="9" t="s">
        <v>452</v>
      </c>
      <c r="CU34" s="3" t="s">
        <v>192</v>
      </c>
      <c r="CV34" s="3" t="s">
        <v>139</v>
      </c>
      <c r="CW34" s="3" t="s">
        <v>219</v>
      </c>
      <c r="DG34" s="4"/>
    </row>
    <row r="35" customFormat="false" ht="11.25" hidden="false" customHeight="true" outlineLevel="0" collapsed="false">
      <c r="A35" s="9" t="n">
        <v>34</v>
      </c>
      <c r="B35" s="10" t="n">
        <v>46046.7432538773</v>
      </c>
      <c r="C35" s="10" t="n">
        <v>46046.7449668403</v>
      </c>
      <c r="D35" s="9" t="s">
        <v>453</v>
      </c>
      <c r="E35" s="9" t="s">
        <v>454</v>
      </c>
      <c r="F35" s="9" t="s">
        <v>454</v>
      </c>
      <c r="G35" s="9" t="s">
        <v>455</v>
      </c>
      <c r="H35" s="10" t="n">
        <v>46032</v>
      </c>
      <c r="I35" s="10" t="s">
        <v>172</v>
      </c>
      <c r="J35" s="9" t="s">
        <v>295</v>
      </c>
      <c r="K35" s="9" t="s">
        <v>456</v>
      </c>
      <c r="L35" s="9" t="s">
        <v>210</v>
      </c>
      <c r="M35" s="9" t="s">
        <v>131</v>
      </c>
      <c r="N35" s="9" t="s">
        <v>247</v>
      </c>
      <c r="O35" s="9" t="s">
        <v>113</v>
      </c>
      <c r="P35" s="9" t="s">
        <v>114</v>
      </c>
      <c r="Q35" s="9" t="s">
        <v>287</v>
      </c>
      <c r="R35" s="9"/>
      <c r="S35" s="9"/>
      <c r="T35" s="9"/>
      <c r="U35" s="9" t="s">
        <v>21</v>
      </c>
      <c r="V35" s="9" t="s">
        <v>457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433</v>
      </c>
      <c r="AN35" s="9" t="s">
        <v>434</v>
      </c>
      <c r="AO35" s="9" t="s">
        <v>458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3"/>
      <c r="CN35" s="3"/>
      <c r="CO35" s="3"/>
      <c r="CP35" s="3"/>
      <c r="CQ35" s="3"/>
      <c r="CR35" s="3" t="s">
        <v>152</v>
      </c>
      <c r="CS35" s="3" t="s">
        <v>228</v>
      </c>
      <c r="CT35" s="9"/>
      <c r="CU35" s="3" t="s">
        <v>123</v>
      </c>
      <c r="CV35" s="3" t="s">
        <v>168</v>
      </c>
      <c r="CW35" s="3"/>
      <c r="DG35" s="4"/>
    </row>
    <row r="36" customFormat="false" ht="11.25" hidden="false" customHeight="true" outlineLevel="0" collapsed="false">
      <c r="A36" s="9" t="n">
        <v>35</v>
      </c>
      <c r="B36" s="10" t="n">
        <v>46057.9599290046</v>
      </c>
      <c r="C36" s="10" t="n">
        <v>46057.9789220602</v>
      </c>
      <c r="D36" s="9" t="s">
        <v>459</v>
      </c>
      <c r="E36" s="9" t="s">
        <v>460</v>
      </c>
      <c r="F36" s="9" t="s">
        <v>460</v>
      </c>
      <c r="G36" s="9" t="s">
        <v>461</v>
      </c>
      <c r="H36" s="10" t="n">
        <v>46044</v>
      </c>
      <c r="I36" s="10" t="s">
        <v>244</v>
      </c>
      <c r="J36" s="9" t="s">
        <v>295</v>
      </c>
      <c r="K36" s="9" t="s">
        <v>462</v>
      </c>
      <c r="L36" s="9" t="s">
        <v>389</v>
      </c>
      <c r="M36" s="9" t="s">
        <v>111</v>
      </c>
      <c r="N36" s="9" t="s">
        <v>247</v>
      </c>
      <c r="O36" s="9" t="s">
        <v>113</v>
      </c>
      <c r="P36" s="9" t="s">
        <v>397</v>
      </c>
      <c r="Q36" s="9" t="s">
        <v>227</v>
      </c>
      <c r="R36" s="9"/>
      <c r="S36" s="9"/>
      <c r="T36" s="9"/>
      <c r="U36" s="9" t="s">
        <v>22</v>
      </c>
      <c r="V36" s="9"/>
      <c r="W36" s="9" t="s">
        <v>381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 t="s">
        <v>463</v>
      </c>
      <c r="BR36" s="9" t="s">
        <v>464</v>
      </c>
      <c r="BS36" s="9" t="s">
        <v>465</v>
      </c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3"/>
      <c r="CN36" s="3"/>
      <c r="CO36" s="3"/>
      <c r="CP36" s="3"/>
      <c r="CQ36" s="3"/>
      <c r="CR36" s="3" t="s">
        <v>152</v>
      </c>
      <c r="CS36" s="3" t="s">
        <v>121</v>
      </c>
      <c r="CT36" s="9" t="s">
        <v>122</v>
      </c>
      <c r="CU36" s="3" t="s">
        <v>192</v>
      </c>
      <c r="CV36" s="3" t="s">
        <v>124</v>
      </c>
      <c r="CW36" s="3"/>
      <c r="DG36" s="4"/>
    </row>
    <row r="37" customFormat="false" ht="11.25" hidden="false" customHeight="true" outlineLevel="0" collapsed="false">
      <c r="A37" s="9" t="n">
        <v>36</v>
      </c>
      <c r="B37" s="10" t="n">
        <v>46181.1947224074</v>
      </c>
      <c r="C37" s="10" t="n">
        <v>46181.2147571296</v>
      </c>
      <c r="D37" s="9" t="s">
        <v>466</v>
      </c>
      <c r="E37" s="9" t="s">
        <v>467</v>
      </c>
      <c r="F37" s="9" t="s">
        <v>467</v>
      </c>
      <c r="G37" s="9" t="s">
        <v>468</v>
      </c>
      <c r="H37" s="10" t="n">
        <v>46177</v>
      </c>
      <c r="I37" s="10" t="s">
        <v>278</v>
      </c>
      <c r="J37" s="9" t="s">
        <v>108</v>
      </c>
      <c r="K37" s="9" t="s">
        <v>143</v>
      </c>
      <c r="L37" s="9" t="s">
        <v>286</v>
      </c>
      <c r="M37" s="9" t="s">
        <v>131</v>
      </c>
      <c r="N37" s="9" t="s">
        <v>112</v>
      </c>
      <c r="O37" s="9" t="s">
        <v>325</v>
      </c>
      <c r="P37" s="9" t="s">
        <v>447</v>
      </c>
      <c r="Q37" s="9" t="s">
        <v>469</v>
      </c>
      <c r="R37" s="9"/>
      <c r="S37" s="9"/>
      <c r="T37" s="9"/>
      <c r="U37" s="9" t="s">
        <v>21</v>
      </c>
      <c r="V37" s="9" t="s">
        <v>307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 t="s">
        <v>470</v>
      </c>
      <c r="AT37" s="9" t="s">
        <v>471</v>
      </c>
      <c r="AU37" s="9" t="s">
        <v>472</v>
      </c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3"/>
      <c r="CN37" s="3"/>
      <c r="CO37" s="3"/>
      <c r="CP37" s="3"/>
      <c r="CQ37" s="3"/>
      <c r="CR37" s="3" t="s">
        <v>152</v>
      </c>
      <c r="CS37" s="3" t="s">
        <v>352</v>
      </c>
      <c r="CT37" s="9"/>
      <c r="CU37" s="3" t="s">
        <v>123</v>
      </c>
      <c r="CV37" s="3" t="s">
        <v>124</v>
      </c>
      <c r="CW37" s="3"/>
      <c r="DG37" s="4"/>
    </row>
    <row r="38" customFormat="false" ht="11.25" hidden="false" customHeight="true" outlineLevel="0" collapsed="false">
      <c r="A38" s="9" t="n">
        <v>37</v>
      </c>
      <c r="B38" s="10" t="n">
        <v>46154.0879018171</v>
      </c>
      <c r="C38" s="10" t="n">
        <v>46154.1005754282</v>
      </c>
      <c r="D38" s="9" t="s">
        <v>473</v>
      </c>
      <c r="E38" s="9" t="s">
        <v>474</v>
      </c>
      <c r="F38" s="9" t="s">
        <v>474</v>
      </c>
      <c r="G38" s="9" t="s">
        <v>475</v>
      </c>
      <c r="H38" s="10" t="n">
        <v>46138</v>
      </c>
      <c r="I38" s="10" t="s">
        <v>244</v>
      </c>
      <c r="J38" s="9" t="s">
        <v>108</v>
      </c>
      <c r="K38" s="9" t="s">
        <v>476</v>
      </c>
      <c r="L38" s="9" t="s">
        <v>197</v>
      </c>
      <c r="M38" s="9" t="s">
        <v>111</v>
      </c>
      <c r="N38" s="9" t="s">
        <v>145</v>
      </c>
      <c r="O38" s="9" t="s">
        <v>113</v>
      </c>
      <c r="P38" s="9" t="s">
        <v>477</v>
      </c>
      <c r="Q38" s="9" t="s">
        <v>338</v>
      </c>
      <c r="R38" s="9"/>
      <c r="S38" s="9"/>
      <c r="T38" s="9"/>
      <c r="U38" s="9" t="s">
        <v>22</v>
      </c>
      <c r="V38" s="9"/>
      <c r="W38" s="9" t="s">
        <v>135</v>
      </c>
      <c r="X38" s="9"/>
      <c r="Y38" s="9"/>
      <c r="Z38" s="9"/>
      <c r="AA38" s="9" t="s">
        <v>478</v>
      </c>
      <c r="AB38" s="9" t="s">
        <v>479</v>
      </c>
      <c r="AC38" s="9" t="s">
        <v>252</v>
      </c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3"/>
      <c r="CN38" s="3"/>
      <c r="CO38" s="3"/>
      <c r="CP38" s="3"/>
      <c r="CQ38" s="3"/>
      <c r="CR38" s="3" t="s">
        <v>120</v>
      </c>
      <c r="CS38" s="3" t="s">
        <v>121</v>
      </c>
      <c r="CT38" s="9" t="s">
        <v>480</v>
      </c>
      <c r="CU38" s="3" t="s">
        <v>192</v>
      </c>
      <c r="CV38" s="3" t="s">
        <v>124</v>
      </c>
      <c r="CW38" s="3"/>
      <c r="DG38" s="4"/>
    </row>
    <row r="39" s="12" customFormat="true" ht="11.25" hidden="false" customHeight="true" outlineLevel="0" collapsed="false">
      <c r="A39" s="9" t="n">
        <v>38</v>
      </c>
      <c r="B39" s="10" t="n">
        <v>46156.7128675463</v>
      </c>
      <c r="C39" s="10" t="n">
        <v>46156.7219531944</v>
      </c>
      <c r="D39" s="9" t="s">
        <v>481</v>
      </c>
      <c r="E39" s="9" t="s">
        <v>482</v>
      </c>
      <c r="F39" s="9" t="s">
        <v>482</v>
      </c>
      <c r="G39" s="9" t="s">
        <v>483</v>
      </c>
      <c r="H39" s="10" t="n">
        <v>46140</v>
      </c>
      <c r="I39" s="10" t="s">
        <v>172</v>
      </c>
      <c r="J39" s="9" t="s">
        <v>108</v>
      </c>
      <c r="K39" s="9" t="s">
        <v>462</v>
      </c>
      <c r="L39" s="9" t="s">
        <v>286</v>
      </c>
      <c r="M39" s="9" t="s">
        <v>111</v>
      </c>
      <c r="N39" s="9" t="s">
        <v>145</v>
      </c>
      <c r="O39" s="9" t="s">
        <v>113</v>
      </c>
      <c r="P39" s="9" t="s">
        <v>484</v>
      </c>
      <c r="Q39" s="9" t="s">
        <v>338</v>
      </c>
      <c r="R39" s="9"/>
      <c r="S39" s="9"/>
      <c r="T39" s="9"/>
      <c r="U39" s="9" t="s">
        <v>22</v>
      </c>
      <c r="V39" s="9"/>
      <c r="W39" s="9" t="s">
        <v>148</v>
      </c>
      <c r="X39" s="9"/>
      <c r="Y39" s="9"/>
      <c r="Z39" s="9"/>
      <c r="AA39" s="9"/>
      <c r="AB39" s="9"/>
      <c r="AC39" s="9"/>
      <c r="AD39" s="9" t="s">
        <v>485</v>
      </c>
      <c r="AE39" s="9" t="s">
        <v>486</v>
      </c>
      <c r="AF39" s="9" t="s">
        <v>487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11"/>
      <c r="CN39" s="11"/>
      <c r="CO39" s="11"/>
      <c r="CP39" s="11"/>
      <c r="CQ39" s="11"/>
      <c r="CR39" s="11" t="s">
        <v>120</v>
      </c>
      <c r="CS39" s="11" t="s">
        <v>121</v>
      </c>
      <c r="CT39" s="9" t="s">
        <v>122</v>
      </c>
      <c r="CU39" s="11" t="s">
        <v>167</v>
      </c>
      <c r="CV39" s="11" t="s">
        <v>124</v>
      </c>
      <c r="CW39" s="11"/>
      <c r="CX39" s="11"/>
      <c r="CY39" s="11"/>
      <c r="CZ39" s="11"/>
      <c r="DA39" s="11"/>
      <c r="DB39" s="11"/>
      <c r="DC39" s="11"/>
      <c r="DD39" s="11"/>
      <c r="DE39" s="11"/>
      <c r="DF39" s="11"/>
    </row>
    <row r="40" customFormat="false" ht="11.25" hidden="false" customHeight="true" outlineLevel="0" collapsed="false">
      <c r="A40" s="9" t="n">
        <v>39</v>
      </c>
      <c r="B40" s="10" t="n">
        <v>46166.723914537</v>
      </c>
      <c r="C40" s="10" t="n">
        <v>46166.7281969444</v>
      </c>
      <c r="D40" s="9" t="s">
        <v>488</v>
      </c>
      <c r="E40" s="9" t="s">
        <v>489</v>
      </c>
      <c r="F40" s="9" t="s">
        <v>489</v>
      </c>
      <c r="G40" s="9" t="s">
        <v>490</v>
      </c>
      <c r="H40" s="10" t="n">
        <v>46153</v>
      </c>
      <c r="I40" s="10" t="s">
        <v>157</v>
      </c>
      <c r="J40" s="9" t="s">
        <v>295</v>
      </c>
      <c r="K40" s="9" t="s">
        <v>232</v>
      </c>
      <c r="L40" s="9" t="s">
        <v>491</v>
      </c>
      <c r="M40" s="9" t="s">
        <v>111</v>
      </c>
      <c r="N40" s="9" t="s">
        <v>112</v>
      </c>
      <c r="O40" s="9" t="s">
        <v>113</v>
      </c>
      <c r="P40" s="9" t="s">
        <v>492</v>
      </c>
      <c r="Q40" s="9" t="s">
        <v>186</v>
      </c>
      <c r="R40" s="9"/>
      <c r="S40" s="9"/>
      <c r="T40" s="9"/>
      <c r="U40" s="9" t="s">
        <v>24</v>
      </c>
      <c r="V40" s="9"/>
      <c r="W40" s="9"/>
      <c r="X40" s="9"/>
      <c r="Y40" s="9" t="s">
        <v>448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 t="s">
        <v>493</v>
      </c>
      <c r="BX40" s="9" t="s">
        <v>494</v>
      </c>
      <c r="BY40" s="9" t="s">
        <v>495</v>
      </c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3"/>
      <c r="CN40" s="3"/>
      <c r="CO40" s="3"/>
      <c r="CP40" s="3"/>
      <c r="CQ40" s="3"/>
      <c r="CR40" s="3" t="s">
        <v>227</v>
      </c>
      <c r="CS40" s="3" t="s">
        <v>496</v>
      </c>
      <c r="CT40" s="9"/>
      <c r="CU40" s="3" t="s">
        <v>192</v>
      </c>
      <c r="CV40" s="3" t="s">
        <v>124</v>
      </c>
      <c r="CW40" s="3"/>
      <c r="DG40" s="4"/>
    </row>
    <row r="41" customFormat="false" ht="11.25" hidden="false" customHeight="true" outlineLevel="0" collapsed="false">
      <c r="A41" s="9" t="n">
        <v>40</v>
      </c>
      <c r="B41" s="10" t="n">
        <v>46068.5273003357</v>
      </c>
      <c r="C41" s="10" t="n">
        <v>46068.5421035764</v>
      </c>
      <c r="D41" s="9" t="s">
        <v>497</v>
      </c>
      <c r="E41" s="9" t="s">
        <v>498</v>
      </c>
      <c r="F41" s="9" t="s">
        <v>498</v>
      </c>
      <c r="G41" s="9" t="s">
        <v>499</v>
      </c>
      <c r="H41" s="10" t="n">
        <v>46064</v>
      </c>
      <c r="I41" s="10" t="s">
        <v>278</v>
      </c>
      <c r="J41" s="9" t="s">
        <v>128</v>
      </c>
      <c r="K41" s="9" t="s">
        <v>500</v>
      </c>
      <c r="L41" s="9" t="s">
        <v>233</v>
      </c>
      <c r="M41" s="9" t="s">
        <v>111</v>
      </c>
      <c r="N41" s="9" t="s">
        <v>112</v>
      </c>
      <c r="O41" s="9" t="s">
        <v>113</v>
      </c>
      <c r="P41" s="9" t="s">
        <v>501</v>
      </c>
      <c r="Q41" s="9" t="s">
        <v>175</v>
      </c>
      <c r="R41" s="9" t="s">
        <v>502</v>
      </c>
      <c r="S41" s="9"/>
      <c r="T41" s="9"/>
      <c r="U41" s="9" t="s">
        <v>23</v>
      </c>
      <c r="V41" s="9"/>
      <c r="W41" s="9"/>
      <c r="X41" s="9" t="s">
        <v>503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3"/>
      <c r="CN41" s="3"/>
      <c r="CO41" s="3"/>
      <c r="CP41" s="3"/>
      <c r="CQ41" s="3"/>
      <c r="CR41" s="3" t="s">
        <v>152</v>
      </c>
      <c r="CS41" s="3" t="s">
        <v>352</v>
      </c>
      <c r="CT41" s="9"/>
      <c r="CU41" s="3" t="s">
        <v>123</v>
      </c>
      <c r="CV41" s="3" t="s">
        <v>124</v>
      </c>
      <c r="CW41" s="3"/>
      <c r="DG41" s="4"/>
    </row>
    <row r="42" customFormat="false" ht="11.25" hidden="false" customHeight="true" outlineLevel="0" collapsed="false">
      <c r="A42" s="9" t="n">
        <v>41</v>
      </c>
      <c r="B42" s="10" t="n">
        <v>46118.2492454167</v>
      </c>
      <c r="C42" s="10" t="n">
        <v>46118.2627755093</v>
      </c>
      <c r="D42" s="9" t="s">
        <v>504</v>
      </c>
      <c r="E42" s="9" t="s">
        <v>505</v>
      </c>
      <c r="F42" s="9" t="s">
        <v>505</v>
      </c>
      <c r="G42" s="9" t="s">
        <v>506</v>
      </c>
      <c r="H42" s="10" t="n">
        <v>46115</v>
      </c>
      <c r="I42" s="10" t="s">
        <v>107</v>
      </c>
      <c r="J42" s="9" t="s">
        <v>295</v>
      </c>
      <c r="K42" s="9" t="s">
        <v>232</v>
      </c>
      <c r="L42" s="9" t="s">
        <v>197</v>
      </c>
      <c r="M42" s="9" t="s">
        <v>111</v>
      </c>
      <c r="N42" s="9" t="s">
        <v>198</v>
      </c>
      <c r="O42" s="9" t="s">
        <v>113</v>
      </c>
      <c r="P42" s="9" t="s">
        <v>507</v>
      </c>
      <c r="Q42" s="9" t="s">
        <v>508</v>
      </c>
      <c r="R42" s="9"/>
      <c r="S42" s="9"/>
      <c r="T42" s="9"/>
      <c r="U42" s="9" t="s">
        <v>24</v>
      </c>
      <c r="V42" s="9"/>
      <c r="W42" s="9"/>
      <c r="X42" s="9"/>
      <c r="Y42" s="9" t="s">
        <v>223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 t="s">
        <v>509</v>
      </c>
      <c r="CA42" s="9" t="s">
        <v>510</v>
      </c>
      <c r="CB42" s="9" t="s">
        <v>511</v>
      </c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3"/>
      <c r="CN42" s="3"/>
      <c r="CO42" s="3"/>
      <c r="CP42" s="3"/>
      <c r="CQ42" s="3"/>
      <c r="CR42" s="3" t="s">
        <v>152</v>
      </c>
      <c r="CS42" s="3" t="s">
        <v>121</v>
      </c>
      <c r="CT42" s="9" t="s">
        <v>122</v>
      </c>
      <c r="CU42" s="3" t="s">
        <v>192</v>
      </c>
      <c r="CV42" s="3" t="s">
        <v>124</v>
      </c>
      <c r="CW42" s="3"/>
      <c r="DG42" s="4"/>
    </row>
    <row r="43" customFormat="false" ht="11.25" hidden="false" customHeight="true" outlineLevel="0" collapsed="false">
      <c r="A43" s="9" t="n">
        <v>42</v>
      </c>
      <c r="B43" s="10" t="n">
        <v>46043.0437522801</v>
      </c>
      <c r="C43" s="10" t="n">
        <v>46043.0560323727</v>
      </c>
      <c r="D43" s="9" t="s">
        <v>512</v>
      </c>
      <c r="E43" s="9" t="s">
        <v>513</v>
      </c>
      <c r="F43" s="9" t="s">
        <v>513</v>
      </c>
      <c r="G43" s="9" t="s">
        <v>514</v>
      </c>
      <c r="H43" s="10" t="n">
        <v>46025</v>
      </c>
      <c r="I43" s="10" t="s">
        <v>172</v>
      </c>
      <c r="J43" s="9" t="s">
        <v>108</v>
      </c>
      <c r="K43" s="9" t="s">
        <v>232</v>
      </c>
      <c r="L43" s="9" t="s">
        <v>114</v>
      </c>
      <c r="M43" s="9" t="s">
        <v>111</v>
      </c>
      <c r="N43" s="9" t="s">
        <v>247</v>
      </c>
      <c r="O43" s="9" t="s">
        <v>113</v>
      </c>
      <c r="P43" s="9" t="s">
        <v>515</v>
      </c>
      <c r="Q43" s="9" t="s">
        <v>338</v>
      </c>
      <c r="R43" s="9"/>
      <c r="S43" s="9"/>
      <c r="T43" s="9"/>
      <c r="U43" s="9" t="s">
        <v>24</v>
      </c>
      <c r="V43" s="9"/>
      <c r="W43" s="9"/>
      <c r="X43" s="9"/>
      <c r="Y43" s="9" t="s">
        <v>448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 t="s">
        <v>516</v>
      </c>
      <c r="BX43" s="9" t="s">
        <v>517</v>
      </c>
      <c r="BY43" s="9" t="s">
        <v>518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3"/>
      <c r="CN43" s="3"/>
      <c r="CO43" s="3"/>
      <c r="CP43" s="3"/>
      <c r="CQ43" s="3"/>
      <c r="CR43" s="3" t="s">
        <v>152</v>
      </c>
      <c r="CS43" s="3" t="s">
        <v>121</v>
      </c>
      <c r="CT43" s="9"/>
      <c r="CU43" s="3" t="s">
        <v>123</v>
      </c>
      <c r="CV43" s="3" t="s">
        <v>124</v>
      </c>
      <c r="CW43" s="3"/>
      <c r="DG43" s="4"/>
    </row>
    <row r="44" customFormat="false" ht="11.25" hidden="false" customHeight="true" outlineLevel="0" collapsed="false">
      <c r="A44" s="9" t="n">
        <v>43</v>
      </c>
      <c r="B44" s="10" t="n">
        <v>46064.1654742824</v>
      </c>
      <c r="C44" s="10" t="n">
        <v>46064.185254375</v>
      </c>
      <c r="D44" s="9" t="s">
        <v>519</v>
      </c>
      <c r="E44" s="9" t="s">
        <v>520</v>
      </c>
      <c r="F44" s="9" t="s">
        <v>520</v>
      </c>
      <c r="G44" s="9" t="s">
        <v>521</v>
      </c>
      <c r="H44" s="10" t="n">
        <v>46044</v>
      </c>
      <c r="I44" s="10" t="s">
        <v>278</v>
      </c>
      <c r="J44" s="9" t="s">
        <v>108</v>
      </c>
      <c r="K44" s="9" t="s">
        <v>522</v>
      </c>
      <c r="L44" s="9" t="s">
        <v>286</v>
      </c>
      <c r="M44" s="9" t="s">
        <v>111</v>
      </c>
      <c r="N44" s="9" t="s">
        <v>112</v>
      </c>
      <c r="O44" s="9" t="s">
        <v>325</v>
      </c>
      <c r="P44" s="9" t="s">
        <v>365</v>
      </c>
      <c r="Q44" s="9" t="s">
        <v>523</v>
      </c>
      <c r="R44" s="9"/>
      <c r="S44" s="9"/>
      <c r="T44" s="9"/>
      <c r="U44" s="9" t="s">
        <v>24</v>
      </c>
      <c r="V44" s="9"/>
      <c r="W44" s="9"/>
      <c r="X44" s="9"/>
      <c r="Y44" s="9" t="s">
        <v>214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 t="s">
        <v>524</v>
      </c>
      <c r="CD44" s="9" t="s">
        <v>525</v>
      </c>
      <c r="CE44" s="9" t="s">
        <v>526</v>
      </c>
      <c r="CF44" s="9"/>
      <c r="CG44" s="9"/>
      <c r="CH44" s="9"/>
      <c r="CI44" s="9"/>
      <c r="CJ44" s="9"/>
      <c r="CK44" s="9"/>
      <c r="CL44" s="9"/>
      <c r="CM44" s="3"/>
      <c r="CN44" s="3"/>
      <c r="CO44" s="3"/>
      <c r="CP44" s="3"/>
      <c r="CQ44" s="3"/>
      <c r="CR44" s="3" t="s">
        <v>152</v>
      </c>
      <c r="CS44" s="3" t="s">
        <v>121</v>
      </c>
      <c r="CT44" s="9"/>
      <c r="CU44" s="3" t="s">
        <v>192</v>
      </c>
      <c r="CV44" s="3" t="s">
        <v>124</v>
      </c>
      <c r="CW44" s="3"/>
      <c r="DG44" s="4"/>
    </row>
    <row r="45" customFormat="false" ht="11.25" hidden="false" customHeight="true" outlineLevel="0" collapsed="false">
      <c r="A45" s="9" t="n">
        <v>44</v>
      </c>
      <c r="B45" s="10" t="n">
        <v>46063.8599377662</v>
      </c>
      <c r="C45" s="10" t="n">
        <v>46063.8631437847</v>
      </c>
      <c r="D45" s="9" t="s">
        <v>527</v>
      </c>
      <c r="E45" s="9" t="s">
        <v>528</v>
      </c>
      <c r="F45" s="9" t="s">
        <v>528</v>
      </c>
      <c r="G45" s="9" t="s">
        <v>529</v>
      </c>
      <c r="H45" s="10" t="n">
        <v>46061</v>
      </c>
      <c r="I45" s="10" t="s">
        <v>244</v>
      </c>
      <c r="J45" s="9" t="s">
        <v>108</v>
      </c>
      <c r="K45" s="9" t="s">
        <v>173</v>
      </c>
      <c r="L45" s="9" t="s">
        <v>296</v>
      </c>
      <c r="M45" s="9" t="s">
        <v>211</v>
      </c>
      <c r="N45" s="9" t="s">
        <v>112</v>
      </c>
      <c r="O45" s="9" t="s">
        <v>113</v>
      </c>
      <c r="P45" s="9" t="s">
        <v>269</v>
      </c>
      <c r="Q45" s="9" t="s">
        <v>287</v>
      </c>
      <c r="R45" s="9"/>
      <c r="S45" s="9"/>
      <c r="T45" s="9"/>
      <c r="U45" s="9" t="s">
        <v>22</v>
      </c>
      <c r="V45" s="9"/>
      <c r="W45" s="9" t="s">
        <v>135</v>
      </c>
      <c r="X45" s="9"/>
      <c r="Y45" s="9"/>
      <c r="Z45" s="9"/>
      <c r="AA45" s="9" t="s">
        <v>530</v>
      </c>
      <c r="AB45" s="9" t="s">
        <v>531</v>
      </c>
      <c r="AC45" s="9" t="s">
        <v>532</v>
      </c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3"/>
      <c r="CN45" s="3"/>
      <c r="CO45" s="3"/>
      <c r="CP45" s="3"/>
      <c r="CQ45" s="3"/>
      <c r="CR45" s="3" t="s">
        <v>120</v>
      </c>
      <c r="CS45" s="3" t="s">
        <v>400</v>
      </c>
      <c r="CT45" s="9" t="s">
        <v>122</v>
      </c>
      <c r="CU45" s="3" t="s">
        <v>123</v>
      </c>
      <c r="CV45" s="3" t="s">
        <v>139</v>
      </c>
      <c r="CW45" s="3"/>
      <c r="DG45" s="4"/>
    </row>
    <row r="46" customFormat="false" ht="11.25" hidden="false" customHeight="true" outlineLevel="0" collapsed="false">
      <c r="A46" s="9" t="n">
        <v>45</v>
      </c>
      <c r="B46" s="10" t="n">
        <v>46202.9184491551</v>
      </c>
      <c r="C46" s="10" t="n">
        <v>46202.9210764699</v>
      </c>
      <c r="D46" s="9" t="s">
        <v>533</v>
      </c>
      <c r="E46" s="9" t="s">
        <v>534</v>
      </c>
      <c r="F46" s="9" t="s">
        <v>534</v>
      </c>
      <c r="G46" s="9" t="s">
        <v>535</v>
      </c>
      <c r="H46" s="10" t="n">
        <v>46192</v>
      </c>
      <c r="I46" s="10" t="s">
        <v>107</v>
      </c>
      <c r="J46" s="9" t="s">
        <v>108</v>
      </c>
      <c r="K46" s="9" t="s">
        <v>232</v>
      </c>
      <c r="L46" s="9" t="s">
        <v>346</v>
      </c>
      <c r="M46" s="9" t="s">
        <v>111</v>
      </c>
      <c r="N46" s="9" t="s">
        <v>112</v>
      </c>
      <c r="O46" s="9" t="s">
        <v>305</v>
      </c>
      <c r="P46" s="9" t="s">
        <v>406</v>
      </c>
      <c r="Q46" s="9" t="s">
        <v>234</v>
      </c>
      <c r="R46" s="9"/>
      <c r="S46" s="9"/>
      <c r="T46" s="9"/>
      <c r="U46" s="9" t="s">
        <v>22</v>
      </c>
      <c r="V46" s="9"/>
      <c r="W46" s="9" t="s">
        <v>298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 t="s">
        <v>536</v>
      </c>
      <c r="AW46" s="9" t="s">
        <v>537</v>
      </c>
      <c r="AX46" s="9" t="s">
        <v>538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3"/>
      <c r="CN46" s="3"/>
      <c r="CO46" s="3"/>
      <c r="CP46" s="3"/>
      <c r="CQ46" s="3"/>
      <c r="CR46" s="3" t="s">
        <v>152</v>
      </c>
      <c r="CS46" s="3" t="s">
        <v>180</v>
      </c>
      <c r="CT46" s="9"/>
      <c r="CU46" s="3" t="s">
        <v>192</v>
      </c>
      <c r="CV46" s="3" t="s">
        <v>139</v>
      </c>
      <c r="CW46" s="3" t="s">
        <v>219</v>
      </c>
      <c r="DG46" s="4"/>
    </row>
    <row r="47" customFormat="false" ht="11.25" hidden="false" customHeight="true" outlineLevel="0" collapsed="false">
      <c r="A47" s="9" t="n">
        <v>46</v>
      </c>
      <c r="B47" s="10" t="n">
        <v>46160.9522516088</v>
      </c>
      <c r="C47" s="10" t="n">
        <v>46160.9656891088</v>
      </c>
      <c r="D47" s="9" t="s">
        <v>539</v>
      </c>
      <c r="E47" s="9" t="s">
        <v>540</v>
      </c>
      <c r="F47" s="9" t="s">
        <v>541</v>
      </c>
      <c r="G47" s="9" t="s">
        <v>542</v>
      </c>
      <c r="H47" s="10" t="n">
        <v>46151</v>
      </c>
      <c r="I47" s="10" t="s">
        <v>107</v>
      </c>
      <c r="J47" s="9" t="s">
        <v>108</v>
      </c>
      <c r="K47" s="9" t="s">
        <v>196</v>
      </c>
      <c r="L47" s="9" t="s">
        <v>286</v>
      </c>
      <c r="M47" s="9" t="s">
        <v>111</v>
      </c>
      <c r="N47" s="9" t="s">
        <v>112</v>
      </c>
      <c r="O47" s="9" t="s">
        <v>113</v>
      </c>
      <c r="P47" s="9" t="s">
        <v>543</v>
      </c>
      <c r="Q47" s="9" t="s">
        <v>544</v>
      </c>
      <c r="R47" s="9"/>
      <c r="S47" s="9"/>
      <c r="T47" s="9"/>
      <c r="U47" s="9" t="s">
        <v>21</v>
      </c>
      <c r="V47" s="9" t="s">
        <v>307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 t="s">
        <v>545</v>
      </c>
      <c r="AT47" s="9" t="s">
        <v>546</v>
      </c>
      <c r="AU47" s="9" t="s">
        <v>310</v>
      </c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3"/>
      <c r="CN47" s="3"/>
      <c r="CO47" s="3"/>
      <c r="CP47" s="3"/>
      <c r="CQ47" s="3"/>
      <c r="CR47" s="3" t="s">
        <v>152</v>
      </c>
      <c r="CS47" s="3" t="s">
        <v>180</v>
      </c>
      <c r="CT47" s="9" t="s">
        <v>547</v>
      </c>
      <c r="CU47" s="3" t="s">
        <v>192</v>
      </c>
      <c r="CV47" s="3" t="s">
        <v>124</v>
      </c>
      <c r="CW47" s="3"/>
      <c r="DG47" s="4"/>
    </row>
    <row r="48" customFormat="false" ht="11.25" hidden="false" customHeight="true" outlineLevel="0" collapsed="false">
      <c r="A48" s="9" t="n">
        <v>47</v>
      </c>
      <c r="B48" s="10" t="n">
        <v>46139.5223570486</v>
      </c>
      <c r="C48" s="10" t="n">
        <v>46139.5382135301</v>
      </c>
      <c r="D48" s="9" t="s">
        <v>548</v>
      </c>
      <c r="E48" s="9" t="s">
        <v>549</v>
      </c>
      <c r="F48" s="9" t="s">
        <v>549</v>
      </c>
      <c r="G48" s="9" t="s">
        <v>550</v>
      </c>
      <c r="H48" s="10" t="n">
        <v>46125</v>
      </c>
      <c r="I48" s="10" t="s">
        <v>107</v>
      </c>
      <c r="J48" s="9" t="s">
        <v>108</v>
      </c>
      <c r="K48" s="9" t="s">
        <v>196</v>
      </c>
      <c r="L48" s="9" t="s">
        <v>286</v>
      </c>
      <c r="M48" s="9" t="s">
        <v>111</v>
      </c>
      <c r="N48" s="9" t="s">
        <v>247</v>
      </c>
      <c r="O48" s="9" t="s">
        <v>551</v>
      </c>
      <c r="P48" s="9" t="s">
        <v>160</v>
      </c>
      <c r="Q48" s="9" t="s">
        <v>552</v>
      </c>
      <c r="R48" s="9"/>
      <c r="S48" s="9"/>
      <c r="T48" s="9"/>
      <c r="U48" s="9" t="s">
        <v>22</v>
      </c>
      <c r="V48" s="9"/>
      <c r="W48" s="9" t="s">
        <v>339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553</v>
      </c>
      <c r="BO48" s="9" t="s">
        <v>554</v>
      </c>
      <c r="BP48" s="9" t="s">
        <v>555</v>
      </c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3"/>
      <c r="CN48" s="3"/>
      <c r="CO48" s="3"/>
      <c r="CP48" s="3"/>
      <c r="CQ48" s="3"/>
      <c r="CR48" s="3" t="s">
        <v>152</v>
      </c>
      <c r="CS48" s="3" t="s">
        <v>121</v>
      </c>
      <c r="CT48" s="9" t="s">
        <v>122</v>
      </c>
      <c r="CU48" s="3" t="s">
        <v>192</v>
      </c>
      <c r="CV48" s="3" t="s">
        <v>124</v>
      </c>
      <c r="CW48" s="3"/>
      <c r="DG48" s="4"/>
    </row>
    <row r="49" customFormat="false" ht="11.25" hidden="false" customHeight="true" outlineLevel="0" collapsed="false">
      <c r="A49" s="9" t="n">
        <v>48</v>
      </c>
      <c r="B49" s="10" t="n">
        <v>46042.9623497685</v>
      </c>
      <c r="C49" s="10" t="n">
        <v>46042.9743868056</v>
      </c>
      <c r="D49" s="9" t="s">
        <v>556</v>
      </c>
      <c r="E49" s="9" t="s">
        <v>557</v>
      </c>
      <c r="F49" s="9" t="s">
        <v>558</v>
      </c>
      <c r="G49" s="9" t="s">
        <v>559</v>
      </c>
      <c r="H49" s="10" t="n">
        <v>46029</v>
      </c>
      <c r="I49" s="10" t="s">
        <v>107</v>
      </c>
      <c r="J49" s="9" t="s">
        <v>128</v>
      </c>
      <c r="K49" s="9" t="s">
        <v>257</v>
      </c>
      <c r="L49" s="9" t="s">
        <v>246</v>
      </c>
      <c r="M49" s="9" t="s">
        <v>111</v>
      </c>
      <c r="N49" s="9" t="s">
        <v>112</v>
      </c>
      <c r="O49" s="9" t="s">
        <v>113</v>
      </c>
      <c r="P49" s="9" t="s">
        <v>212</v>
      </c>
      <c r="Q49" s="9" t="s">
        <v>560</v>
      </c>
      <c r="R49" s="9"/>
      <c r="S49" s="9"/>
      <c r="T49" s="9"/>
      <c r="U49" s="9" t="s">
        <v>22</v>
      </c>
      <c r="V49" s="9"/>
      <c r="W49" s="9" t="s">
        <v>135</v>
      </c>
      <c r="X49" s="9"/>
      <c r="Y49" s="9"/>
      <c r="Z49" s="9"/>
      <c r="AA49" s="9" t="s">
        <v>530</v>
      </c>
      <c r="AB49" s="9" t="s">
        <v>531</v>
      </c>
      <c r="AC49" s="9" t="s">
        <v>561</v>
      </c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3"/>
      <c r="CN49" s="3"/>
      <c r="CO49" s="3"/>
      <c r="CP49" s="3"/>
      <c r="CQ49" s="3"/>
      <c r="CR49" s="3" t="s">
        <v>120</v>
      </c>
      <c r="CS49" s="3" t="s">
        <v>121</v>
      </c>
      <c r="CT49" s="9" t="s">
        <v>562</v>
      </c>
      <c r="CU49" s="3" t="s">
        <v>192</v>
      </c>
      <c r="CV49" s="3" t="s">
        <v>124</v>
      </c>
      <c r="CW49" s="3"/>
      <c r="DG49" s="4"/>
    </row>
    <row r="50" customFormat="false" ht="11.25" hidden="false" customHeight="true" outlineLevel="0" collapsed="false">
      <c r="A50" s="9" t="n">
        <v>49</v>
      </c>
      <c r="B50" s="10" t="n">
        <v>46048.4323150116</v>
      </c>
      <c r="C50" s="10" t="n">
        <v>46048.4467015857</v>
      </c>
      <c r="D50" s="9" t="s">
        <v>563</v>
      </c>
      <c r="E50" s="9" t="s">
        <v>564</v>
      </c>
      <c r="F50" s="9" t="s">
        <v>564</v>
      </c>
      <c r="G50" s="9" t="s">
        <v>565</v>
      </c>
      <c r="H50" s="10" t="n">
        <v>46035</v>
      </c>
      <c r="I50" s="10" t="s">
        <v>107</v>
      </c>
      <c r="J50" s="9" t="s">
        <v>108</v>
      </c>
      <c r="K50" s="9" t="s">
        <v>173</v>
      </c>
      <c r="L50" s="9" t="s">
        <v>184</v>
      </c>
      <c r="M50" s="9" t="s">
        <v>111</v>
      </c>
      <c r="N50" s="9" t="s">
        <v>145</v>
      </c>
      <c r="O50" s="9" t="s">
        <v>113</v>
      </c>
      <c r="P50" s="9" t="s">
        <v>566</v>
      </c>
      <c r="Q50" s="9" t="s">
        <v>567</v>
      </c>
      <c r="R50" s="9"/>
      <c r="S50" s="9"/>
      <c r="T50" s="9"/>
      <c r="U50" s="9" t="s">
        <v>22</v>
      </c>
      <c r="V50" s="9"/>
      <c r="W50" s="9" t="s">
        <v>135</v>
      </c>
      <c r="X50" s="9"/>
      <c r="Y50" s="9"/>
      <c r="Z50" s="9"/>
      <c r="AA50" s="9" t="s">
        <v>568</v>
      </c>
      <c r="AB50" s="9" t="s">
        <v>252</v>
      </c>
      <c r="AC50" s="9" t="s">
        <v>569</v>
      </c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3"/>
      <c r="CN50" s="3"/>
      <c r="CO50" s="3"/>
      <c r="CP50" s="3"/>
      <c r="CQ50" s="3"/>
      <c r="CR50" s="3" t="s">
        <v>152</v>
      </c>
      <c r="CS50" s="3" t="s">
        <v>180</v>
      </c>
      <c r="CT50" s="9" t="s">
        <v>122</v>
      </c>
      <c r="CU50" s="3" t="s">
        <v>192</v>
      </c>
      <c r="CV50" s="3" t="s">
        <v>124</v>
      </c>
      <c r="CW50" s="3" t="s">
        <v>219</v>
      </c>
      <c r="CY50" s="3" t="s">
        <v>205</v>
      </c>
      <c r="DG50" s="4"/>
    </row>
    <row r="51" customFormat="false" ht="11.25" hidden="false" customHeight="true" outlineLevel="0" collapsed="false">
      <c r="A51" s="9" t="n">
        <v>50</v>
      </c>
      <c r="B51" s="10" t="n">
        <v>46157.0501656597</v>
      </c>
      <c r="C51" s="10" t="n">
        <v>46157.0646795486</v>
      </c>
      <c r="D51" s="9" t="s">
        <v>570</v>
      </c>
      <c r="E51" s="9" t="s">
        <v>571</v>
      </c>
      <c r="F51" s="9" t="s">
        <v>571</v>
      </c>
      <c r="G51" s="9" t="s">
        <v>572</v>
      </c>
      <c r="H51" s="10" t="n">
        <v>46142</v>
      </c>
      <c r="I51" s="10" t="s">
        <v>107</v>
      </c>
      <c r="J51" s="9" t="s">
        <v>108</v>
      </c>
      <c r="K51" s="9" t="s">
        <v>173</v>
      </c>
      <c r="L51" s="9" t="s">
        <v>491</v>
      </c>
      <c r="M51" s="9" t="s">
        <v>131</v>
      </c>
      <c r="N51" s="9" t="s">
        <v>112</v>
      </c>
      <c r="O51" s="9" t="s">
        <v>325</v>
      </c>
      <c r="P51" s="9" t="s">
        <v>337</v>
      </c>
      <c r="Q51" s="9" t="s">
        <v>235</v>
      </c>
      <c r="R51" s="9"/>
      <c r="S51" s="9"/>
      <c r="T51" s="9"/>
      <c r="U51" s="9" t="s">
        <v>23</v>
      </c>
      <c r="V51" s="9"/>
      <c r="W51" s="9"/>
      <c r="X51" s="9" t="s">
        <v>122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3"/>
      <c r="CN51" s="3"/>
      <c r="CO51" s="3"/>
      <c r="CP51" s="3"/>
      <c r="CQ51" s="3"/>
      <c r="CR51" s="3" t="s">
        <v>152</v>
      </c>
      <c r="CS51" s="3" t="s">
        <v>121</v>
      </c>
      <c r="CT51" s="9" t="s">
        <v>122</v>
      </c>
      <c r="CU51" s="3" t="s">
        <v>167</v>
      </c>
      <c r="CV51" s="3" t="s">
        <v>124</v>
      </c>
      <c r="CW51" s="3" t="s">
        <v>573</v>
      </c>
      <c r="DG51" s="4"/>
    </row>
    <row r="52" customFormat="false" ht="11.25" hidden="false" customHeight="true" outlineLevel="0" collapsed="false">
      <c r="A52" s="9" t="n">
        <v>51</v>
      </c>
      <c r="B52" s="10" t="n">
        <v>46205.6704955093</v>
      </c>
      <c r="C52" s="10" t="n">
        <v>46205.6733774537</v>
      </c>
      <c r="D52" s="9" t="s">
        <v>574</v>
      </c>
      <c r="E52" s="9" t="s">
        <v>575</v>
      </c>
      <c r="F52" s="9" t="s">
        <v>575</v>
      </c>
      <c r="G52" s="9" t="s">
        <v>576</v>
      </c>
      <c r="H52" s="10" t="n">
        <v>46191</v>
      </c>
      <c r="I52" s="10" t="s">
        <v>107</v>
      </c>
      <c r="J52" s="9" t="s">
        <v>108</v>
      </c>
      <c r="K52" s="9" t="s">
        <v>173</v>
      </c>
      <c r="L52" s="9" t="s">
        <v>144</v>
      </c>
      <c r="M52" s="9" t="s">
        <v>211</v>
      </c>
      <c r="N52" s="9" t="s">
        <v>112</v>
      </c>
      <c r="O52" s="9" t="s">
        <v>577</v>
      </c>
      <c r="P52" s="9" t="s">
        <v>578</v>
      </c>
      <c r="Q52" s="9" t="s">
        <v>287</v>
      </c>
      <c r="R52" s="9"/>
      <c r="S52" s="9"/>
      <c r="T52" s="9"/>
      <c r="U52" s="9" t="s">
        <v>22</v>
      </c>
      <c r="V52" s="9"/>
      <c r="W52" s="9" t="s">
        <v>176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 t="s">
        <v>579</v>
      </c>
      <c r="AZ52" s="9" t="s">
        <v>580</v>
      </c>
      <c r="BA52" s="9" t="s">
        <v>581</v>
      </c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3"/>
      <c r="CN52" s="3"/>
      <c r="CO52" s="3"/>
      <c r="CP52" s="3"/>
      <c r="CQ52" s="3"/>
      <c r="CR52" s="3" t="s">
        <v>152</v>
      </c>
      <c r="CS52" s="3" t="s">
        <v>121</v>
      </c>
      <c r="CT52" s="9" t="s">
        <v>122</v>
      </c>
      <c r="CU52" s="3" t="s">
        <v>123</v>
      </c>
      <c r="CV52" s="3" t="s">
        <v>124</v>
      </c>
      <c r="CW52" s="3"/>
      <c r="DG52" s="4"/>
    </row>
    <row r="53" customFormat="false" ht="11.25" hidden="false" customHeight="true" outlineLevel="0" collapsed="false">
      <c r="A53" s="9" t="n">
        <v>52</v>
      </c>
      <c r="B53" s="10" t="n">
        <v>46110.3273019213</v>
      </c>
      <c r="C53" s="10" t="n">
        <v>46110.3350102546</v>
      </c>
      <c r="D53" s="9" t="s">
        <v>582</v>
      </c>
      <c r="E53" s="9" t="s">
        <v>583</v>
      </c>
      <c r="F53" s="9" t="s">
        <v>584</v>
      </c>
      <c r="G53" s="9" t="s">
        <v>585</v>
      </c>
      <c r="H53" s="10" t="n">
        <v>46097</v>
      </c>
      <c r="I53" s="10" t="s">
        <v>107</v>
      </c>
      <c r="J53" s="9" t="s">
        <v>108</v>
      </c>
      <c r="K53" s="9" t="s">
        <v>232</v>
      </c>
      <c r="L53" s="9" t="s">
        <v>144</v>
      </c>
      <c r="M53" s="9" t="s">
        <v>111</v>
      </c>
      <c r="N53" s="9" t="s">
        <v>112</v>
      </c>
      <c r="O53" s="9" t="s">
        <v>113</v>
      </c>
      <c r="P53" s="9" t="s">
        <v>130</v>
      </c>
      <c r="Q53" s="9" t="s">
        <v>586</v>
      </c>
      <c r="R53" s="9"/>
      <c r="S53" s="9"/>
      <c r="T53" s="9"/>
      <c r="U53" s="9" t="s">
        <v>22</v>
      </c>
      <c r="V53" s="9"/>
      <c r="W53" s="9" t="s">
        <v>298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 t="s">
        <v>587</v>
      </c>
      <c r="AW53" s="9" t="s">
        <v>588</v>
      </c>
      <c r="AX53" s="9" t="s">
        <v>589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3"/>
      <c r="CN53" s="3"/>
      <c r="CO53" s="3"/>
      <c r="CP53" s="3"/>
      <c r="CQ53" s="3"/>
      <c r="CR53" s="3" t="s">
        <v>152</v>
      </c>
      <c r="CS53" s="3" t="s">
        <v>590</v>
      </c>
      <c r="CT53" s="9" t="s">
        <v>204</v>
      </c>
      <c r="CU53" s="3" t="s">
        <v>192</v>
      </c>
      <c r="CV53" s="3" t="s">
        <v>124</v>
      </c>
      <c r="CW53" s="3"/>
      <c r="DG53" s="4"/>
    </row>
    <row r="54" s="12" customFormat="true" ht="11.25" hidden="false" customHeight="true" outlineLevel="0" collapsed="false">
      <c r="A54" s="9" t="n">
        <v>53</v>
      </c>
      <c r="B54" s="10" t="n">
        <v>46106.049203125</v>
      </c>
      <c r="C54" s="10" t="n">
        <v>46106.0513211806</v>
      </c>
      <c r="D54" s="9" t="s">
        <v>591</v>
      </c>
      <c r="E54" s="9" t="s">
        <v>592</v>
      </c>
      <c r="F54" s="9" t="s">
        <v>592</v>
      </c>
      <c r="G54" s="9" t="s">
        <v>593</v>
      </c>
      <c r="H54" s="10" t="n">
        <v>46092</v>
      </c>
      <c r="I54" s="10" t="s">
        <v>107</v>
      </c>
      <c r="J54" s="9" t="s">
        <v>108</v>
      </c>
      <c r="K54" s="9" t="s">
        <v>257</v>
      </c>
      <c r="L54" s="9" t="s">
        <v>491</v>
      </c>
      <c r="M54" s="9" t="s">
        <v>111</v>
      </c>
      <c r="N54" s="9" t="s">
        <v>112</v>
      </c>
      <c r="O54" s="9" t="s">
        <v>113</v>
      </c>
      <c r="P54" s="9" t="s">
        <v>594</v>
      </c>
      <c r="Q54" s="9" t="s">
        <v>595</v>
      </c>
      <c r="R54" s="9"/>
      <c r="S54" s="9"/>
      <c r="T54" s="9"/>
      <c r="U54" s="9" t="s">
        <v>24</v>
      </c>
      <c r="V54" s="9"/>
      <c r="W54" s="9"/>
      <c r="X54" s="9"/>
      <c r="Y54" s="9" t="s">
        <v>448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 t="s">
        <v>596</v>
      </c>
      <c r="BX54" s="9" t="s">
        <v>450</v>
      </c>
      <c r="BY54" s="9" t="s">
        <v>597</v>
      </c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11"/>
      <c r="CN54" s="11"/>
      <c r="CO54" s="11"/>
      <c r="CP54" s="11"/>
      <c r="CQ54" s="11"/>
      <c r="CR54" s="11" t="s">
        <v>152</v>
      </c>
      <c r="CS54" s="11" t="s">
        <v>121</v>
      </c>
      <c r="CT54" s="9" t="s">
        <v>122</v>
      </c>
      <c r="CU54" s="11" t="s">
        <v>123</v>
      </c>
      <c r="CV54" s="11" t="s">
        <v>168</v>
      </c>
      <c r="CW54" s="11"/>
      <c r="CX54" s="11"/>
      <c r="CY54" s="11"/>
      <c r="CZ54" s="11"/>
      <c r="DA54" s="11"/>
      <c r="DB54" s="11"/>
      <c r="DC54" s="11"/>
      <c r="DD54" s="11"/>
      <c r="DE54" s="11"/>
      <c r="DF54" s="11"/>
    </row>
    <row r="55" customFormat="false" ht="11.25" hidden="false" customHeight="true" outlineLevel="0" collapsed="false">
      <c r="A55" s="9" t="n">
        <v>54</v>
      </c>
      <c r="B55" s="10" t="n">
        <v>46203.3747962732</v>
      </c>
      <c r="C55" s="10" t="n">
        <v>46203.3926319213</v>
      </c>
      <c r="D55" s="9" t="s">
        <v>598</v>
      </c>
      <c r="E55" s="9" t="s">
        <v>599</v>
      </c>
      <c r="F55" s="9" t="s">
        <v>599</v>
      </c>
      <c r="G55" s="9" t="s">
        <v>600</v>
      </c>
      <c r="H55" s="10" t="n">
        <v>46199</v>
      </c>
      <c r="I55" s="10" t="s">
        <v>157</v>
      </c>
      <c r="J55" s="9" t="s">
        <v>108</v>
      </c>
      <c r="K55" s="9" t="s">
        <v>196</v>
      </c>
      <c r="L55" s="9" t="s">
        <v>110</v>
      </c>
      <c r="M55" s="9" t="s">
        <v>131</v>
      </c>
      <c r="N55" s="9" t="s">
        <v>247</v>
      </c>
      <c r="O55" s="9" t="s">
        <v>551</v>
      </c>
      <c r="P55" s="9" t="s">
        <v>234</v>
      </c>
      <c r="Q55" s="9" t="s">
        <v>111</v>
      </c>
      <c r="R55" s="9"/>
      <c r="S55" s="9"/>
      <c r="T55" s="9"/>
      <c r="U55" s="9" t="s">
        <v>22</v>
      </c>
      <c r="V55" s="9"/>
      <c r="W55" s="9" t="s">
        <v>116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 t="s">
        <v>601</v>
      </c>
      <c r="BU55" s="9" t="s">
        <v>602</v>
      </c>
      <c r="BV55" s="9" t="s">
        <v>252</v>
      </c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3"/>
      <c r="CN55" s="3"/>
      <c r="CO55" s="3"/>
      <c r="CP55" s="3"/>
      <c r="CQ55" s="3"/>
      <c r="CR55" s="3" t="s">
        <v>227</v>
      </c>
      <c r="CS55" s="3" t="s">
        <v>352</v>
      </c>
      <c r="CT55" s="9"/>
      <c r="CU55" s="3" t="s">
        <v>123</v>
      </c>
      <c r="CV55" s="3" t="s">
        <v>124</v>
      </c>
      <c r="CW55" s="3"/>
      <c r="CX55" s="3" t="s">
        <v>331</v>
      </c>
      <c r="DG55" s="4"/>
    </row>
    <row r="56" customFormat="false" ht="11.25" hidden="false" customHeight="true" outlineLevel="0" collapsed="false">
      <c r="A56" s="9" t="n">
        <v>55</v>
      </c>
      <c r="B56" s="10" t="n">
        <v>46147.1843576852</v>
      </c>
      <c r="C56" s="10" t="n">
        <v>46147.1877836111</v>
      </c>
      <c r="D56" s="9" t="s">
        <v>603</v>
      </c>
      <c r="E56" s="9" t="s">
        <v>604</v>
      </c>
      <c r="F56" s="9" t="s">
        <v>604</v>
      </c>
      <c r="G56" s="9" t="s">
        <v>605</v>
      </c>
      <c r="H56" s="10" t="n">
        <v>46132</v>
      </c>
      <c r="I56" s="10" t="s">
        <v>244</v>
      </c>
      <c r="J56" s="9" t="s">
        <v>295</v>
      </c>
      <c r="K56" s="9" t="s">
        <v>462</v>
      </c>
      <c r="L56" s="9" t="s">
        <v>431</v>
      </c>
      <c r="M56" s="9" t="s">
        <v>390</v>
      </c>
      <c r="N56" s="9" t="s">
        <v>112</v>
      </c>
      <c r="O56" s="9" t="s">
        <v>113</v>
      </c>
      <c r="P56" s="9" t="s">
        <v>594</v>
      </c>
      <c r="Q56" s="9" t="s">
        <v>606</v>
      </c>
      <c r="R56" s="9"/>
      <c r="S56" s="9"/>
      <c r="T56" s="9"/>
      <c r="U56" s="9" t="s">
        <v>22</v>
      </c>
      <c r="V56" s="9"/>
      <c r="W56" s="9" t="s">
        <v>116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 t="s">
        <v>607</v>
      </c>
      <c r="BU56" s="9" t="s">
        <v>608</v>
      </c>
      <c r="BV56" s="9" t="s">
        <v>330</v>
      </c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3"/>
      <c r="CN56" s="3"/>
      <c r="CO56" s="3"/>
      <c r="CP56" s="3"/>
      <c r="CQ56" s="3"/>
      <c r="CR56" s="3" t="s">
        <v>152</v>
      </c>
      <c r="CS56" s="3" t="s">
        <v>121</v>
      </c>
      <c r="CT56" s="9" t="s">
        <v>122</v>
      </c>
      <c r="CU56" s="3" t="s">
        <v>123</v>
      </c>
      <c r="CV56" s="3" t="s">
        <v>139</v>
      </c>
      <c r="CW56" s="3"/>
      <c r="DG56" s="4"/>
    </row>
    <row r="57" customFormat="false" ht="11.25" hidden="false" customHeight="true" outlineLevel="0" collapsed="false">
      <c r="A57" s="9" t="n">
        <v>56</v>
      </c>
      <c r="B57" s="10" t="n">
        <v>46072.7152954398</v>
      </c>
      <c r="C57" s="10" t="n">
        <v>46072.731730625</v>
      </c>
      <c r="D57" s="9" t="s">
        <v>609</v>
      </c>
      <c r="E57" s="9" t="s">
        <v>610</v>
      </c>
      <c r="F57" s="9" t="s">
        <v>610</v>
      </c>
      <c r="G57" s="9" t="s">
        <v>611</v>
      </c>
      <c r="H57" s="10" t="n">
        <v>46052</v>
      </c>
      <c r="I57" s="10" t="s">
        <v>172</v>
      </c>
      <c r="J57" s="9" t="s">
        <v>108</v>
      </c>
      <c r="K57" s="9" t="s">
        <v>364</v>
      </c>
      <c r="L57" s="9" t="s">
        <v>431</v>
      </c>
      <c r="M57" s="9" t="s">
        <v>111</v>
      </c>
      <c r="N57" s="9" t="s">
        <v>112</v>
      </c>
      <c r="O57" s="9" t="s">
        <v>305</v>
      </c>
      <c r="P57" s="9" t="s">
        <v>612</v>
      </c>
      <c r="Q57" s="9" t="s">
        <v>613</v>
      </c>
      <c r="R57" s="9"/>
      <c r="S57" s="9"/>
      <c r="T57" s="9"/>
      <c r="U57" s="9" t="s">
        <v>21</v>
      </c>
      <c r="V57" s="9" t="s">
        <v>307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 t="s">
        <v>470</v>
      </c>
      <c r="AT57" s="9" t="s">
        <v>546</v>
      </c>
      <c r="AU57" s="9" t="s">
        <v>310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3"/>
      <c r="CN57" s="3"/>
      <c r="CO57" s="3"/>
      <c r="CP57" s="3"/>
      <c r="CQ57" s="3"/>
      <c r="CR57" s="3" t="s">
        <v>152</v>
      </c>
      <c r="CS57" s="3" t="s">
        <v>121</v>
      </c>
      <c r="CT57" s="9" t="s">
        <v>614</v>
      </c>
      <c r="CU57" s="3" t="s">
        <v>123</v>
      </c>
      <c r="CV57" s="3" t="s">
        <v>139</v>
      </c>
      <c r="CW57" s="3"/>
      <c r="DG57" s="4"/>
    </row>
    <row r="58" customFormat="false" ht="11.25" hidden="false" customHeight="true" outlineLevel="0" collapsed="false">
      <c r="A58" s="9" t="n">
        <v>57</v>
      </c>
      <c r="B58" s="10" t="n">
        <v>46194.5856993519</v>
      </c>
      <c r="C58" s="10" t="n">
        <v>46194.5941368519</v>
      </c>
      <c r="D58" s="9" t="s">
        <v>615</v>
      </c>
      <c r="E58" s="9" t="s">
        <v>616</v>
      </c>
      <c r="F58" s="9" t="s">
        <v>617</v>
      </c>
      <c r="G58" s="9" t="s">
        <v>618</v>
      </c>
      <c r="H58" s="10" t="n">
        <v>46193</v>
      </c>
      <c r="I58" s="10" t="s">
        <v>107</v>
      </c>
      <c r="J58" s="9" t="s">
        <v>108</v>
      </c>
      <c r="K58" s="9" t="s">
        <v>257</v>
      </c>
      <c r="L58" s="9" t="s">
        <v>431</v>
      </c>
      <c r="M58" s="9" t="s">
        <v>111</v>
      </c>
      <c r="N58" s="9" t="s">
        <v>145</v>
      </c>
      <c r="O58" s="9" t="s">
        <v>325</v>
      </c>
      <c r="P58" s="9" t="s">
        <v>406</v>
      </c>
      <c r="Q58" s="9" t="s">
        <v>111</v>
      </c>
      <c r="R58" s="9"/>
      <c r="S58" s="9"/>
      <c r="T58" s="9"/>
      <c r="U58" s="9" t="s">
        <v>25</v>
      </c>
      <c r="V58" s="9"/>
      <c r="W58" s="9"/>
      <c r="X58" s="9"/>
      <c r="Y58" s="9"/>
      <c r="Z58" s="9" t="s">
        <v>327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 t="s">
        <v>619</v>
      </c>
      <c r="CJ58" s="9" t="s">
        <v>118</v>
      </c>
      <c r="CK58" s="9" t="s">
        <v>620</v>
      </c>
      <c r="CL58" s="9"/>
      <c r="CM58" s="3"/>
      <c r="CN58" s="3"/>
      <c r="CO58" s="3"/>
      <c r="CP58" s="3"/>
      <c r="CQ58" s="3"/>
      <c r="CR58" s="3" t="s">
        <v>152</v>
      </c>
      <c r="CS58" s="3" t="s">
        <v>121</v>
      </c>
      <c r="CT58" s="9" t="s">
        <v>122</v>
      </c>
      <c r="CU58" s="3" t="s">
        <v>167</v>
      </c>
      <c r="CV58" s="3" t="s">
        <v>124</v>
      </c>
      <c r="CW58" s="3" t="s">
        <v>621</v>
      </c>
      <c r="DG58" s="4"/>
    </row>
    <row r="59" customFormat="false" ht="11.25" hidden="false" customHeight="true" outlineLevel="0" collapsed="false">
      <c r="A59" s="9" t="n">
        <v>58</v>
      </c>
      <c r="B59" s="10" t="n">
        <v>46145.453796169</v>
      </c>
      <c r="C59" s="10" t="n">
        <v>46145.4722683912</v>
      </c>
      <c r="D59" s="9" t="s">
        <v>622</v>
      </c>
      <c r="E59" s="9" t="s">
        <v>623</v>
      </c>
      <c r="F59" s="9" t="s">
        <v>623</v>
      </c>
      <c r="G59" s="9" t="s">
        <v>624</v>
      </c>
      <c r="H59" s="10" t="n">
        <v>46140</v>
      </c>
      <c r="I59" s="10" t="s">
        <v>172</v>
      </c>
      <c r="J59" s="9" t="s">
        <v>108</v>
      </c>
      <c r="K59" s="9" t="s">
        <v>232</v>
      </c>
      <c r="L59" s="9" t="s">
        <v>389</v>
      </c>
      <c r="M59" s="9" t="s">
        <v>111</v>
      </c>
      <c r="N59" s="9" t="s">
        <v>247</v>
      </c>
      <c r="O59" s="9" t="s">
        <v>113</v>
      </c>
      <c r="P59" s="9" t="s">
        <v>286</v>
      </c>
      <c r="Q59" s="9" t="s">
        <v>625</v>
      </c>
      <c r="R59" s="9"/>
      <c r="S59" s="9"/>
      <c r="T59" s="9"/>
      <c r="U59" s="9" t="s">
        <v>22</v>
      </c>
      <c r="V59" s="9"/>
      <c r="W59" s="9" t="s">
        <v>135</v>
      </c>
      <c r="X59" s="9"/>
      <c r="Y59" s="9"/>
      <c r="Z59" s="9"/>
      <c r="AA59" s="9" t="s">
        <v>626</v>
      </c>
      <c r="AB59" s="9" t="s">
        <v>627</v>
      </c>
      <c r="AC59" s="9" t="s">
        <v>628</v>
      </c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3"/>
      <c r="CN59" s="3"/>
      <c r="CO59" s="3"/>
      <c r="CP59" s="3"/>
      <c r="CQ59" s="3"/>
      <c r="CR59" s="3" t="s">
        <v>152</v>
      </c>
      <c r="CS59" s="3" t="s">
        <v>121</v>
      </c>
      <c r="CT59" s="9"/>
      <c r="CU59" s="3" t="s">
        <v>123</v>
      </c>
      <c r="CV59" s="3" t="s">
        <v>124</v>
      </c>
      <c r="CW59" s="3"/>
      <c r="DG59" s="4"/>
    </row>
    <row r="60" customFormat="false" ht="11.25" hidden="false" customHeight="true" outlineLevel="0" collapsed="false">
      <c r="A60" s="9" t="n">
        <v>59</v>
      </c>
      <c r="B60" s="10" t="n">
        <v>46205.1838746875</v>
      </c>
      <c r="C60" s="10" t="n">
        <v>46205.1921038542</v>
      </c>
      <c r="D60" s="9" t="s">
        <v>629</v>
      </c>
      <c r="E60" s="9" t="s">
        <v>630</v>
      </c>
      <c r="F60" s="9" t="s">
        <v>630</v>
      </c>
      <c r="G60" s="9" t="s">
        <v>631</v>
      </c>
      <c r="H60" s="10" t="n">
        <v>46191</v>
      </c>
      <c r="I60" s="10" t="s">
        <v>278</v>
      </c>
      <c r="J60" s="9" t="s">
        <v>108</v>
      </c>
      <c r="K60" s="9" t="s">
        <v>462</v>
      </c>
      <c r="L60" s="9" t="s">
        <v>431</v>
      </c>
      <c r="M60" s="9" t="s">
        <v>390</v>
      </c>
      <c r="N60" s="9" t="s">
        <v>112</v>
      </c>
      <c r="O60" s="9" t="s">
        <v>325</v>
      </c>
      <c r="P60" s="9" t="s">
        <v>612</v>
      </c>
      <c r="Q60" s="9" t="s">
        <v>347</v>
      </c>
      <c r="R60" s="9"/>
      <c r="S60" s="9"/>
      <c r="T60" s="9"/>
      <c r="U60" s="9" t="s">
        <v>24</v>
      </c>
      <c r="V60" s="9"/>
      <c r="W60" s="9"/>
      <c r="X60" s="9"/>
      <c r="Y60" s="9" t="s">
        <v>223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 t="s">
        <v>632</v>
      </c>
      <c r="CA60" s="9" t="s">
        <v>633</v>
      </c>
      <c r="CB60" s="9" t="s">
        <v>634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3"/>
      <c r="CN60" s="3"/>
      <c r="CO60" s="3"/>
      <c r="CP60" s="3"/>
      <c r="CQ60" s="3"/>
      <c r="CR60" s="3" t="s">
        <v>152</v>
      </c>
      <c r="CS60" s="3" t="s">
        <v>121</v>
      </c>
      <c r="CT60" s="9"/>
      <c r="CU60" s="3" t="s">
        <v>192</v>
      </c>
      <c r="CV60" s="3" t="s">
        <v>124</v>
      </c>
      <c r="CW60" s="3"/>
      <c r="DG60" s="4"/>
    </row>
    <row r="61" customFormat="false" ht="11.25" hidden="false" customHeight="true" outlineLevel="0" collapsed="false">
      <c r="A61" s="9" t="n">
        <v>60</v>
      </c>
      <c r="B61" s="10" t="n">
        <v>46196.2007336574</v>
      </c>
      <c r="C61" s="10" t="n">
        <v>46196.2167290278</v>
      </c>
      <c r="D61" s="9" t="s">
        <v>635</v>
      </c>
      <c r="E61" s="9" t="s">
        <v>636</v>
      </c>
      <c r="F61" s="9" t="s">
        <v>636</v>
      </c>
      <c r="G61" s="9" t="s">
        <v>637</v>
      </c>
      <c r="H61" s="10" t="n">
        <v>46178</v>
      </c>
      <c r="I61" s="10" t="s">
        <v>172</v>
      </c>
      <c r="J61" s="9" t="s">
        <v>295</v>
      </c>
      <c r="K61" s="9" t="s">
        <v>232</v>
      </c>
      <c r="L61" s="9" t="s">
        <v>389</v>
      </c>
      <c r="M61" s="9" t="s">
        <v>131</v>
      </c>
      <c r="N61" s="9" t="s">
        <v>112</v>
      </c>
      <c r="O61" s="9" t="s">
        <v>113</v>
      </c>
      <c r="P61" s="9" t="s">
        <v>279</v>
      </c>
      <c r="Q61" s="9" t="s">
        <v>638</v>
      </c>
      <c r="R61" s="9"/>
      <c r="S61" s="9"/>
      <c r="T61" s="9"/>
      <c r="U61" s="9" t="s">
        <v>22</v>
      </c>
      <c r="V61" s="9"/>
      <c r="W61" s="9" t="s">
        <v>135</v>
      </c>
      <c r="X61" s="9"/>
      <c r="Y61" s="9"/>
      <c r="Z61" s="9"/>
      <c r="AA61" s="9" t="s">
        <v>639</v>
      </c>
      <c r="AB61" s="9" t="s">
        <v>640</v>
      </c>
      <c r="AC61" s="9" t="s">
        <v>368</v>
      </c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3"/>
      <c r="CN61" s="3"/>
      <c r="CO61" s="3"/>
      <c r="CP61" s="3"/>
      <c r="CQ61" s="3"/>
      <c r="CR61" s="3" t="s">
        <v>120</v>
      </c>
      <c r="CS61" s="3" t="s">
        <v>180</v>
      </c>
      <c r="CT61" s="13" t="s">
        <v>641</v>
      </c>
      <c r="CU61" s="3" t="s">
        <v>167</v>
      </c>
      <c r="CV61" s="3" t="s">
        <v>124</v>
      </c>
      <c r="CW61" s="3"/>
      <c r="DG61" s="4"/>
    </row>
    <row r="62" customFormat="false" ht="11.25" hidden="false" customHeight="true" outlineLevel="0" collapsed="false">
      <c r="A62" s="9" t="n">
        <v>61</v>
      </c>
      <c r="B62" s="10" t="n">
        <v>46144.2039104051</v>
      </c>
      <c r="C62" s="10" t="n">
        <v>46144.2157506829</v>
      </c>
      <c r="D62" s="9" t="s">
        <v>642</v>
      </c>
      <c r="E62" s="9" t="s">
        <v>643</v>
      </c>
      <c r="F62" s="9" t="s">
        <v>643</v>
      </c>
      <c r="G62" s="9" t="s">
        <v>644</v>
      </c>
      <c r="H62" s="10" t="n">
        <v>46131</v>
      </c>
      <c r="I62" s="10" t="s">
        <v>244</v>
      </c>
      <c r="J62" s="9" t="s">
        <v>108</v>
      </c>
      <c r="K62" s="9" t="s">
        <v>196</v>
      </c>
      <c r="L62" s="9" t="s">
        <v>197</v>
      </c>
      <c r="M62" s="9" t="s">
        <v>111</v>
      </c>
      <c r="N62" s="9" t="s">
        <v>112</v>
      </c>
      <c r="O62" s="9" t="s">
        <v>113</v>
      </c>
      <c r="P62" s="9" t="s">
        <v>234</v>
      </c>
      <c r="Q62" s="9" t="s">
        <v>645</v>
      </c>
      <c r="R62" s="9"/>
      <c r="S62" s="9"/>
      <c r="T62" s="9"/>
      <c r="U62" s="9" t="s">
        <v>22</v>
      </c>
      <c r="V62" s="9"/>
      <c r="W62" s="9" t="s">
        <v>271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 t="s">
        <v>646</v>
      </c>
      <c r="BL62" s="9" t="s">
        <v>647</v>
      </c>
      <c r="BM62" s="9" t="s">
        <v>648</v>
      </c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3"/>
      <c r="CN62" s="3"/>
      <c r="CO62" s="3"/>
      <c r="CP62" s="3"/>
      <c r="CQ62" s="3"/>
      <c r="CR62" s="3" t="s">
        <v>152</v>
      </c>
      <c r="CS62" s="3" t="s">
        <v>121</v>
      </c>
      <c r="CT62" s="9"/>
      <c r="CU62" s="3" t="s">
        <v>167</v>
      </c>
      <c r="CV62" s="3" t="s">
        <v>124</v>
      </c>
      <c r="CW62" s="3"/>
      <c r="DG62" s="4"/>
    </row>
    <row r="63" customFormat="false" ht="11.25" hidden="false" customHeight="true" outlineLevel="0" collapsed="false">
      <c r="A63" s="9" t="n">
        <v>62</v>
      </c>
      <c r="B63" s="10" t="n">
        <v>46126.0576316551</v>
      </c>
      <c r="C63" s="10" t="n">
        <v>46126.0665321181</v>
      </c>
      <c r="D63" s="9" t="s">
        <v>649</v>
      </c>
      <c r="E63" s="9" t="s">
        <v>650</v>
      </c>
      <c r="F63" s="9" t="s">
        <v>650</v>
      </c>
      <c r="G63" s="9" t="s">
        <v>651</v>
      </c>
      <c r="H63" s="10" t="n">
        <v>46118</v>
      </c>
      <c r="I63" s="10" t="s">
        <v>172</v>
      </c>
      <c r="J63" s="9" t="s">
        <v>108</v>
      </c>
      <c r="K63" s="9" t="s">
        <v>245</v>
      </c>
      <c r="L63" s="9" t="s">
        <v>491</v>
      </c>
      <c r="M63" s="9" t="s">
        <v>211</v>
      </c>
      <c r="N63" s="9" t="s">
        <v>145</v>
      </c>
      <c r="O63" s="9" t="s">
        <v>113</v>
      </c>
      <c r="P63" s="9" t="s">
        <v>652</v>
      </c>
      <c r="Q63" s="9" t="s">
        <v>653</v>
      </c>
      <c r="R63" s="9"/>
      <c r="S63" s="9"/>
      <c r="T63" s="9"/>
      <c r="U63" s="9" t="s">
        <v>21</v>
      </c>
      <c r="V63" s="9" t="s">
        <v>374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 t="s">
        <v>654</v>
      </c>
      <c r="AK63" s="9" t="s">
        <v>655</v>
      </c>
      <c r="AL63" s="9" t="s">
        <v>377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3"/>
      <c r="CN63" s="3"/>
      <c r="CO63" s="3"/>
      <c r="CP63" s="3"/>
      <c r="CQ63" s="3"/>
      <c r="CR63" s="3" t="s">
        <v>152</v>
      </c>
      <c r="CS63" s="3" t="s">
        <v>352</v>
      </c>
      <c r="CT63" s="9"/>
      <c r="CU63" s="3" t="s">
        <v>167</v>
      </c>
      <c r="CV63" s="3" t="s">
        <v>124</v>
      </c>
      <c r="CW63" s="3"/>
      <c r="DG63" s="4"/>
    </row>
    <row r="64" customFormat="false" ht="11.25" hidden="false" customHeight="true" outlineLevel="0" collapsed="false">
      <c r="A64" s="9" t="n">
        <v>63</v>
      </c>
      <c r="B64" s="10" t="n">
        <v>46149.5799676968</v>
      </c>
      <c r="C64" s="10" t="n">
        <v>46149.5925487153</v>
      </c>
      <c r="D64" s="9" t="s">
        <v>656</v>
      </c>
      <c r="E64" s="9" t="s">
        <v>657</v>
      </c>
      <c r="F64" s="9" t="s">
        <v>657</v>
      </c>
      <c r="G64" s="9" t="s">
        <v>658</v>
      </c>
      <c r="H64" s="10" t="n">
        <v>46145</v>
      </c>
      <c r="I64" s="10" t="s">
        <v>107</v>
      </c>
      <c r="J64" s="9" t="s">
        <v>108</v>
      </c>
      <c r="K64" s="9" t="s">
        <v>245</v>
      </c>
      <c r="L64" s="9" t="s">
        <v>389</v>
      </c>
      <c r="M64" s="9" t="s">
        <v>111</v>
      </c>
      <c r="N64" s="9" t="s">
        <v>112</v>
      </c>
      <c r="O64" s="9" t="s">
        <v>336</v>
      </c>
      <c r="P64" s="9" t="s">
        <v>391</v>
      </c>
      <c r="Q64" s="9" t="s">
        <v>440</v>
      </c>
      <c r="R64" s="9"/>
      <c r="S64" s="9"/>
      <c r="T64" s="9"/>
      <c r="U64" s="9" t="s">
        <v>22</v>
      </c>
      <c r="V64" s="9"/>
      <c r="W64" s="9" t="s">
        <v>148</v>
      </c>
      <c r="X64" s="9"/>
      <c r="Y64" s="9"/>
      <c r="Z64" s="9"/>
      <c r="AA64" s="9"/>
      <c r="AB64" s="9"/>
      <c r="AC64" s="9"/>
      <c r="AD64" s="9" t="s">
        <v>659</v>
      </c>
      <c r="AE64" s="9" t="s">
        <v>660</v>
      </c>
      <c r="AF64" s="9" t="s">
        <v>661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3"/>
      <c r="CN64" s="3"/>
      <c r="CO64" s="3"/>
      <c r="CP64" s="3"/>
      <c r="CQ64" s="3"/>
      <c r="CR64" s="3" t="s">
        <v>320</v>
      </c>
      <c r="CS64" s="3" t="s">
        <v>121</v>
      </c>
      <c r="CT64" s="9" t="s">
        <v>122</v>
      </c>
      <c r="CU64" s="3" t="s">
        <v>167</v>
      </c>
      <c r="CV64" s="3" t="s">
        <v>139</v>
      </c>
      <c r="CW64" s="3"/>
      <c r="DG64" s="4"/>
    </row>
    <row r="65" customFormat="false" ht="11.25" hidden="false" customHeight="true" outlineLevel="0" collapsed="false">
      <c r="A65" s="9" t="n">
        <v>64</v>
      </c>
      <c r="B65" s="10" t="n">
        <v>46094.6911097917</v>
      </c>
      <c r="C65" s="10" t="n">
        <v>46094.6950334028</v>
      </c>
      <c r="D65" s="9" t="s">
        <v>662</v>
      </c>
      <c r="E65" s="9" t="s">
        <v>663</v>
      </c>
      <c r="F65" s="9" t="s">
        <v>663</v>
      </c>
      <c r="G65" s="9" t="s">
        <v>664</v>
      </c>
      <c r="H65" s="10" t="n">
        <v>46074</v>
      </c>
      <c r="I65" s="10" t="s">
        <v>244</v>
      </c>
      <c r="J65" s="9" t="s">
        <v>108</v>
      </c>
      <c r="K65" s="9" t="s">
        <v>196</v>
      </c>
      <c r="L65" s="9" t="s">
        <v>346</v>
      </c>
      <c r="M65" s="9" t="s">
        <v>111</v>
      </c>
      <c r="N65" s="9" t="s">
        <v>112</v>
      </c>
      <c r="O65" s="9" t="s">
        <v>113</v>
      </c>
      <c r="P65" s="9" t="s">
        <v>160</v>
      </c>
      <c r="Q65" s="9" t="s">
        <v>665</v>
      </c>
      <c r="R65" s="9"/>
      <c r="S65" s="9"/>
      <c r="T65" s="9"/>
      <c r="U65" s="9" t="s">
        <v>22</v>
      </c>
      <c r="V65" s="9"/>
      <c r="W65" s="9" t="s">
        <v>298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 t="s">
        <v>666</v>
      </c>
      <c r="AW65" s="9" t="s">
        <v>667</v>
      </c>
      <c r="AX65" s="9" t="s">
        <v>668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3"/>
      <c r="CN65" s="3"/>
      <c r="CO65" s="3"/>
      <c r="CP65" s="3"/>
      <c r="CQ65" s="3"/>
      <c r="CR65" s="3" t="s">
        <v>152</v>
      </c>
      <c r="CS65" s="3" t="s">
        <v>180</v>
      </c>
      <c r="CT65" s="9"/>
      <c r="CU65" s="3" t="s">
        <v>123</v>
      </c>
      <c r="CV65" s="3" t="s">
        <v>124</v>
      </c>
      <c r="CW65" s="3"/>
      <c r="CX65" s="3" t="s">
        <v>331</v>
      </c>
      <c r="DG65" s="4"/>
    </row>
    <row r="66" customFormat="false" ht="11.25" hidden="false" customHeight="true" outlineLevel="0" collapsed="false">
      <c r="A66" s="9" t="n">
        <v>65</v>
      </c>
      <c r="B66" s="10" t="n">
        <v>46169.0998357639</v>
      </c>
      <c r="C66" s="10" t="n">
        <v>46169.1071042824</v>
      </c>
      <c r="D66" s="9" t="s">
        <v>669</v>
      </c>
      <c r="E66" s="9" t="s">
        <v>670</v>
      </c>
      <c r="F66" s="9" t="s">
        <v>670</v>
      </c>
      <c r="G66" s="9" t="s">
        <v>671</v>
      </c>
      <c r="H66" s="10" t="n">
        <v>46162</v>
      </c>
      <c r="I66" s="10" t="s">
        <v>172</v>
      </c>
      <c r="J66" s="9" t="s">
        <v>108</v>
      </c>
      <c r="K66" s="9" t="s">
        <v>173</v>
      </c>
      <c r="L66" s="9" t="s">
        <v>346</v>
      </c>
      <c r="M66" s="9" t="s">
        <v>111</v>
      </c>
      <c r="N66" s="9" t="s">
        <v>145</v>
      </c>
      <c r="O66" s="9" t="s">
        <v>113</v>
      </c>
      <c r="P66" s="9" t="s">
        <v>566</v>
      </c>
      <c r="Q66" s="9" t="s">
        <v>672</v>
      </c>
      <c r="R66" s="9"/>
      <c r="S66" s="9"/>
      <c r="T66" s="9"/>
      <c r="U66" s="9" t="s">
        <v>22</v>
      </c>
      <c r="V66" s="9"/>
      <c r="W66" s="9" t="s">
        <v>339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673</v>
      </c>
      <c r="BO66" s="9" t="s">
        <v>674</v>
      </c>
      <c r="BP66" s="9" t="s">
        <v>675</v>
      </c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3"/>
      <c r="CN66" s="3"/>
      <c r="CO66" s="3"/>
      <c r="CP66" s="3"/>
      <c r="CQ66" s="3"/>
      <c r="CR66" s="3" t="s">
        <v>227</v>
      </c>
      <c r="CS66" s="3" t="s">
        <v>121</v>
      </c>
      <c r="CT66" s="9" t="s">
        <v>122</v>
      </c>
      <c r="CU66" s="3" t="s">
        <v>123</v>
      </c>
      <c r="CV66" s="3" t="s">
        <v>124</v>
      </c>
      <c r="CW66" s="3" t="s">
        <v>219</v>
      </c>
      <c r="DG66" s="4"/>
    </row>
    <row r="67" s="12" customFormat="true" ht="11.25" hidden="false" customHeight="true" outlineLevel="0" collapsed="false">
      <c r="A67" s="9" t="n">
        <v>66</v>
      </c>
      <c r="B67" s="10" t="n">
        <v>46047.5438797107</v>
      </c>
      <c r="C67" s="10" t="n">
        <v>46047.5633241551</v>
      </c>
      <c r="D67" s="9" t="s">
        <v>676</v>
      </c>
      <c r="E67" s="9" t="s">
        <v>677</v>
      </c>
      <c r="F67" s="9" t="s">
        <v>677</v>
      </c>
      <c r="G67" s="9" t="s">
        <v>678</v>
      </c>
      <c r="H67" s="10" t="n">
        <v>46028</v>
      </c>
      <c r="I67" s="10" t="s">
        <v>157</v>
      </c>
      <c r="J67" s="9" t="s">
        <v>108</v>
      </c>
      <c r="K67" s="9" t="s">
        <v>257</v>
      </c>
      <c r="L67" s="9" t="s">
        <v>110</v>
      </c>
      <c r="M67" s="9" t="s">
        <v>211</v>
      </c>
      <c r="N67" s="9" t="s">
        <v>112</v>
      </c>
      <c r="O67" s="9" t="s">
        <v>132</v>
      </c>
      <c r="P67" s="9" t="s">
        <v>439</v>
      </c>
      <c r="Q67" s="9" t="s">
        <v>115</v>
      </c>
      <c r="R67" s="9"/>
      <c r="S67" s="9"/>
      <c r="T67" s="9"/>
      <c r="U67" s="9" t="s">
        <v>22</v>
      </c>
      <c r="V67" s="9"/>
      <c r="W67" s="9" t="s">
        <v>116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 t="s">
        <v>679</v>
      </c>
      <c r="BU67" s="9" t="s">
        <v>680</v>
      </c>
      <c r="BV67" s="9" t="s">
        <v>681</v>
      </c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11"/>
      <c r="CN67" s="11"/>
      <c r="CO67" s="11"/>
      <c r="CP67" s="11"/>
      <c r="CQ67" s="11"/>
      <c r="CR67" s="11" t="s">
        <v>120</v>
      </c>
      <c r="CS67" s="11" t="s">
        <v>121</v>
      </c>
      <c r="CT67" s="9" t="s">
        <v>682</v>
      </c>
      <c r="CU67" s="11" t="s">
        <v>167</v>
      </c>
      <c r="CV67" s="11" t="s">
        <v>124</v>
      </c>
      <c r="CW67" s="11"/>
      <c r="CX67" s="11"/>
      <c r="CY67" s="11"/>
      <c r="CZ67" s="11"/>
      <c r="DA67" s="11"/>
      <c r="DB67" s="11"/>
      <c r="DC67" s="11"/>
      <c r="DD67" s="11"/>
      <c r="DE67" s="11"/>
      <c r="DF67" s="11"/>
    </row>
    <row r="68" customFormat="false" ht="11.25" hidden="false" customHeight="true" outlineLevel="0" collapsed="false">
      <c r="A68" s="9" t="n">
        <v>67</v>
      </c>
      <c r="B68" s="10" t="n">
        <v>46140.1300164468</v>
      </c>
      <c r="C68" s="10" t="n">
        <v>46140.1423544097</v>
      </c>
      <c r="D68" s="9" t="s">
        <v>683</v>
      </c>
      <c r="E68" s="9" t="s">
        <v>684</v>
      </c>
      <c r="F68" s="9" t="s">
        <v>684</v>
      </c>
      <c r="G68" s="9" t="s">
        <v>685</v>
      </c>
      <c r="H68" s="10" t="n">
        <v>46140</v>
      </c>
      <c r="I68" s="10" t="s">
        <v>172</v>
      </c>
      <c r="J68" s="9" t="s">
        <v>295</v>
      </c>
      <c r="K68" s="9" t="s">
        <v>462</v>
      </c>
      <c r="L68" s="9" t="s">
        <v>197</v>
      </c>
      <c r="M68" s="9" t="s">
        <v>111</v>
      </c>
      <c r="N68" s="9" t="s">
        <v>145</v>
      </c>
      <c r="O68" s="9" t="s">
        <v>113</v>
      </c>
      <c r="P68" s="9" t="s">
        <v>686</v>
      </c>
      <c r="Q68" s="9" t="s">
        <v>407</v>
      </c>
      <c r="R68" s="9"/>
      <c r="S68" s="9"/>
      <c r="T68" s="9"/>
      <c r="U68" s="9" t="s">
        <v>25</v>
      </c>
      <c r="V68" s="9"/>
      <c r="W68" s="9"/>
      <c r="X68" s="9"/>
      <c r="Y68" s="9"/>
      <c r="Z68" s="9" t="s">
        <v>687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 t="s">
        <v>688</v>
      </c>
      <c r="CM68" s="3" t="s">
        <v>689</v>
      </c>
      <c r="CN68" s="3" t="s">
        <v>690</v>
      </c>
      <c r="CO68" s="3"/>
      <c r="CP68" s="3"/>
      <c r="CQ68" s="3"/>
      <c r="CR68" s="3" t="s">
        <v>152</v>
      </c>
      <c r="CS68" s="3" t="s">
        <v>228</v>
      </c>
      <c r="CT68" s="9"/>
      <c r="CU68" s="3" t="s">
        <v>167</v>
      </c>
      <c r="CV68" s="3" t="s">
        <v>168</v>
      </c>
      <c r="CW68" s="3"/>
      <c r="DG68" s="4"/>
    </row>
    <row r="69" customFormat="false" ht="11.25" hidden="false" customHeight="true" outlineLevel="0" collapsed="false">
      <c r="A69" s="9" t="n">
        <v>68</v>
      </c>
      <c r="B69" s="10" t="n">
        <v>46041.4449735648</v>
      </c>
      <c r="C69" s="10" t="n">
        <v>46041.4590939352</v>
      </c>
      <c r="D69" s="9" t="s">
        <v>691</v>
      </c>
      <c r="E69" s="9" t="s">
        <v>692</v>
      </c>
      <c r="F69" s="9" t="s">
        <v>692</v>
      </c>
      <c r="G69" s="9" t="s">
        <v>693</v>
      </c>
      <c r="H69" s="10" t="n">
        <v>46034</v>
      </c>
      <c r="I69" s="10" t="s">
        <v>157</v>
      </c>
      <c r="J69" s="9" t="s">
        <v>295</v>
      </c>
      <c r="K69" s="9" t="s">
        <v>196</v>
      </c>
      <c r="L69" s="9" t="s">
        <v>159</v>
      </c>
      <c r="M69" s="9" t="s">
        <v>111</v>
      </c>
      <c r="N69" s="9" t="s">
        <v>145</v>
      </c>
      <c r="O69" s="9" t="s">
        <v>113</v>
      </c>
      <c r="P69" s="9" t="s">
        <v>694</v>
      </c>
      <c r="Q69" s="9" t="s">
        <v>234</v>
      </c>
      <c r="R69" s="9"/>
      <c r="S69" s="9"/>
      <c r="T69" s="9"/>
      <c r="U69" s="9" t="s">
        <v>22</v>
      </c>
      <c r="V69" s="9"/>
      <c r="W69" s="9" t="s">
        <v>148</v>
      </c>
      <c r="X69" s="9"/>
      <c r="Y69" s="9"/>
      <c r="Z69" s="9"/>
      <c r="AA69" s="9"/>
      <c r="AB69" s="9"/>
      <c r="AC69" s="9"/>
      <c r="AD69" s="9" t="s">
        <v>695</v>
      </c>
      <c r="AE69" s="9" t="s">
        <v>660</v>
      </c>
      <c r="AF69" s="9" t="s">
        <v>696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3"/>
      <c r="CN69" s="3"/>
      <c r="CO69" s="3"/>
      <c r="CP69" s="3"/>
      <c r="CQ69" s="3"/>
      <c r="CR69" s="3" t="s">
        <v>152</v>
      </c>
      <c r="CS69" s="3" t="s">
        <v>121</v>
      </c>
      <c r="CT69" s="9" t="s">
        <v>122</v>
      </c>
      <c r="CU69" s="3" t="s">
        <v>123</v>
      </c>
      <c r="CV69" s="3" t="s">
        <v>124</v>
      </c>
      <c r="CW69" s="3"/>
      <c r="DG69" s="4"/>
    </row>
    <row r="70" customFormat="false" ht="11.25" hidden="false" customHeight="true" outlineLevel="0" collapsed="false">
      <c r="A70" s="9" t="n">
        <v>69</v>
      </c>
      <c r="B70" s="10" t="n">
        <v>46072.1535401505</v>
      </c>
      <c r="C70" s="10" t="n">
        <v>46072.1733202431</v>
      </c>
      <c r="D70" s="9" t="s">
        <v>697</v>
      </c>
      <c r="E70" s="9" t="s">
        <v>698</v>
      </c>
      <c r="F70" s="9" t="s">
        <v>699</v>
      </c>
      <c r="G70" s="9" t="s">
        <v>700</v>
      </c>
      <c r="H70" s="10" t="n">
        <v>46063</v>
      </c>
      <c r="I70" s="10" t="s">
        <v>107</v>
      </c>
      <c r="J70" s="9" t="s">
        <v>128</v>
      </c>
      <c r="K70" s="9" t="s">
        <v>257</v>
      </c>
      <c r="L70" s="9" t="s">
        <v>184</v>
      </c>
      <c r="M70" s="9" t="s">
        <v>111</v>
      </c>
      <c r="N70" s="9" t="s">
        <v>112</v>
      </c>
      <c r="O70" s="9" t="s">
        <v>113</v>
      </c>
      <c r="P70" s="9" t="s">
        <v>114</v>
      </c>
      <c r="Q70" s="9" t="s">
        <v>701</v>
      </c>
      <c r="R70" s="9"/>
      <c r="S70" s="9"/>
      <c r="T70" s="9"/>
      <c r="U70" s="9" t="s">
        <v>22</v>
      </c>
      <c r="V70" s="9"/>
      <c r="W70" s="9" t="s">
        <v>135</v>
      </c>
      <c r="X70" s="9"/>
      <c r="Y70" s="9"/>
      <c r="Z70" s="9"/>
      <c r="AA70" s="9" t="s">
        <v>702</v>
      </c>
      <c r="AB70" s="9" t="s">
        <v>703</v>
      </c>
      <c r="AC70" s="9" t="s">
        <v>704</v>
      </c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3"/>
      <c r="CN70" s="3"/>
      <c r="CO70" s="3"/>
      <c r="CP70" s="3"/>
      <c r="CQ70" s="3"/>
      <c r="CR70" s="3" t="s">
        <v>152</v>
      </c>
      <c r="CS70" s="3" t="s">
        <v>121</v>
      </c>
      <c r="CT70" s="9"/>
      <c r="CU70" s="3" t="s">
        <v>192</v>
      </c>
      <c r="CV70" s="3" t="s">
        <v>124</v>
      </c>
      <c r="CW70" s="3"/>
      <c r="DG70" s="4"/>
    </row>
    <row r="71" customFormat="false" ht="11.25" hidden="false" customHeight="true" outlineLevel="0" collapsed="false">
      <c r="A71" s="9" t="n">
        <v>70</v>
      </c>
      <c r="B71" s="10" t="n">
        <v>46191.6182020486</v>
      </c>
      <c r="C71" s="10" t="n">
        <v>46191.6386881597</v>
      </c>
      <c r="D71" s="9" t="s">
        <v>705</v>
      </c>
      <c r="E71" s="9" t="s">
        <v>706</v>
      </c>
      <c r="F71" s="9" t="s">
        <v>706</v>
      </c>
      <c r="G71" s="9" t="s">
        <v>707</v>
      </c>
      <c r="H71" s="10" t="n">
        <v>46174</v>
      </c>
      <c r="I71" s="10" t="s">
        <v>172</v>
      </c>
      <c r="J71" s="9" t="s">
        <v>108</v>
      </c>
      <c r="K71" s="9" t="s">
        <v>245</v>
      </c>
      <c r="L71" s="9" t="s">
        <v>184</v>
      </c>
      <c r="M71" s="9" t="s">
        <v>111</v>
      </c>
      <c r="N71" s="9" t="s">
        <v>112</v>
      </c>
      <c r="O71" s="9" t="s">
        <v>113</v>
      </c>
      <c r="P71" s="9" t="s">
        <v>130</v>
      </c>
      <c r="Q71" s="9" t="s">
        <v>227</v>
      </c>
      <c r="R71" s="9"/>
      <c r="S71" s="9"/>
      <c r="T71" s="9"/>
      <c r="U71" s="9" t="s">
        <v>21</v>
      </c>
      <c r="V71" s="9" t="s">
        <v>187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s">
        <v>188</v>
      </c>
      <c r="AQ71" s="9" t="s">
        <v>708</v>
      </c>
      <c r="AR71" s="9" t="s">
        <v>190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3"/>
      <c r="CN71" s="3"/>
      <c r="CO71" s="3"/>
      <c r="CP71" s="3"/>
      <c r="CQ71" s="3"/>
      <c r="CR71" s="3" t="s">
        <v>120</v>
      </c>
      <c r="CS71" s="3" t="s">
        <v>180</v>
      </c>
      <c r="CT71" s="9" t="s">
        <v>191</v>
      </c>
      <c r="CU71" s="3" t="s">
        <v>192</v>
      </c>
      <c r="CV71" s="3" t="s">
        <v>168</v>
      </c>
      <c r="CW71" s="3"/>
      <c r="DG71" s="4"/>
    </row>
    <row r="72" customFormat="false" ht="11.25" hidden="false" customHeight="true" outlineLevel="0" collapsed="false">
      <c r="A72" s="9" t="n">
        <v>71</v>
      </c>
      <c r="B72" s="10" t="n">
        <v>46066.5472786574</v>
      </c>
      <c r="C72" s="10" t="n">
        <v>46066.5531698611</v>
      </c>
      <c r="D72" s="9" t="s">
        <v>709</v>
      </c>
      <c r="E72" s="9" t="s">
        <v>710</v>
      </c>
      <c r="F72" s="9" t="s">
        <v>711</v>
      </c>
      <c r="G72" s="9" t="s">
        <v>712</v>
      </c>
      <c r="H72" s="10" t="n">
        <v>46051</v>
      </c>
      <c r="I72" s="10" t="s">
        <v>713</v>
      </c>
      <c r="J72" s="9" t="s">
        <v>295</v>
      </c>
      <c r="K72" s="9" t="s">
        <v>245</v>
      </c>
      <c r="L72" s="9" t="s">
        <v>184</v>
      </c>
      <c r="M72" s="9" t="s">
        <v>111</v>
      </c>
      <c r="N72" s="9" t="s">
        <v>145</v>
      </c>
      <c r="O72" s="9" t="s">
        <v>113</v>
      </c>
      <c r="P72" s="9" t="s">
        <v>578</v>
      </c>
      <c r="Q72" s="9" t="s">
        <v>714</v>
      </c>
      <c r="R72" s="9"/>
      <c r="S72" s="9"/>
      <c r="T72" s="9"/>
      <c r="U72" s="9" t="s">
        <v>22</v>
      </c>
      <c r="V72" s="9"/>
      <c r="W72" s="9" t="s">
        <v>715</v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 t="s">
        <v>716</v>
      </c>
      <c r="BI72" s="9" t="s">
        <v>717</v>
      </c>
      <c r="BJ72" s="9" t="s">
        <v>718</v>
      </c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3"/>
      <c r="CN72" s="3"/>
      <c r="CO72" s="3"/>
      <c r="CP72" s="3"/>
      <c r="CQ72" s="3"/>
      <c r="CR72" s="3" t="s">
        <v>152</v>
      </c>
      <c r="CS72" s="3" t="s">
        <v>121</v>
      </c>
      <c r="CT72" s="13" t="s">
        <v>641</v>
      </c>
      <c r="CU72" s="3" t="s">
        <v>123</v>
      </c>
      <c r="CV72" s="3" t="s">
        <v>124</v>
      </c>
      <c r="CW72" s="3"/>
      <c r="DG72" s="4"/>
    </row>
    <row r="73" customFormat="false" ht="11.25" hidden="false" customHeight="true" outlineLevel="0" collapsed="false">
      <c r="A73" s="9" t="n">
        <v>72</v>
      </c>
      <c r="B73" s="10" t="n">
        <v>46103.6318855787</v>
      </c>
      <c r="C73" s="10" t="n">
        <v>46103.6379156713</v>
      </c>
      <c r="D73" s="9" t="s">
        <v>719</v>
      </c>
      <c r="E73" s="9" t="s">
        <v>720</v>
      </c>
      <c r="F73" s="9" t="s">
        <v>720</v>
      </c>
      <c r="G73" s="9" t="s">
        <v>721</v>
      </c>
      <c r="H73" s="10" t="n">
        <v>46085</v>
      </c>
      <c r="I73" s="10" t="s">
        <v>157</v>
      </c>
      <c r="J73" s="9" t="s">
        <v>108</v>
      </c>
      <c r="K73" s="9" t="s">
        <v>257</v>
      </c>
      <c r="L73" s="9" t="s">
        <v>346</v>
      </c>
      <c r="M73" s="9" t="s">
        <v>111</v>
      </c>
      <c r="N73" s="9" t="s">
        <v>112</v>
      </c>
      <c r="O73" s="9" t="s">
        <v>325</v>
      </c>
      <c r="P73" s="9" t="s">
        <v>357</v>
      </c>
      <c r="Q73" s="9" t="s">
        <v>398</v>
      </c>
      <c r="R73" s="9"/>
      <c r="S73" s="9"/>
      <c r="T73" s="9"/>
      <c r="U73" s="9" t="s">
        <v>22</v>
      </c>
      <c r="V73" s="9"/>
      <c r="W73" s="9" t="s">
        <v>271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 t="s">
        <v>722</v>
      </c>
      <c r="BL73" s="9" t="s">
        <v>723</v>
      </c>
      <c r="BM73" s="9" t="s">
        <v>724</v>
      </c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3"/>
      <c r="CN73" s="3"/>
      <c r="CO73" s="3"/>
      <c r="CP73" s="3"/>
      <c r="CQ73" s="3"/>
      <c r="CR73" s="3" t="s">
        <v>227</v>
      </c>
      <c r="CS73" s="3" t="s">
        <v>180</v>
      </c>
      <c r="CT73" s="9" t="s">
        <v>725</v>
      </c>
      <c r="CU73" s="3" t="s">
        <v>123</v>
      </c>
      <c r="CV73" s="3" t="s">
        <v>124</v>
      </c>
      <c r="CW73" s="3"/>
      <c r="DG73" s="4"/>
    </row>
    <row r="74" customFormat="false" ht="11.25" hidden="false" customHeight="true" outlineLevel="0" collapsed="false">
      <c r="A74" s="9" t="n">
        <v>73</v>
      </c>
      <c r="B74" s="10" t="n">
        <v>46070.2364033102</v>
      </c>
      <c r="C74" s="10" t="n">
        <v>46070.2485908102</v>
      </c>
      <c r="D74" s="9" t="s">
        <v>726</v>
      </c>
      <c r="E74" s="9" t="s">
        <v>727</v>
      </c>
      <c r="F74" s="9" t="s">
        <v>728</v>
      </c>
      <c r="G74" s="9" t="s">
        <v>729</v>
      </c>
      <c r="H74" s="10" t="n">
        <v>46050</v>
      </c>
      <c r="I74" s="10" t="s">
        <v>244</v>
      </c>
      <c r="J74" s="9" t="s">
        <v>108</v>
      </c>
      <c r="K74" s="9" t="s">
        <v>196</v>
      </c>
      <c r="L74" s="9" t="s">
        <v>246</v>
      </c>
      <c r="M74" s="9" t="s">
        <v>111</v>
      </c>
      <c r="N74" s="9" t="s">
        <v>112</v>
      </c>
      <c r="O74" s="9" t="s">
        <v>113</v>
      </c>
      <c r="P74" s="9" t="s">
        <v>144</v>
      </c>
      <c r="Q74" s="9" t="s">
        <v>389</v>
      </c>
      <c r="R74" s="9"/>
      <c r="S74" s="9"/>
      <c r="T74" s="9"/>
      <c r="U74" s="9" t="s">
        <v>22</v>
      </c>
      <c r="V74" s="9"/>
      <c r="W74" s="9" t="s">
        <v>715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 t="s">
        <v>730</v>
      </c>
      <c r="BI74" s="9" t="s">
        <v>731</v>
      </c>
      <c r="BJ74" s="9" t="s">
        <v>732</v>
      </c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3"/>
      <c r="CN74" s="3"/>
      <c r="CO74" s="3"/>
      <c r="CP74" s="3"/>
      <c r="CQ74" s="3"/>
      <c r="CR74" s="3" t="s">
        <v>152</v>
      </c>
      <c r="CS74" s="3" t="s">
        <v>121</v>
      </c>
      <c r="CT74" s="9" t="s">
        <v>122</v>
      </c>
      <c r="CU74" s="3" t="s">
        <v>123</v>
      </c>
      <c r="CV74" s="3" t="s">
        <v>124</v>
      </c>
      <c r="CW74" s="3"/>
      <c r="DG74" s="4"/>
    </row>
    <row r="75" customFormat="false" ht="11.25" hidden="false" customHeight="true" outlineLevel="0" collapsed="false">
      <c r="A75" s="9" t="n">
        <v>74</v>
      </c>
      <c r="B75" s="10" t="n">
        <v>46154.2796268866</v>
      </c>
      <c r="C75" s="10" t="n">
        <v>46154.2975319792</v>
      </c>
      <c r="D75" s="9" t="s">
        <v>733</v>
      </c>
      <c r="E75" s="9" t="s">
        <v>734</v>
      </c>
      <c r="F75" s="9" t="s">
        <v>734</v>
      </c>
      <c r="G75" s="9" t="s">
        <v>735</v>
      </c>
      <c r="H75" s="10" t="n">
        <v>46152</v>
      </c>
      <c r="I75" s="10" t="s">
        <v>244</v>
      </c>
      <c r="J75" s="9" t="s">
        <v>128</v>
      </c>
      <c r="K75" s="9" t="s">
        <v>462</v>
      </c>
      <c r="L75" s="9" t="s">
        <v>210</v>
      </c>
      <c r="M75" s="9" t="s">
        <v>111</v>
      </c>
      <c r="N75" s="9" t="s">
        <v>112</v>
      </c>
      <c r="O75" s="9" t="s">
        <v>113</v>
      </c>
      <c r="P75" s="9" t="s">
        <v>736</v>
      </c>
      <c r="Q75" s="9" t="s">
        <v>306</v>
      </c>
      <c r="R75" s="9"/>
      <c r="S75" s="9"/>
      <c r="T75" s="9"/>
      <c r="U75" s="9" t="s">
        <v>22</v>
      </c>
      <c r="V75" s="9"/>
      <c r="W75" s="9" t="s">
        <v>381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 t="s">
        <v>737</v>
      </c>
      <c r="BR75" s="9" t="s">
        <v>464</v>
      </c>
      <c r="BS75" s="9" t="s">
        <v>738</v>
      </c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3"/>
      <c r="CN75" s="3"/>
      <c r="CO75" s="3"/>
      <c r="CP75" s="3"/>
      <c r="CQ75" s="3"/>
      <c r="CR75" s="3" t="s">
        <v>152</v>
      </c>
      <c r="CS75" s="3" t="s">
        <v>264</v>
      </c>
      <c r="CT75" s="9" t="s">
        <v>562</v>
      </c>
      <c r="CU75" s="3" t="s">
        <v>123</v>
      </c>
      <c r="CV75" s="3" t="s">
        <v>139</v>
      </c>
      <c r="CW75" s="3"/>
      <c r="DG75" s="4"/>
    </row>
    <row r="76" customFormat="false" ht="11.25" hidden="false" customHeight="true" outlineLevel="0" collapsed="false">
      <c r="A76" s="9" t="n">
        <v>75</v>
      </c>
      <c r="B76" s="10" t="n">
        <v>46191.5720693519</v>
      </c>
      <c r="C76" s="10" t="n">
        <v>46191.5890485185</v>
      </c>
      <c r="D76" s="9" t="s">
        <v>739</v>
      </c>
      <c r="E76" s="9" t="s">
        <v>740</v>
      </c>
      <c r="F76" s="9" t="s">
        <v>740</v>
      </c>
      <c r="G76" s="9" t="s">
        <v>741</v>
      </c>
      <c r="H76" s="10" t="n">
        <v>46181</v>
      </c>
      <c r="I76" s="10" t="s">
        <v>107</v>
      </c>
      <c r="J76" s="9" t="s">
        <v>108</v>
      </c>
      <c r="K76" s="9" t="s">
        <v>742</v>
      </c>
      <c r="L76" s="9" t="s">
        <v>210</v>
      </c>
      <c r="M76" s="9" t="s">
        <v>211</v>
      </c>
      <c r="N76" s="9" t="s">
        <v>112</v>
      </c>
      <c r="O76" s="9" t="s">
        <v>113</v>
      </c>
      <c r="P76" s="9" t="s">
        <v>133</v>
      </c>
      <c r="Q76" s="9" t="s">
        <v>743</v>
      </c>
      <c r="R76" s="9"/>
      <c r="S76" s="9"/>
      <c r="T76" s="9"/>
      <c r="U76" s="9" t="s">
        <v>22</v>
      </c>
      <c r="V76" s="9"/>
      <c r="W76" s="9" t="s">
        <v>116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 t="s">
        <v>744</v>
      </c>
      <c r="BU76" s="9" t="s">
        <v>745</v>
      </c>
      <c r="BV76" s="9" t="s">
        <v>746</v>
      </c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11"/>
      <c r="CM76" s="3"/>
      <c r="CN76" s="3"/>
      <c r="CO76" s="3"/>
      <c r="CP76" s="3"/>
      <c r="CQ76" s="3"/>
      <c r="CR76" s="3" t="s">
        <v>152</v>
      </c>
      <c r="CS76" s="3" t="s">
        <v>496</v>
      </c>
      <c r="CT76" s="9" t="s">
        <v>122</v>
      </c>
      <c r="CU76" s="3" t="s">
        <v>167</v>
      </c>
      <c r="CV76" s="3" t="s">
        <v>124</v>
      </c>
      <c r="CW76" s="3"/>
      <c r="DG76" s="4"/>
    </row>
    <row r="77" customFormat="false" ht="11.25" hidden="false" customHeight="true" outlineLevel="0" collapsed="false">
      <c r="A77" s="9" t="n">
        <v>76</v>
      </c>
      <c r="B77" s="10" t="n">
        <v>46094.2518443171</v>
      </c>
      <c r="C77" s="10" t="n">
        <v>46094.2639045023</v>
      </c>
      <c r="D77" s="9" t="s">
        <v>747</v>
      </c>
      <c r="E77" s="9" t="s">
        <v>748</v>
      </c>
      <c r="F77" s="9" t="s">
        <v>748</v>
      </c>
      <c r="G77" s="9" t="s">
        <v>749</v>
      </c>
      <c r="H77" s="10" t="n">
        <v>46077</v>
      </c>
      <c r="I77" s="10" t="s">
        <v>750</v>
      </c>
      <c r="J77" s="9" t="s">
        <v>108</v>
      </c>
      <c r="K77" s="9" t="s">
        <v>245</v>
      </c>
      <c r="L77" s="9" t="s">
        <v>110</v>
      </c>
      <c r="M77" s="9" t="s">
        <v>111</v>
      </c>
      <c r="N77" s="9" t="s">
        <v>112</v>
      </c>
      <c r="O77" s="9" t="s">
        <v>113</v>
      </c>
      <c r="P77" s="9" t="s">
        <v>365</v>
      </c>
      <c r="Q77" s="9" t="s">
        <v>560</v>
      </c>
      <c r="R77" s="9"/>
      <c r="S77" s="9"/>
      <c r="T77" s="9"/>
      <c r="U77" s="9" t="s">
        <v>22</v>
      </c>
      <c r="V77" s="9"/>
      <c r="W77" s="9" t="s">
        <v>339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 t="s">
        <v>751</v>
      </c>
      <c r="BO77" s="9" t="s">
        <v>752</v>
      </c>
      <c r="BP77" s="9" t="s">
        <v>753</v>
      </c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3"/>
      <c r="CN77" s="3"/>
      <c r="CO77" s="3"/>
      <c r="CP77" s="3"/>
      <c r="CQ77" s="3"/>
      <c r="CR77" s="3" t="s">
        <v>227</v>
      </c>
      <c r="CS77" s="3" t="s">
        <v>121</v>
      </c>
      <c r="CT77" s="9" t="s">
        <v>291</v>
      </c>
      <c r="CU77" s="3" t="s">
        <v>123</v>
      </c>
      <c r="CV77" s="3" t="s">
        <v>124</v>
      </c>
      <c r="CW77" s="3"/>
      <c r="DG77" s="4"/>
    </row>
    <row r="78" customFormat="false" ht="11.25" hidden="false" customHeight="true" outlineLevel="0" collapsed="false">
      <c r="A78" s="9" t="n">
        <v>77</v>
      </c>
      <c r="B78" s="10" t="n">
        <v>46066.4025681829</v>
      </c>
      <c r="C78" s="10" t="n">
        <v>46066.4045704977</v>
      </c>
      <c r="D78" s="9" t="s">
        <v>754</v>
      </c>
      <c r="E78" s="9" t="s">
        <v>755</v>
      </c>
      <c r="F78" s="9" t="s">
        <v>755</v>
      </c>
      <c r="G78" s="9" t="s">
        <v>756</v>
      </c>
      <c r="H78" s="10" t="n">
        <v>46064</v>
      </c>
      <c r="I78" s="10" t="s">
        <v>244</v>
      </c>
      <c r="J78" s="9" t="s">
        <v>295</v>
      </c>
      <c r="K78" s="9" t="s">
        <v>173</v>
      </c>
      <c r="L78" s="9" t="s">
        <v>130</v>
      </c>
      <c r="M78" s="9" t="s">
        <v>111</v>
      </c>
      <c r="N78" s="9" t="s">
        <v>145</v>
      </c>
      <c r="O78" s="9" t="s">
        <v>325</v>
      </c>
      <c r="P78" s="9" t="s">
        <v>757</v>
      </c>
      <c r="Q78" s="9" t="s">
        <v>758</v>
      </c>
      <c r="R78" s="9"/>
      <c r="S78" s="9"/>
      <c r="T78" s="9"/>
      <c r="U78" s="9" t="s">
        <v>22</v>
      </c>
      <c r="V78" s="9"/>
      <c r="W78" s="9" t="s">
        <v>298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 t="s">
        <v>759</v>
      </c>
      <c r="AW78" s="9" t="s">
        <v>760</v>
      </c>
      <c r="AX78" s="9" t="s">
        <v>761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3"/>
      <c r="CN78" s="3"/>
      <c r="CO78" s="3"/>
      <c r="CP78" s="3"/>
      <c r="CQ78" s="3"/>
      <c r="CR78" s="3" t="s">
        <v>152</v>
      </c>
      <c r="CS78" s="3" t="s">
        <v>121</v>
      </c>
      <c r="CT78" s="9" t="s">
        <v>122</v>
      </c>
      <c r="CU78" s="3" t="s">
        <v>123</v>
      </c>
      <c r="CV78" s="3" t="s">
        <v>139</v>
      </c>
      <c r="CW78" s="3"/>
      <c r="DG78" s="4"/>
    </row>
    <row r="79" customFormat="false" ht="11.25" hidden="false" customHeight="true" outlineLevel="0" collapsed="false">
      <c r="A79" s="9" t="n">
        <v>78</v>
      </c>
      <c r="B79" s="10" t="n">
        <v>46142.6965558333</v>
      </c>
      <c r="C79" s="10" t="n">
        <v>46142.7087896296</v>
      </c>
      <c r="D79" s="9" t="s">
        <v>762</v>
      </c>
      <c r="E79" s="9" t="s">
        <v>763</v>
      </c>
      <c r="F79" s="9" t="s">
        <v>764</v>
      </c>
      <c r="G79" s="9" t="s">
        <v>765</v>
      </c>
      <c r="H79" s="10" t="n">
        <v>46142</v>
      </c>
      <c r="I79" s="10" t="s">
        <v>750</v>
      </c>
      <c r="J79" s="9" t="s">
        <v>108</v>
      </c>
      <c r="K79" s="9" t="s">
        <v>257</v>
      </c>
      <c r="L79" s="9" t="s">
        <v>296</v>
      </c>
      <c r="M79" s="9" t="s">
        <v>111</v>
      </c>
      <c r="N79" s="9" t="s">
        <v>145</v>
      </c>
      <c r="O79" s="9" t="s">
        <v>132</v>
      </c>
      <c r="P79" s="9" t="s">
        <v>269</v>
      </c>
      <c r="Q79" s="9" t="s">
        <v>766</v>
      </c>
      <c r="R79" s="9"/>
      <c r="S79" s="9"/>
      <c r="T79" s="9"/>
      <c r="U79" s="9" t="s">
        <v>22</v>
      </c>
      <c r="V79" s="9"/>
      <c r="W79" s="9" t="s">
        <v>176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 t="s">
        <v>767</v>
      </c>
      <c r="AZ79" s="9" t="s">
        <v>768</v>
      </c>
      <c r="BA79" s="9" t="s">
        <v>769</v>
      </c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3"/>
      <c r="CN79" s="3"/>
      <c r="CO79" s="3"/>
      <c r="CP79" s="3"/>
      <c r="CQ79" s="3"/>
      <c r="CR79" s="3" t="s">
        <v>152</v>
      </c>
      <c r="CS79" s="3" t="s">
        <v>121</v>
      </c>
      <c r="CT79" s="9" t="s">
        <v>770</v>
      </c>
      <c r="CU79" s="3" t="s">
        <v>123</v>
      </c>
      <c r="CV79" s="3" t="s">
        <v>124</v>
      </c>
      <c r="CW79" s="3"/>
      <c r="DG79" s="4"/>
    </row>
    <row r="80" customFormat="false" ht="11.25" hidden="false" customHeight="true" outlineLevel="0" collapsed="false">
      <c r="A80" s="9" t="n">
        <v>79</v>
      </c>
      <c r="B80" s="10" t="n">
        <v>46080.3023221875</v>
      </c>
      <c r="C80" s="10" t="n">
        <v>46080.3167434838</v>
      </c>
      <c r="D80" s="9" t="s">
        <v>771</v>
      </c>
      <c r="E80" s="9" t="s">
        <v>772</v>
      </c>
      <c r="F80" s="9" t="s">
        <v>772</v>
      </c>
      <c r="G80" s="9" t="s">
        <v>773</v>
      </c>
      <c r="H80" s="10" t="n">
        <v>46066</v>
      </c>
      <c r="I80" s="10" t="s">
        <v>750</v>
      </c>
      <c r="J80" s="9" t="s">
        <v>108</v>
      </c>
      <c r="K80" s="9" t="s">
        <v>462</v>
      </c>
      <c r="L80" s="9" t="s">
        <v>159</v>
      </c>
      <c r="M80" s="9" t="s">
        <v>111</v>
      </c>
      <c r="N80" s="9" t="s">
        <v>112</v>
      </c>
      <c r="O80" s="9" t="s">
        <v>113</v>
      </c>
      <c r="P80" s="9" t="s">
        <v>774</v>
      </c>
      <c r="Q80" s="9" t="s">
        <v>775</v>
      </c>
      <c r="R80" s="9"/>
      <c r="S80" s="9"/>
      <c r="T80" s="9"/>
      <c r="U80" s="9" t="s">
        <v>22</v>
      </c>
      <c r="V80" s="9"/>
      <c r="W80" s="9" t="s">
        <v>339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 t="s">
        <v>776</v>
      </c>
      <c r="BO80" s="9" t="s">
        <v>777</v>
      </c>
      <c r="BP80" s="9" t="s">
        <v>752</v>
      </c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11"/>
      <c r="CM80" s="3"/>
      <c r="CN80" s="3"/>
      <c r="CO80" s="3"/>
      <c r="CP80" s="3"/>
      <c r="CQ80" s="3"/>
      <c r="CR80" s="3" t="s">
        <v>120</v>
      </c>
      <c r="CS80" s="3" t="s">
        <v>121</v>
      </c>
      <c r="CT80" s="9" t="s">
        <v>153</v>
      </c>
      <c r="CU80" s="3" t="s">
        <v>192</v>
      </c>
      <c r="CV80" s="3" t="s">
        <v>139</v>
      </c>
      <c r="CW80" s="3"/>
      <c r="DG80" s="4"/>
    </row>
    <row r="81" customFormat="false" ht="11.25" hidden="false" customHeight="true" outlineLevel="0" collapsed="false">
      <c r="A81" s="9" t="n">
        <v>80</v>
      </c>
      <c r="B81" s="10" t="n">
        <v>46202.7463495718</v>
      </c>
      <c r="C81" s="10" t="n">
        <v>46202.7516736458</v>
      </c>
      <c r="D81" s="9" t="s">
        <v>778</v>
      </c>
      <c r="E81" s="9" t="s">
        <v>779</v>
      </c>
      <c r="F81" s="9" t="s">
        <v>779</v>
      </c>
      <c r="G81" s="9" t="s">
        <v>780</v>
      </c>
      <c r="H81" s="10" t="n">
        <v>46184</v>
      </c>
      <c r="I81" s="10" t="s">
        <v>781</v>
      </c>
      <c r="J81" s="9" t="s">
        <v>295</v>
      </c>
      <c r="K81" s="9" t="s">
        <v>257</v>
      </c>
      <c r="L81" s="9" t="s">
        <v>159</v>
      </c>
      <c r="M81" s="9" t="s">
        <v>111</v>
      </c>
      <c r="N81" s="9" t="s">
        <v>112</v>
      </c>
      <c r="O81" s="9" t="s">
        <v>113</v>
      </c>
      <c r="P81" s="9" t="s">
        <v>357</v>
      </c>
      <c r="Q81" s="9" t="s">
        <v>606</v>
      </c>
      <c r="R81" s="9"/>
      <c r="S81" s="9"/>
      <c r="T81" s="9"/>
      <c r="U81" s="9" t="s">
        <v>22</v>
      </c>
      <c r="V81" s="9"/>
      <c r="W81" s="9" t="s">
        <v>176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 t="s">
        <v>782</v>
      </c>
      <c r="AZ81" s="9" t="s">
        <v>783</v>
      </c>
      <c r="BA81" s="9" t="s">
        <v>784</v>
      </c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3"/>
      <c r="CN81" s="3"/>
      <c r="CO81" s="3"/>
      <c r="CP81" s="3"/>
      <c r="CQ81" s="3"/>
      <c r="CR81" s="3" t="s">
        <v>152</v>
      </c>
      <c r="CS81" s="3" t="s">
        <v>121</v>
      </c>
      <c r="CT81" s="9" t="s">
        <v>785</v>
      </c>
      <c r="CU81" s="3" t="s">
        <v>167</v>
      </c>
      <c r="CV81" s="3" t="s">
        <v>124</v>
      </c>
      <c r="CW81" s="3"/>
      <c r="DG81" s="4"/>
    </row>
    <row r="82" customFormat="false" ht="11.25" hidden="false" customHeight="true" outlineLevel="0" collapsed="false">
      <c r="A82" s="14" t="n">
        <v>81</v>
      </c>
      <c r="B82" s="15" t="n">
        <v>46046.5819903819</v>
      </c>
      <c r="C82" s="15" t="n">
        <v>46046.5957288079</v>
      </c>
      <c r="D82" s="14" t="s">
        <v>786</v>
      </c>
      <c r="E82" s="14" t="s">
        <v>787</v>
      </c>
      <c r="F82" s="14" t="s">
        <v>787</v>
      </c>
      <c r="G82" s="14" t="s">
        <v>788</v>
      </c>
      <c r="H82" s="15" t="n">
        <v>46043</v>
      </c>
      <c r="I82" s="15" t="s">
        <v>172</v>
      </c>
      <c r="J82" s="14" t="s">
        <v>295</v>
      </c>
      <c r="K82" s="14" t="s">
        <v>232</v>
      </c>
      <c r="L82" s="14" t="s">
        <v>197</v>
      </c>
      <c r="M82" s="14" t="s">
        <v>131</v>
      </c>
      <c r="N82" s="14" t="s">
        <v>112</v>
      </c>
      <c r="O82" s="14" t="s">
        <v>132</v>
      </c>
      <c r="P82" s="14" t="s">
        <v>789</v>
      </c>
      <c r="Q82" s="14" t="s">
        <v>235</v>
      </c>
      <c r="R82" s="14"/>
      <c r="S82" s="14"/>
      <c r="T82" s="14"/>
      <c r="U82" s="14" t="s">
        <v>22</v>
      </c>
      <c r="V82" s="14"/>
      <c r="W82" s="14" t="s">
        <v>298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 t="s">
        <v>790</v>
      </c>
      <c r="AW82" s="14" t="s">
        <v>791</v>
      </c>
      <c r="AX82" s="14" t="s">
        <v>792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R82" s="1" t="s">
        <v>120</v>
      </c>
      <c r="CS82" s="1" t="s">
        <v>180</v>
      </c>
      <c r="CT82" s="14" t="s">
        <v>122</v>
      </c>
      <c r="CU82" s="1" t="s">
        <v>123</v>
      </c>
      <c r="CV82" s="1" t="s">
        <v>124</v>
      </c>
      <c r="CW82" s="3"/>
      <c r="DG82" s="4"/>
    </row>
    <row r="83" customFormat="false" ht="11.25" hidden="false" customHeight="true" outlineLevel="0" collapsed="false">
      <c r="A83" s="14" t="n">
        <v>82</v>
      </c>
      <c r="B83" s="15" t="n">
        <v>46165.1799184607</v>
      </c>
      <c r="C83" s="15" t="n">
        <v>46165.1814115162</v>
      </c>
      <c r="D83" s="14" t="s">
        <v>793</v>
      </c>
      <c r="E83" s="14" t="s">
        <v>794</v>
      </c>
      <c r="F83" s="14" t="s">
        <v>794</v>
      </c>
      <c r="G83" s="14" t="s">
        <v>795</v>
      </c>
      <c r="H83" s="15" t="n">
        <v>46157</v>
      </c>
      <c r="I83" s="15" t="s">
        <v>278</v>
      </c>
      <c r="J83" s="14" t="s">
        <v>295</v>
      </c>
      <c r="K83" s="14" t="s">
        <v>796</v>
      </c>
      <c r="L83" s="14" t="s">
        <v>114</v>
      </c>
      <c r="M83" s="14" t="s">
        <v>131</v>
      </c>
      <c r="N83" s="14" t="s">
        <v>112</v>
      </c>
      <c r="O83" s="14" t="s">
        <v>113</v>
      </c>
      <c r="P83" s="14" t="s">
        <v>797</v>
      </c>
      <c r="Q83" s="14" t="s">
        <v>338</v>
      </c>
      <c r="R83" s="14"/>
      <c r="S83" s="14"/>
      <c r="T83" s="14"/>
      <c r="U83" s="14" t="s">
        <v>21</v>
      </c>
      <c r="V83" s="14" t="s">
        <v>187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 t="s">
        <v>188</v>
      </c>
      <c r="AQ83" s="14" t="s">
        <v>708</v>
      </c>
      <c r="AR83" s="14" t="s">
        <v>190</v>
      </c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R83" s="1" t="s">
        <v>120</v>
      </c>
      <c r="CS83" s="1" t="s">
        <v>180</v>
      </c>
      <c r="CT83" s="14" t="s">
        <v>798</v>
      </c>
      <c r="CU83" s="1" t="s">
        <v>167</v>
      </c>
      <c r="CV83" s="1" t="s">
        <v>124</v>
      </c>
      <c r="CW83" s="3"/>
      <c r="DG83" s="4"/>
    </row>
    <row r="84" customFormat="false" ht="11.25" hidden="false" customHeight="true" outlineLevel="0" collapsed="false">
      <c r="A84" s="14" t="n">
        <v>83</v>
      </c>
      <c r="B84" s="15" t="n">
        <v>46107.2564890162</v>
      </c>
      <c r="C84" s="15" t="n">
        <v>46107.2606441088</v>
      </c>
      <c r="D84" s="14" t="s">
        <v>799</v>
      </c>
      <c r="E84" s="14" t="s">
        <v>800</v>
      </c>
      <c r="F84" s="14" t="s">
        <v>800</v>
      </c>
      <c r="G84" s="14" t="s">
        <v>801</v>
      </c>
      <c r="H84" s="15" t="n">
        <v>46103</v>
      </c>
      <c r="I84" s="15" t="s">
        <v>172</v>
      </c>
      <c r="J84" s="14" t="s">
        <v>108</v>
      </c>
      <c r="K84" s="14" t="s">
        <v>802</v>
      </c>
      <c r="L84" s="14" t="s">
        <v>210</v>
      </c>
      <c r="M84" s="14" t="s">
        <v>111</v>
      </c>
      <c r="N84" s="14" t="s">
        <v>112</v>
      </c>
      <c r="O84" s="14" t="s">
        <v>113</v>
      </c>
      <c r="P84" s="14" t="s">
        <v>789</v>
      </c>
      <c r="Q84" s="14" t="s">
        <v>523</v>
      </c>
      <c r="R84" s="14"/>
      <c r="S84" s="14"/>
      <c r="T84" s="14"/>
      <c r="U84" s="14" t="s">
        <v>22</v>
      </c>
      <c r="V84" s="14"/>
      <c r="W84" s="14" t="s">
        <v>381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 t="s">
        <v>803</v>
      </c>
      <c r="BR84" s="14" t="s">
        <v>804</v>
      </c>
      <c r="BS84" s="14" t="s">
        <v>805</v>
      </c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R84" s="1" t="s">
        <v>152</v>
      </c>
      <c r="CS84" s="1" t="s">
        <v>496</v>
      </c>
      <c r="CT84" s="14" t="s">
        <v>239</v>
      </c>
      <c r="CU84" s="1" t="s">
        <v>192</v>
      </c>
      <c r="CV84" s="1" t="s">
        <v>124</v>
      </c>
      <c r="CW84" s="3"/>
      <c r="DG84" s="4"/>
    </row>
    <row r="85" customFormat="false" ht="11.25" hidden="false" customHeight="true" outlineLevel="0" collapsed="false">
      <c r="A85" s="14" t="n">
        <v>84</v>
      </c>
      <c r="B85" s="15" t="n">
        <v>46157.4344417361</v>
      </c>
      <c r="C85" s="15" t="n">
        <v>46157.4397889583</v>
      </c>
      <c r="D85" s="14" t="s">
        <v>806</v>
      </c>
      <c r="E85" s="14" t="s">
        <v>807</v>
      </c>
      <c r="F85" s="14" t="s">
        <v>807</v>
      </c>
      <c r="G85" s="14" t="s">
        <v>808</v>
      </c>
      <c r="H85" s="15" t="n">
        <v>46150</v>
      </c>
      <c r="I85" s="15" t="s">
        <v>172</v>
      </c>
      <c r="J85" s="14" t="s">
        <v>108</v>
      </c>
      <c r="K85" s="14" t="s">
        <v>364</v>
      </c>
      <c r="L85" s="14" t="s">
        <v>296</v>
      </c>
      <c r="M85" s="14" t="s">
        <v>111</v>
      </c>
      <c r="N85" s="14" t="s">
        <v>145</v>
      </c>
      <c r="O85" s="14" t="s">
        <v>113</v>
      </c>
      <c r="P85" s="14" t="s">
        <v>809</v>
      </c>
      <c r="Q85" s="14" t="s">
        <v>810</v>
      </c>
      <c r="R85" s="14"/>
      <c r="S85" s="14"/>
      <c r="T85" s="14"/>
      <c r="U85" s="14" t="s">
        <v>22</v>
      </c>
      <c r="V85" s="14"/>
      <c r="W85" s="14" t="s">
        <v>715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 t="s">
        <v>811</v>
      </c>
      <c r="BI85" s="14" t="s">
        <v>812</v>
      </c>
      <c r="BJ85" s="14" t="s">
        <v>813</v>
      </c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R85" s="1" t="s">
        <v>152</v>
      </c>
      <c r="CS85" s="1" t="s">
        <v>814</v>
      </c>
      <c r="CT85" s="14"/>
      <c r="CU85" s="1" t="s">
        <v>167</v>
      </c>
      <c r="CV85" s="1" t="s">
        <v>124</v>
      </c>
      <c r="CW85" s="3" t="s">
        <v>621</v>
      </c>
      <c r="DG85" s="4"/>
    </row>
    <row r="86" customFormat="false" ht="11.25" hidden="false" customHeight="true" outlineLevel="0" collapsed="false">
      <c r="A86" s="14" t="n">
        <v>85</v>
      </c>
      <c r="B86" s="15" t="n">
        <v>46133.8198705093</v>
      </c>
      <c r="C86" s="15" t="n">
        <v>46133.8375904167</v>
      </c>
      <c r="D86" s="14" t="s">
        <v>815</v>
      </c>
      <c r="E86" s="14" t="s">
        <v>816</v>
      </c>
      <c r="F86" s="14" t="s">
        <v>816</v>
      </c>
      <c r="G86" s="14" t="s">
        <v>817</v>
      </c>
      <c r="H86" s="15" t="n">
        <v>46114</v>
      </c>
      <c r="I86" s="15" t="s">
        <v>244</v>
      </c>
      <c r="J86" s="14" t="s">
        <v>108</v>
      </c>
      <c r="K86" s="14" t="s">
        <v>818</v>
      </c>
      <c r="L86" s="14" t="s">
        <v>286</v>
      </c>
      <c r="M86" s="14" t="s">
        <v>131</v>
      </c>
      <c r="N86" s="14" t="s">
        <v>145</v>
      </c>
      <c r="O86" s="14" t="s">
        <v>113</v>
      </c>
      <c r="P86" s="14" t="s">
        <v>578</v>
      </c>
      <c r="Q86" s="14" t="s">
        <v>819</v>
      </c>
      <c r="R86" s="14"/>
      <c r="S86" s="14"/>
      <c r="T86" s="14"/>
      <c r="U86" s="14" t="s">
        <v>22</v>
      </c>
      <c r="V86" s="14"/>
      <c r="W86" s="14" t="s">
        <v>298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 t="s">
        <v>820</v>
      </c>
      <c r="AW86" s="14" t="s">
        <v>821</v>
      </c>
      <c r="AX86" s="14" t="s">
        <v>668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R86" s="1" t="s">
        <v>227</v>
      </c>
      <c r="CS86" s="1" t="s">
        <v>352</v>
      </c>
      <c r="CT86" s="14" t="s">
        <v>822</v>
      </c>
      <c r="CU86" s="1" t="s">
        <v>167</v>
      </c>
      <c r="CV86" s="1" t="s">
        <v>124</v>
      </c>
      <c r="CW86" s="3"/>
      <c r="DG86" s="4"/>
    </row>
    <row r="87" customFormat="false" ht="11.25" hidden="false" customHeight="true" outlineLevel="0" collapsed="false">
      <c r="A87" s="14" t="n">
        <v>86</v>
      </c>
      <c r="B87" s="15" t="n">
        <v>46177.2270715625</v>
      </c>
      <c r="C87" s="15" t="n">
        <v>46177.2343169329</v>
      </c>
      <c r="D87" s="14" t="s">
        <v>823</v>
      </c>
      <c r="E87" s="14" t="s">
        <v>824</v>
      </c>
      <c r="F87" s="14" t="s">
        <v>824</v>
      </c>
      <c r="G87" s="14" t="s">
        <v>825</v>
      </c>
      <c r="H87" s="15" t="n">
        <v>46165</v>
      </c>
      <c r="I87" s="15" t="s">
        <v>172</v>
      </c>
      <c r="J87" s="14" t="s">
        <v>108</v>
      </c>
      <c r="K87" s="14" t="s">
        <v>826</v>
      </c>
      <c r="L87" s="14" t="s">
        <v>159</v>
      </c>
      <c r="M87" s="14" t="s">
        <v>111</v>
      </c>
      <c r="N87" s="14" t="s">
        <v>112</v>
      </c>
      <c r="O87" s="14" t="s">
        <v>325</v>
      </c>
      <c r="P87" s="14" t="s">
        <v>326</v>
      </c>
      <c r="Q87" s="14" t="s">
        <v>827</v>
      </c>
      <c r="R87" s="14"/>
      <c r="S87" s="14"/>
      <c r="T87" s="14"/>
      <c r="U87" s="14" t="s">
        <v>22</v>
      </c>
      <c r="V87" s="14"/>
      <c r="W87" s="14" t="s">
        <v>715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 t="s">
        <v>828</v>
      </c>
      <c r="BI87" s="14" t="s">
        <v>829</v>
      </c>
      <c r="BJ87" s="14" t="s">
        <v>830</v>
      </c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R87" s="1" t="s">
        <v>227</v>
      </c>
      <c r="CS87" s="1" t="s">
        <v>180</v>
      </c>
      <c r="CT87" s="14" t="s">
        <v>831</v>
      </c>
      <c r="CU87" s="1" t="s">
        <v>192</v>
      </c>
      <c r="CV87" s="1" t="s">
        <v>124</v>
      </c>
      <c r="CW87" s="3" t="s">
        <v>621</v>
      </c>
      <c r="DG87" s="4"/>
    </row>
    <row r="88" customFormat="false" ht="11.25" hidden="false" customHeight="true" outlineLevel="0" collapsed="false">
      <c r="A88" s="14" t="n">
        <v>87</v>
      </c>
      <c r="B88" s="15" t="n">
        <v>46127.1098482755</v>
      </c>
      <c r="C88" s="15" t="n">
        <v>46127.1179501273</v>
      </c>
      <c r="D88" s="14" t="s">
        <v>832</v>
      </c>
      <c r="E88" s="14" t="s">
        <v>833</v>
      </c>
      <c r="F88" s="14" t="s">
        <v>833</v>
      </c>
      <c r="G88" s="14" t="s">
        <v>834</v>
      </c>
      <c r="H88" s="15" t="n">
        <v>46123</v>
      </c>
      <c r="I88" s="15" t="s">
        <v>244</v>
      </c>
      <c r="J88" s="14" t="s">
        <v>108</v>
      </c>
      <c r="K88" s="14" t="s">
        <v>173</v>
      </c>
      <c r="L88" s="14" t="s">
        <v>197</v>
      </c>
      <c r="M88" s="14" t="s">
        <v>111</v>
      </c>
      <c r="N88" s="14" t="s">
        <v>145</v>
      </c>
      <c r="O88" s="14" t="s">
        <v>113</v>
      </c>
      <c r="P88" s="14" t="s">
        <v>566</v>
      </c>
      <c r="Q88" s="14" t="s">
        <v>259</v>
      </c>
      <c r="R88" s="14"/>
      <c r="S88" s="14"/>
      <c r="T88" s="14"/>
      <c r="U88" s="14" t="s">
        <v>22</v>
      </c>
      <c r="V88" s="14"/>
      <c r="W88" s="14" t="s">
        <v>135</v>
      </c>
      <c r="X88" s="14"/>
      <c r="Y88" s="14"/>
      <c r="Z88" s="14"/>
      <c r="AA88" s="14" t="s">
        <v>835</v>
      </c>
      <c r="AB88" s="14" t="s">
        <v>836</v>
      </c>
      <c r="AC88" s="14" t="s">
        <v>837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R88" s="1" t="s">
        <v>152</v>
      </c>
      <c r="CS88" s="1" t="s">
        <v>121</v>
      </c>
      <c r="CT88" s="14" t="s">
        <v>321</v>
      </c>
      <c r="CU88" s="1" t="s">
        <v>123</v>
      </c>
      <c r="CV88" s="1" t="s">
        <v>124</v>
      </c>
      <c r="CW88" s="3"/>
      <c r="DG88" s="4"/>
    </row>
    <row r="89" customFormat="false" ht="11.25" hidden="false" customHeight="true" outlineLevel="0" collapsed="false">
      <c r="A89" s="14" t="n">
        <v>88</v>
      </c>
      <c r="B89" s="15" t="n">
        <v>46127.8906712153</v>
      </c>
      <c r="C89" s="15" t="n">
        <v>46127.9075925116</v>
      </c>
      <c r="D89" s="14" t="s">
        <v>838</v>
      </c>
      <c r="E89" s="14" t="s">
        <v>839</v>
      </c>
      <c r="F89" s="14" t="s">
        <v>839</v>
      </c>
      <c r="G89" s="14" t="s">
        <v>840</v>
      </c>
      <c r="H89" s="15" t="n">
        <v>46127</v>
      </c>
      <c r="I89" s="15" t="s">
        <v>107</v>
      </c>
      <c r="J89" s="14" t="s">
        <v>108</v>
      </c>
      <c r="K89" s="14" t="s">
        <v>196</v>
      </c>
      <c r="L89" s="14" t="s">
        <v>246</v>
      </c>
      <c r="M89" s="14" t="s">
        <v>111</v>
      </c>
      <c r="N89" s="14" t="s">
        <v>112</v>
      </c>
      <c r="O89" s="14" t="s">
        <v>113</v>
      </c>
      <c r="P89" s="14" t="s">
        <v>406</v>
      </c>
      <c r="Q89" s="14" t="s">
        <v>841</v>
      </c>
      <c r="R89" s="14"/>
      <c r="S89" s="14"/>
      <c r="T89" s="14"/>
      <c r="U89" s="14" t="s">
        <v>22</v>
      </c>
      <c r="V89" s="14"/>
      <c r="W89" s="14" t="s">
        <v>381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 t="s">
        <v>842</v>
      </c>
      <c r="BR89" s="14" t="s">
        <v>843</v>
      </c>
      <c r="BS89" s="14" t="s">
        <v>844</v>
      </c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R89" s="1" t="s">
        <v>152</v>
      </c>
      <c r="CS89" s="1" t="s">
        <v>121</v>
      </c>
      <c r="CT89" s="14" t="s">
        <v>122</v>
      </c>
      <c r="CU89" s="1" t="s">
        <v>167</v>
      </c>
      <c r="CV89" s="1" t="s">
        <v>124</v>
      </c>
      <c r="CW89" s="3"/>
      <c r="DG89" s="4"/>
    </row>
    <row r="90" customFormat="false" ht="11.25" hidden="false" customHeight="true" outlineLevel="0" collapsed="false">
      <c r="A90" s="14" t="n">
        <v>89</v>
      </c>
      <c r="B90" s="15" t="n">
        <v>46156.6090361574</v>
      </c>
      <c r="C90" s="15" t="n">
        <v>46156.6248810648</v>
      </c>
      <c r="D90" s="14" t="s">
        <v>845</v>
      </c>
      <c r="E90" s="14" t="s">
        <v>846</v>
      </c>
      <c r="F90" s="14" t="s">
        <v>846</v>
      </c>
      <c r="G90" s="14" t="s">
        <v>847</v>
      </c>
      <c r="H90" s="15" t="n">
        <v>46145</v>
      </c>
      <c r="I90" s="15" t="s">
        <v>278</v>
      </c>
      <c r="J90" s="14" t="s">
        <v>108</v>
      </c>
      <c r="K90" s="14" t="s">
        <v>848</v>
      </c>
      <c r="L90" s="14" t="s">
        <v>159</v>
      </c>
      <c r="M90" s="14" t="s">
        <v>111</v>
      </c>
      <c r="N90" s="14" t="s">
        <v>112</v>
      </c>
      <c r="O90" s="14" t="s">
        <v>113</v>
      </c>
      <c r="P90" s="14" t="s">
        <v>439</v>
      </c>
      <c r="Q90" s="14" t="s">
        <v>849</v>
      </c>
      <c r="R90" s="14"/>
      <c r="S90" s="14"/>
      <c r="T90" s="14"/>
      <c r="U90" s="14" t="s">
        <v>22</v>
      </c>
      <c r="V90" s="14"/>
      <c r="W90" s="14" t="s">
        <v>148</v>
      </c>
      <c r="X90" s="14"/>
      <c r="Y90" s="14"/>
      <c r="Z90" s="14"/>
      <c r="AA90" s="14"/>
      <c r="AB90" s="14"/>
      <c r="AC90" s="14"/>
      <c r="AD90" s="14" t="s">
        <v>850</v>
      </c>
      <c r="AE90" s="14" t="s">
        <v>851</v>
      </c>
      <c r="AF90" s="14" t="s">
        <v>852</v>
      </c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R90" s="1" t="s">
        <v>152</v>
      </c>
      <c r="CS90" s="1" t="s">
        <v>180</v>
      </c>
      <c r="CT90" s="14" t="s">
        <v>853</v>
      </c>
      <c r="CU90" s="1" t="s">
        <v>192</v>
      </c>
      <c r="CV90" s="1" t="s">
        <v>124</v>
      </c>
      <c r="CW90" s="3"/>
      <c r="DG90" s="4"/>
    </row>
    <row r="91" customFormat="false" ht="11.25" hidden="false" customHeight="true" outlineLevel="0" collapsed="false">
      <c r="A91" s="14" t="n">
        <v>90</v>
      </c>
      <c r="B91" s="15" t="n">
        <v>46078.4990315162</v>
      </c>
      <c r="C91" s="15" t="n">
        <v>46078.5126889236</v>
      </c>
      <c r="D91" s="14" t="s">
        <v>854</v>
      </c>
      <c r="E91" s="14" t="s">
        <v>855</v>
      </c>
      <c r="F91" s="14" t="s">
        <v>855</v>
      </c>
      <c r="G91" s="14" t="s">
        <v>856</v>
      </c>
      <c r="H91" s="15" t="n">
        <v>46066</v>
      </c>
      <c r="I91" s="15" t="s">
        <v>172</v>
      </c>
      <c r="J91" s="14" t="s">
        <v>108</v>
      </c>
      <c r="K91" s="14" t="s">
        <v>143</v>
      </c>
      <c r="L91" s="14" t="s">
        <v>389</v>
      </c>
      <c r="M91" s="14" t="s">
        <v>111</v>
      </c>
      <c r="N91" s="14" t="s">
        <v>112</v>
      </c>
      <c r="O91" s="14" t="s">
        <v>113</v>
      </c>
      <c r="P91" s="14" t="s">
        <v>365</v>
      </c>
      <c r="Q91" s="14" t="s">
        <v>161</v>
      </c>
      <c r="R91" s="14"/>
      <c r="S91" s="14"/>
      <c r="T91" s="14"/>
      <c r="U91" s="14" t="s">
        <v>24</v>
      </c>
      <c r="V91" s="14"/>
      <c r="W91" s="14"/>
      <c r="X91" s="14"/>
      <c r="Y91" s="14" t="s">
        <v>260</v>
      </c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 t="s">
        <v>857</v>
      </c>
      <c r="CG91" s="14" t="s">
        <v>858</v>
      </c>
      <c r="CH91" s="14" t="s">
        <v>859</v>
      </c>
      <c r="CI91" s="14"/>
      <c r="CJ91" s="14"/>
      <c r="CK91" s="14"/>
      <c r="CL91" s="14"/>
      <c r="CR91" s="1" t="s">
        <v>227</v>
      </c>
      <c r="CS91" s="1" t="s">
        <v>352</v>
      </c>
      <c r="CT91" s="14"/>
      <c r="CU91" s="1" t="s">
        <v>123</v>
      </c>
      <c r="CV91" s="1" t="s">
        <v>124</v>
      </c>
      <c r="CW91" s="3"/>
      <c r="DG91" s="4"/>
    </row>
    <row r="92" customFormat="false" ht="11.25" hidden="false" customHeight="true" outlineLevel="0" collapsed="false">
      <c r="A92" s="14" t="n">
        <v>91</v>
      </c>
      <c r="B92" s="15" t="n">
        <v>46109.4541436921</v>
      </c>
      <c r="C92" s="15" t="n">
        <v>46109.4704284144</v>
      </c>
      <c r="D92" s="14" t="s">
        <v>860</v>
      </c>
      <c r="E92" s="14" t="s">
        <v>861</v>
      </c>
      <c r="F92" s="14" t="s">
        <v>861</v>
      </c>
      <c r="G92" s="14" t="s">
        <v>862</v>
      </c>
      <c r="H92" s="15" t="n">
        <v>46096</v>
      </c>
      <c r="I92" s="15" t="s">
        <v>172</v>
      </c>
      <c r="J92" s="14" t="s">
        <v>108</v>
      </c>
      <c r="K92" s="14" t="s">
        <v>364</v>
      </c>
      <c r="L92" s="14" t="s">
        <v>346</v>
      </c>
      <c r="M92" s="14" t="s">
        <v>111</v>
      </c>
      <c r="N92" s="14" t="s">
        <v>112</v>
      </c>
      <c r="O92" s="14" t="s">
        <v>863</v>
      </c>
      <c r="P92" s="14" t="s">
        <v>864</v>
      </c>
      <c r="Q92" s="14" t="s">
        <v>234</v>
      </c>
      <c r="R92" s="14"/>
      <c r="S92" s="14"/>
      <c r="T92" s="14"/>
      <c r="U92" s="14" t="s">
        <v>22</v>
      </c>
      <c r="V92" s="14"/>
      <c r="W92" s="14" t="s">
        <v>339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 t="s">
        <v>865</v>
      </c>
      <c r="BO92" s="14" t="s">
        <v>866</v>
      </c>
      <c r="BP92" s="14" t="s">
        <v>675</v>
      </c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R92" s="1" t="s">
        <v>152</v>
      </c>
      <c r="CS92" s="1" t="s">
        <v>121</v>
      </c>
      <c r="CT92" s="14" t="s">
        <v>122</v>
      </c>
      <c r="CU92" s="1" t="s">
        <v>123</v>
      </c>
      <c r="CV92" s="1" t="s">
        <v>124</v>
      </c>
      <c r="CW92" s="3"/>
      <c r="DG92" s="4"/>
    </row>
    <row r="93" customFormat="false" ht="11.25" hidden="false" customHeight="true" outlineLevel="0" collapsed="false">
      <c r="A93" s="14" t="n">
        <v>92</v>
      </c>
      <c r="B93" s="15" t="n">
        <v>46106.7550109028</v>
      </c>
      <c r="C93" s="15" t="n">
        <v>46106.773020162</v>
      </c>
      <c r="D93" s="14" t="s">
        <v>867</v>
      </c>
      <c r="E93" s="14" t="s">
        <v>868</v>
      </c>
      <c r="F93" s="14" t="s">
        <v>868</v>
      </c>
      <c r="G93" s="14" t="s">
        <v>869</v>
      </c>
      <c r="H93" s="15" t="n">
        <v>46095</v>
      </c>
      <c r="I93" s="15" t="s">
        <v>244</v>
      </c>
      <c r="J93" s="14" t="s">
        <v>295</v>
      </c>
      <c r="K93" s="14" t="s">
        <v>364</v>
      </c>
      <c r="L93" s="14" t="s">
        <v>491</v>
      </c>
      <c r="M93" s="14" t="s">
        <v>111</v>
      </c>
      <c r="N93" s="14" t="s">
        <v>145</v>
      </c>
      <c r="O93" s="14" t="s">
        <v>113</v>
      </c>
      <c r="P93" s="14" t="s">
        <v>870</v>
      </c>
      <c r="Q93" s="14" t="s">
        <v>757</v>
      </c>
      <c r="R93" s="14" t="s">
        <v>871</v>
      </c>
      <c r="S93" s="14"/>
      <c r="T93" s="14"/>
      <c r="U93" s="14" t="s">
        <v>23</v>
      </c>
      <c r="V93" s="14"/>
      <c r="W93" s="14"/>
      <c r="X93" s="14" t="s">
        <v>503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R93" s="1" t="s">
        <v>120</v>
      </c>
      <c r="CS93" s="1" t="s">
        <v>121</v>
      </c>
      <c r="CT93" s="14" t="s">
        <v>122</v>
      </c>
      <c r="CU93" s="1" t="s">
        <v>192</v>
      </c>
      <c r="CV93" s="1" t="s">
        <v>124</v>
      </c>
      <c r="CW93" s="3"/>
      <c r="DG93" s="4"/>
    </row>
    <row r="94" customFormat="false" ht="11.25" hidden="false" customHeight="true" outlineLevel="0" collapsed="false">
      <c r="A94" s="14" t="n">
        <v>93</v>
      </c>
      <c r="B94" s="15" t="n">
        <v>46175.8876630093</v>
      </c>
      <c r="C94" s="15" t="n">
        <v>46175.9024778241</v>
      </c>
      <c r="D94" s="14" t="s">
        <v>872</v>
      </c>
      <c r="E94" s="14" t="s">
        <v>873</v>
      </c>
      <c r="F94" s="14" t="s">
        <v>873</v>
      </c>
      <c r="G94" s="14" t="s">
        <v>874</v>
      </c>
      <c r="H94" s="15" t="n">
        <v>46167</v>
      </c>
      <c r="I94" s="15" t="s">
        <v>278</v>
      </c>
      <c r="J94" s="14" t="s">
        <v>128</v>
      </c>
      <c r="K94" s="14" t="s">
        <v>462</v>
      </c>
      <c r="L94" s="14" t="s">
        <v>184</v>
      </c>
      <c r="M94" s="14" t="s">
        <v>111</v>
      </c>
      <c r="N94" s="14" t="s">
        <v>112</v>
      </c>
      <c r="O94" s="14" t="s">
        <v>132</v>
      </c>
      <c r="P94" s="14" t="s">
        <v>736</v>
      </c>
      <c r="Q94" s="14" t="s">
        <v>758</v>
      </c>
      <c r="R94" s="14"/>
      <c r="S94" s="14"/>
      <c r="T94" s="14"/>
      <c r="U94" s="14" t="s">
        <v>21</v>
      </c>
      <c r="V94" s="14" t="s">
        <v>250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 t="s">
        <v>875</v>
      </c>
      <c r="BF94" s="14" t="s">
        <v>745</v>
      </c>
      <c r="BG94" s="14" t="s">
        <v>876</v>
      </c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R94" s="1" t="s">
        <v>152</v>
      </c>
      <c r="CS94" s="1" t="s">
        <v>228</v>
      </c>
      <c r="CT94" s="14" t="s">
        <v>122</v>
      </c>
      <c r="CU94" s="1" t="s">
        <v>192</v>
      </c>
      <c r="CV94" s="1" t="s">
        <v>124</v>
      </c>
      <c r="CW94" s="3"/>
      <c r="DG94" s="4"/>
    </row>
    <row r="95" customFormat="false" ht="11.25" hidden="false" customHeight="true" outlineLevel="0" collapsed="false">
      <c r="A95" s="14" t="n">
        <v>94</v>
      </c>
      <c r="B95" s="15" t="n">
        <v>46118.6000153009</v>
      </c>
      <c r="C95" s="15" t="n">
        <v>46118.613626412</v>
      </c>
      <c r="D95" s="14" t="s">
        <v>877</v>
      </c>
      <c r="E95" s="14" t="s">
        <v>878</v>
      </c>
      <c r="F95" s="14" t="s">
        <v>878</v>
      </c>
      <c r="G95" s="14" t="s">
        <v>879</v>
      </c>
      <c r="H95" s="15" t="n">
        <v>46116</v>
      </c>
      <c r="I95" s="15" t="s">
        <v>157</v>
      </c>
      <c r="J95" s="14" t="s">
        <v>128</v>
      </c>
      <c r="K95" s="14" t="s">
        <v>232</v>
      </c>
      <c r="L95" s="14" t="s">
        <v>144</v>
      </c>
      <c r="M95" s="14" t="s">
        <v>111</v>
      </c>
      <c r="N95" s="14" t="s">
        <v>112</v>
      </c>
      <c r="O95" s="14" t="s">
        <v>113</v>
      </c>
      <c r="P95" s="14" t="s">
        <v>652</v>
      </c>
      <c r="Q95" s="14" t="s">
        <v>613</v>
      </c>
      <c r="R95" s="14"/>
      <c r="S95" s="14"/>
      <c r="T95" s="14" t="s">
        <v>880</v>
      </c>
      <c r="U95" s="14" t="s">
        <v>24</v>
      </c>
      <c r="V95" s="14"/>
      <c r="W95" s="14"/>
      <c r="X95" s="14"/>
      <c r="Y95" s="14" t="s">
        <v>19</v>
      </c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R95" s="1" t="s">
        <v>152</v>
      </c>
      <c r="CS95" s="1" t="s">
        <v>180</v>
      </c>
      <c r="CT95" s="14" t="s">
        <v>122</v>
      </c>
      <c r="CU95" s="1" t="s">
        <v>123</v>
      </c>
      <c r="CV95" s="1" t="s">
        <v>168</v>
      </c>
      <c r="CW95" s="3"/>
      <c r="DG95" s="4"/>
    </row>
    <row r="96" customFormat="false" ht="11.25" hidden="false" customHeight="true" outlineLevel="0" collapsed="false">
      <c r="A96" s="14" t="n">
        <v>95</v>
      </c>
      <c r="B96" s="15" t="n">
        <v>46058.147423912</v>
      </c>
      <c r="C96" s="15" t="n">
        <v>46058.1585234491</v>
      </c>
      <c r="D96" s="14" t="s">
        <v>881</v>
      </c>
      <c r="E96" s="14" t="s">
        <v>882</v>
      </c>
      <c r="F96" s="14" t="s">
        <v>882</v>
      </c>
      <c r="G96" s="14" t="s">
        <v>883</v>
      </c>
      <c r="H96" s="15" t="n">
        <v>46047</v>
      </c>
      <c r="I96" s="15" t="s">
        <v>244</v>
      </c>
      <c r="J96" s="14" t="s">
        <v>295</v>
      </c>
      <c r="K96" s="14" t="s">
        <v>884</v>
      </c>
      <c r="L96" s="14" t="s">
        <v>144</v>
      </c>
      <c r="M96" s="14" t="s">
        <v>111</v>
      </c>
      <c r="N96" s="14" t="s">
        <v>112</v>
      </c>
      <c r="O96" s="14" t="s">
        <v>132</v>
      </c>
      <c r="P96" s="14" t="s">
        <v>885</v>
      </c>
      <c r="Q96" s="14" t="s">
        <v>175</v>
      </c>
      <c r="R96" s="14"/>
      <c r="S96" s="14"/>
      <c r="T96" s="14"/>
      <c r="U96" s="14" t="s">
        <v>21</v>
      </c>
      <c r="V96" s="14" t="s">
        <v>457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 t="s">
        <v>886</v>
      </c>
      <c r="AN96" s="14" t="s">
        <v>887</v>
      </c>
      <c r="AO96" s="14" t="s">
        <v>746</v>
      </c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R96" s="1" t="s">
        <v>227</v>
      </c>
      <c r="CS96" s="1" t="s">
        <v>264</v>
      </c>
      <c r="CT96" s="14" t="s">
        <v>122</v>
      </c>
      <c r="CU96" s="1" t="s">
        <v>123</v>
      </c>
      <c r="CV96" s="1" t="s">
        <v>139</v>
      </c>
      <c r="CW96" s="3"/>
      <c r="DG96" s="4"/>
    </row>
    <row r="97" customFormat="false" ht="11.25" hidden="false" customHeight="true" outlineLevel="0" collapsed="false">
      <c r="A97" s="14" t="n">
        <v>96</v>
      </c>
      <c r="B97" s="15" t="n">
        <v>46115.1985228472</v>
      </c>
      <c r="C97" s="15" t="n">
        <v>46115.2193446065</v>
      </c>
      <c r="D97" s="14" t="s">
        <v>888</v>
      </c>
      <c r="E97" s="14" t="s">
        <v>889</v>
      </c>
      <c r="F97" s="14" t="s">
        <v>890</v>
      </c>
      <c r="G97" s="14" t="s">
        <v>891</v>
      </c>
      <c r="H97" s="15" t="n">
        <v>46097</v>
      </c>
      <c r="I97" s="10" t="s">
        <v>107</v>
      </c>
      <c r="J97" s="14" t="s">
        <v>295</v>
      </c>
      <c r="K97" s="14" t="s">
        <v>892</v>
      </c>
      <c r="L97" s="14" t="s">
        <v>130</v>
      </c>
      <c r="M97" s="14" t="s">
        <v>111</v>
      </c>
      <c r="N97" s="14" t="s">
        <v>112</v>
      </c>
      <c r="O97" s="14" t="s">
        <v>325</v>
      </c>
      <c r="P97" s="14" t="s">
        <v>397</v>
      </c>
      <c r="Q97" s="14" t="s">
        <v>893</v>
      </c>
      <c r="R97" s="14"/>
      <c r="S97" s="14"/>
      <c r="T97" s="14"/>
      <c r="U97" s="14" t="s">
        <v>22</v>
      </c>
      <c r="V97" s="14"/>
      <c r="W97" s="14" t="s">
        <v>381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 t="s">
        <v>803</v>
      </c>
      <c r="BR97" s="14" t="s">
        <v>894</v>
      </c>
      <c r="BS97" s="14" t="s">
        <v>738</v>
      </c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R97" s="1" t="s">
        <v>152</v>
      </c>
      <c r="CS97" s="1" t="s">
        <v>121</v>
      </c>
      <c r="CT97" s="14"/>
      <c r="CU97" s="1" t="s">
        <v>123</v>
      </c>
      <c r="CV97" s="1" t="s">
        <v>168</v>
      </c>
      <c r="CW97" s="3"/>
      <c r="DG97" s="4"/>
    </row>
    <row r="98" customFormat="false" ht="11.25" hidden="false" customHeight="true" outlineLevel="0" collapsed="false">
      <c r="A98" s="14" t="n">
        <v>97</v>
      </c>
      <c r="B98" s="15" t="n">
        <v>46083.9298963773</v>
      </c>
      <c r="C98" s="15" t="n">
        <v>46083.9334264699</v>
      </c>
      <c r="D98" s="14" t="s">
        <v>895</v>
      </c>
      <c r="E98" s="14" t="s">
        <v>896</v>
      </c>
      <c r="F98" s="14" t="s">
        <v>896</v>
      </c>
      <c r="G98" s="14" t="s">
        <v>897</v>
      </c>
      <c r="H98" s="15" t="n">
        <v>46074</v>
      </c>
      <c r="I98" s="10" t="s">
        <v>278</v>
      </c>
      <c r="J98" s="14" t="s">
        <v>295</v>
      </c>
      <c r="K98" s="14" t="s">
        <v>898</v>
      </c>
      <c r="L98" s="14" t="s">
        <v>144</v>
      </c>
      <c r="M98" s="14" t="s">
        <v>111</v>
      </c>
      <c r="N98" s="14" t="s">
        <v>145</v>
      </c>
      <c r="O98" s="14" t="s">
        <v>336</v>
      </c>
      <c r="P98" s="14" t="s">
        <v>199</v>
      </c>
      <c r="Q98" s="14" t="s">
        <v>899</v>
      </c>
      <c r="R98" s="14"/>
      <c r="S98" s="14"/>
      <c r="T98" s="14"/>
      <c r="U98" s="14" t="s">
        <v>21</v>
      </c>
      <c r="V98" s="14" t="s">
        <v>250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 t="s">
        <v>900</v>
      </c>
      <c r="BF98" s="14" t="s">
        <v>329</v>
      </c>
      <c r="BG98" s="14" t="s">
        <v>901</v>
      </c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R98" s="1" t="s">
        <v>152</v>
      </c>
      <c r="CS98" s="1" t="s">
        <v>352</v>
      </c>
      <c r="CT98" s="14"/>
      <c r="CU98" s="1" t="s">
        <v>192</v>
      </c>
      <c r="CV98" s="1" t="s">
        <v>124</v>
      </c>
      <c r="CW98" s="3"/>
      <c r="DG98" s="4"/>
    </row>
    <row r="99" customFormat="false" ht="11.25" hidden="false" customHeight="true" outlineLevel="0" collapsed="false">
      <c r="A99" s="14" t="n">
        <v>98</v>
      </c>
      <c r="B99" s="15" t="n">
        <v>46092.1637607986</v>
      </c>
      <c r="C99" s="15" t="n">
        <v>46092.1804274653</v>
      </c>
      <c r="D99" s="14" t="s">
        <v>902</v>
      </c>
      <c r="E99" s="14" t="s">
        <v>903</v>
      </c>
      <c r="F99" s="14" t="s">
        <v>903</v>
      </c>
      <c r="G99" s="14" t="s">
        <v>904</v>
      </c>
      <c r="H99" s="15" t="n">
        <v>46084</v>
      </c>
      <c r="I99" s="15" t="s">
        <v>713</v>
      </c>
      <c r="J99" s="14" t="s">
        <v>108</v>
      </c>
      <c r="K99" s="14" t="s">
        <v>143</v>
      </c>
      <c r="L99" s="14" t="s">
        <v>296</v>
      </c>
      <c r="M99" s="14" t="s">
        <v>131</v>
      </c>
      <c r="N99" s="14" t="s">
        <v>112</v>
      </c>
      <c r="O99" s="14" t="s">
        <v>132</v>
      </c>
      <c r="P99" s="14" t="s">
        <v>864</v>
      </c>
      <c r="Q99" s="14" t="s">
        <v>905</v>
      </c>
      <c r="R99" s="14"/>
      <c r="S99" s="14"/>
      <c r="T99" s="14"/>
      <c r="U99" s="14" t="s">
        <v>21</v>
      </c>
      <c r="V99" s="14" t="s">
        <v>374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 t="s">
        <v>906</v>
      </c>
      <c r="AK99" s="14" t="s">
        <v>907</v>
      </c>
      <c r="AL99" s="14" t="s">
        <v>908</v>
      </c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R99" s="1" t="s">
        <v>120</v>
      </c>
      <c r="CS99" s="1" t="s">
        <v>121</v>
      </c>
      <c r="CT99" s="14"/>
      <c r="CU99" s="1" t="s">
        <v>123</v>
      </c>
      <c r="CV99" s="1" t="s">
        <v>168</v>
      </c>
      <c r="CW99" s="3"/>
      <c r="DG99" s="4"/>
    </row>
    <row r="100" customFormat="false" ht="11.25" hidden="false" customHeight="true" outlineLevel="0" collapsed="false">
      <c r="A100" s="14" t="n">
        <v>99</v>
      </c>
      <c r="B100" s="15" t="n">
        <v>46076.0202156482</v>
      </c>
      <c r="C100" s="15" t="n">
        <v>46076.0285952778</v>
      </c>
      <c r="D100" s="14" t="s">
        <v>909</v>
      </c>
      <c r="E100" s="14" t="s">
        <v>910</v>
      </c>
      <c r="F100" s="14" t="s">
        <v>910</v>
      </c>
      <c r="G100" s="14" t="s">
        <v>911</v>
      </c>
      <c r="H100" s="15" t="n">
        <v>46059</v>
      </c>
      <c r="I100" s="15" t="s">
        <v>172</v>
      </c>
      <c r="J100" s="14" t="s">
        <v>108</v>
      </c>
      <c r="K100" s="14" t="s">
        <v>245</v>
      </c>
      <c r="L100" s="14" t="s">
        <v>286</v>
      </c>
      <c r="M100" s="14" t="s">
        <v>111</v>
      </c>
      <c r="N100" s="14" t="s">
        <v>145</v>
      </c>
      <c r="O100" s="14" t="s">
        <v>113</v>
      </c>
      <c r="P100" s="14" t="s">
        <v>864</v>
      </c>
      <c r="Q100" s="14" t="s">
        <v>249</v>
      </c>
      <c r="R100" s="14"/>
      <c r="S100" s="14"/>
      <c r="T100" s="14"/>
      <c r="U100" s="14" t="s">
        <v>24</v>
      </c>
      <c r="V100" s="14"/>
      <c r="W100" s="14"/>
      <c r="X100" s="14"/>
      <c r="Y100" s="14" t="s">
        <v>214</v>
      </c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 t="s">
        <v>912</v>
      </c>
      <c r="CD100" s="14" t="s">
        <v>913</v>
      </c>
      <c r="CE100" s="14" t="s">
        <v>914</v>
      </c>
      <c r="CF100" s="14"/>
      <c r="CG100" s="14"/>
      <c r="CH100" s="14"/>
      <c r="CI100" s="14"/>
      <c r="CJ100" s="14"/>
      <c r="CK100" s="14"/>
      <c r="CL100" s="14"/>
      <c r="CR100" s="1" t="s">
        <v>152</v>
      </c>
      <c r="CS100" s="1" t="s">
        <v>180</v>
      </c>
      <c r="CT100" s="14" t="s">
        <v>122</v>
      </c>
      <c r="CU100" s="1" t="s">
        <v>123</v>
      </c>
      <c r="CV100" s="1" t="s">
        <v>168</v>
      </c>
      <c r="CW100" s="3"/>
      <c r="DG100" s="4"/>
    </row>
    <row r="101" customFormat="false" ht="11.25" hidden="false" customHeight="true" outlineLevel="0" collapsed="false">
      <c r="A101" s="14" t="n">
        <v>100</v>
      </c>
      <c r="B101" s="15" t="n">
        <v>46109.5320587269</v>
      </c>
      <c r="C101" s="15" t="n">
        <v>46109.538956875</v>
      </c>
      <c r="D101" s="14" t="s">
        <v>915</v>
      </c>
      <c r="E101" s="14" t="s">
        <v>916</v>
      </c>
      <c r="F101" s="14" t="s">
        <v>917</v>
      </c>
      <c r="G101" s="14" t="s">
        <v>918</v>
      </c>
      <c r="H101" s="15" t="n">
        <v>46102</v>
      </c>
      <c r="I101" s="15" t="s">
        <v>107</v>
      </c>
      <c r="J101" s="14" t="s">
        <v>295</v>
      </c>
      <c r="K101" s="14" t="s">
        <v>173</v>
      </c>
      <c r="L101" s="14" t="s">
        <v>184</v>
      </c>
      <c r="M101" s="14" t="s">
        <v>111</v>
      </c>
      <c r="N101" s="14" t="s">
        <v>198</v>
      </c>
      <c r="O101" s="14" t="s">
        <v>113</v>
      </c>
      <c r="P101" s="14" t="s">
        <v>174</v>
      </c>
      <c r="Q101" s="14" t="s">
        <v>523</v>
      </c>
      <c r="R101" s="14"/>
      <c r="S101" s="14"/>
      <c r="T101" s="14"/>
      <c r="U101" s="14" t="s">
        <v>22</v>
      </c>
      <c r="V101" s="14"/>
      <c r="W101" s="14" t="s">
        <v>271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 t="s">
        <v>919</v>
      </c>
      <c r="BL101" s="14" t="s">
        <v>273</v>
      </c>
      <c r="BM101" s="14" t="s">
        <v>920</v>
      </c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R101" s="1" t="s">
        <v>152</v>
      </c>
      <c r="CS101" s="1" t="s">
        <v>121</v>
      </c>
      <c r="CT101" s="14"/>
      <c r="CU101" s="1" t="s">
        <v>192</v>
      </c>
      <c r="CV101" s="1" t="s">
        <v>124</v>
      </c>
      <c r="CW101" s="3"/>
      <c r="DG101" s="4"/>
    </row>
    <row r="102" customFormat="false" ht="11.25" hidden="false" customHeight="true" outlineLevel="0" collapsed="false">
      <c r="A102" s="14"/>
      <c r="B102" s="15"/>
      <c r="C102" s="15"/>
      <c r="D102" s="14"/>
      <c r="E102" s="14"/>
      <c r="F102" s="14"/>
      <c r="G102" s="14"/>
      <c r="H102" s="15"/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T102" s="14"/>
      <c r="CW102" s="3"/>
      <c r="DG102" s="4"/>
    </row>
    <row r="103" customFormat="false" ht="11.25" hidden="false" customHeight="true" outlineLevel="0" collapsed="false">
      <c r="A103" s="14"/>
      <c r="B103" s="15"/>
      <c r="C103" s="15"/>
      <c r="D103" s="14"/>
      <c r="E103" s="14"/>
      <c r="F103" s="14"/>
      <c r="G103" s="14"/>
      <c r="H103" s="15"/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T103" s="14"/>
      <c r="CW103" s="3"/>
      <c r="DG103" s="4"/>
    </row>
    <row r="104" customFormat="false" ht="11.25" hidden="false" customHeight="true" outlineLevel="0" collapsed="false">
      <c r="A104" s="14"/>
      <c r="B104" s="15"/>
      <c r="C104" s="15"/>
      <c r="D104" s="14"/>
      <c r="E104" s="14"/>
      <c r="F104" s="14"/>
      <c r="G104" s="14"/>
      <c r="H104" s="15"/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T104" s="14"/>
      <c r="CW104" s="3"/>
      <c r="DG104" s="4"/>
    </row>
    <row r="105" customFormat="false" ht="11.25" hidden="false" customHeight="true" outlineLevel="0" collapsed="false">
      <c r="A105" s="14"/>
      <c r="B105" s="15"/>
      <c r="C105" s="15"/>
      <c r="D105" s="14"/>
      <c r="E105" s="14"/>
      <c r="F105" s="14"/>
      <c r="G105" s="14"/>
      <c r="H105" s="15"/>
      <c r="I105" s="10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T105" s="14"/>
      <c r="CW105" s="3"/>
      <c r="DG105" s="4"/>
    </row>
    <row r="106" customFormat="false" ht="11.25" hidden="false" customHeight="true" outlineLevel="0" collapsed="false">
      <c r="A106" s="14"/>
      <c r="B106" s="15"/>
      <c r="C106" s="15"/>
      <c r="D106" s="14"/>
      <c r="E106" s="14"/>
      <c r="F106" s="14"/>
      <c r="G106" s="14"/>
      <c r="H106" s="15"/>
      <c r="I106" s="10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T106" s="14"/>
      <c r="CW106" s="3"/>
      <c r="DG106" s="4"/>
    </row>
    <row r="107" customFormat="false" ht="11.25" hidden="false" customHeight="true" outlineLevel="0" collapsed="false">
      <c r="A107" s="14"/>
      <c r="B107" s="15"/>
      <c r="C107" s="15"/>
      <c r="D107" s="14"/>
      <c r="E107" s="14"/>
      <c r="F107" s="14"/>
      <c r="G107" s="14"/>
      <c r="H107" s="15"/>
      <c r="I107" s="15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T107" s="14"/>
      <c r="CW107" s="3"/>
      <c r="DG107" s="4"/>
    </row>
    <row r="108" customFormat="false" ht="11.25" hidden="false" customHeight="true" outlineLevel="0" collapsed="false">
      <c r="A108" s="14"/>
      <c r="B108" s="15"/>
      <c r="C108" s="15"/>
      <c r="D108" s="14"/>
      <c r="E108" s="14"/>
      <c r="F108" s="14"/>
      <c r="G108" s="14"/>
      <c r="H108" s="15"/>
      <c r="I108" s="10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T108" s="14"/>
      <c r="CW108" s="3"/>
      <c r="DG108" s="4"/>
    </row>
    <row r="109" customFormat="false" ht="11.25" hidden="false" customHeight="true" outlineLevel="0" collapsed="false">
      <c r="A109" s="14"/>
      <c r="B109" s="15"/>
      <c r="C109" s="15"/>
      <c r="D109" s="14"/>
      <c r="E109" s="14"/>
      <c r="F109" s="14"/>
      <c r="G109" s="14"/>
      <c r="H109" s="15"/>
      <c r="I109" s="10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T109" s="14"/>
      <c r="CW109" s="3"/>
      <c r="DG109" s="4"/>
    </row>
    <row r="110" customFormat="false" ht="11.25" hidden="false" customHeight="true" outlineLevel="0" collapsed="false">
      <c r="A110" s="14"/>
      <c r="B110" s="15"/>
      <c r="C110" s="15"/>
      <c r="D110" s="14"/>
      <c r="E110" s="14"/>
      <c r="F110" s="14"/>
      <c r="G110" s="14"/>
      <c r="H110" s="15"/>
      <c r="I110" s="15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T110" s="14"/>
      <c r="CW110" s="3"/>
      <c r="DG110" s="4"/>
    </row>
    <row r="111" customFormat="false" ht="11.25" hidden="false" customHeight="true" outlineLevel="0" collapsed="false">
      <c r="A111" s="14"/>
      <c r="B111" s="15"/>
      <c r="C111" s="15"/>
      <c r="D111" s="14"/>
      <c r="E111" s="14"/>
      <c r="F111" s="14"/>
      <c r="G111" s="14"/>
      <c r="H111" s="15"/>
      <c r="I111" s="15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T111" s="14"/>
      <c r="CW111" s="3"/>
      <c r="DG111" s="4"/>
    </row>
    <row r="112" customFormat="false" ht="11.25" hidden="false" customHeight="true" outlineLevel="0" collapsed="false">
      <c r="A112" s="14"/>
      <c r="B112" s="15"/>
      <c r="C112" s="15"/>
      <c r="D112" s="14"/>
      <c r="E112" s="14"/>
      <c r="F112" s="14"/>
      <c r="G112" s="14"/>
      <c r="H112" s="15"/>
      <c r="I112" s="15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T112" s="14"/>
      <c r="CW112" s="3"/>
      <c r="DG112" s="4"/>
    </row>
    <row r="113" customFormat="false" ht="11.25" hidden="false" customHeight="true" outlineLevel="0" collapsed="false">
      <c r="A113" s="14"/>
      <c r="B113" s="15"/>
      <c r="C113" s="15"/>
      <c r="D113" s="14"/>
      <c r="E113" s="14"/>
      <c r="F113" s="14"/>
      <c r="G113" s="14"/>
      <c r="H113" s="15"/>
      <c r="I113" s="15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T113" s="14"/>
      <c r="CW113" s="3"/>
      <c r="DG113" s="4"/>
    </row>
    <row r="114" customFormat="false" ht="11.25" hidden="false" customHeight="true" outlineLevel="0" collapsed="false">
      <c r="A114" s="14"/>
      <c r="B114" s="15"/>
      <c r="C114" s="15"/>
      <c r="D114" s="14"/>
      <c r="E114" s="14"/>
      <c r="F114" s="14"/>
      <c r="G114" s="14"/>
      <c r="H114" s="15"/>
      <c r="I114" s="10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T114" s="14"/>
      <c r="CW114" s="3"/>
      <c r="DG114" s="4"/>
    </row>
    <row r="115" customFormat="false" ht="11.25" hidden="false" customHeight="true" outlineLevel="0" collapsed="false">
      <c r="A115" s="14"/>
      <c r="B115" s="15"/>
      <c r="C115" s="15"/>
      <c r="D115" s="14"/>
      <c r="E115" s="14"/>
      <c r="F115" s="14"/>
      <c r="G115" s="14"/>
      <c r="H115" s="15"/>
      <c r="I115" s="10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T115" s="14"/>
      <c r="CW115" s="3"/>
      <c r="DG115" s="4"/>
    </row>
    <row r="116" customFormat="false" ht="11.25" hidden="false" customHeight="true" outlineLevel="0" collapsed="false">
      <c r="A116" s="14"/>
      <c r="B116" s="15"/>
      <c r="C116" s="15"/>
      <c r="D116" s="14"/>
      <c r="E116" s="14"/>
      <c r="F116" s="14"/>
      <c r="G116" s="14"/>
      <c r="H116" s="15"/>
      <c r="I116" s="10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T116" s="14"/>
      <c r="CW116" s="3"/>
      <c r="DG116" s="4"/>
    </row>
    <row r="117" customFormat="false" ht="11.25" hidden="false" customHeight="true" outlineLevel="0" collapsed="false">
      <c r="A117" s="14"/>
      <c r="B117" s="15"/>
      <c r="C117" s="15"/>
      <c r="D117" s="14"/>
      <c r="E117" s="14"/>
      <c r="F117" s="14"/>
      <c r="G117" s="14"/>
      <c r="H117" s="15"/>
      <c r="I117" s="15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T117" s="14"/>
      <c r="CW117" s="3"/>
      <c r="DG117" s="4"/>
    </row>
    <row r="118" customFormat="false" ht="11.25" hidden="false" customHeight="true" outlineLevel="0" collapsed="false">
      <c r="A118" s="14"/>
      <c r="B118" s="15"/>
      <c r="C118" s="15"/>
      <c r="D118" s="14"/>
      <c r="E118" s="14"/>
      <c r="F118" s="14"/>
      <c r="G118" s="14"/>
      <c r="H118" s="15"/>
      <c r="I118" s="10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T118" s="14"/>
      <c r="CW118" s="3"/>
      <c r="DG118" s="4"/>
    </row>
    <row r="119" customFormat="false" ht="11.25" hidden="false" customHeight="true" outlineLevel="0" collapsed="false">
      <c r="A119" s="14"/>
      <c r="B119" s="15"/>
      <c r="C119" s="15"/>
      <c r="D119" s="14"/>
      <c r="E119" s="14"/>
      <c r="F119" s="14"/>
      <c r="G119" s="14"/>
      <c r="H119" s="15"/>
      <c r="I119" s="15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T119" s="14"/>
      <c r="CW119" s="3"/>
      <c r="DG119" s="4"/>
    </row>
    <row r="120" customFormat="false" ht="11.25" hidden="false" customHeight="true" outlineLevel="0" collapsed="false">
      <c r="A120" s="14"/>
      <c r="B120" s="15"/>
      <c r="C120" s="15"/>
      <c r="D120" s="14"/>
      <c r="E120" s="14"/>
      <c r="F120" s="14"/>
      <c r="G120" s="14"/>
      <c r="H120" s="15"/>
      <c r="I120" s="15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T120" s="14"/>
      <c r="CW120" s="3"/>
      <c r="DG120" s="4"/>
    </row>
    <row r="121" customFormat="false" ht="11.25" hidden="false" customHeight="true" outlineLevel="0" collapsed="false">
      <c r="A121" s="14"/>
      <c r="B121" s="15"/>
      <c r="C121" s="15"/>
      <c r="D121" s="14"/>
      <c r="E121" s="14"/>
      <c r="F121" s="14"/>
      <c r="G121" s="14"/>
      <c r="H121" s="15"/>
      <c r="I121" s="15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T121" s="14"/>
      <c r="CW121" s="3"/>
      <c r="DG121" s="4"/>
    </row>
    <row r="122" customFormat="false" ht="11.25" hidden="false" customHeight="true" outlineLevel="0" collapsed="false">
      <c r="A122" s="14"/>
      <c r="B122" s="15"/>
      <c r="C122" s="15"/>
      <c r="D122" s="14"/>
      <c r="E122" s="14"/>
      <c r="F122" s="14"/>
      <c r="G122" s="14"/>
      <c r="H122" s="15"/>
      <c r="I122" s="15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T122" s="14"/>
      <c r="CW122" s="3"/>
      <c r="DG122" s="4"/>
    </row>
    <row r="123" customFormat="false" ht="11.25" hidden="false" customHeight="true" outlineLevel="0" collapsed="false">
      <c r="A123" s="14"/>
      <c r="B123" s="15"/>
      <c r="C123" s="15"/>
      <c r="D123" s="14"/>
      <c r="E123" s="14"/>
      <c r="F123" s="14"/>
      <c r="G123" s="14"/>
      <c r="H123" s="15"/>
      <c r="I123" s="15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T123" s="14"/>
      <c r="CW123" s="3"/>
      <c r="DG123" s="4"/>
    </row>
    <row r="124" customFormat="false" ht="11.25" hidden="false" customHeight="true" outlineLevel="0" collapsed="false">
      <c r="A124" s="14"/>
      <c r="B124" s="15"/>
      <c r="C124" s="15"/>
      <c r="D124" s="14"/>
      <c r="E124" s="14"/>
      <c r="F124" s="14"/>
      <c r="G124" s="14"/>
      <c r="H124" s="15"/>
      <c r="I124" s="15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T124" s="14"/>
      <c r="CW124" s="3"/>
      <c r="DG124" s="4"/>
    </row>
    <row r="125" customFormat="false" ht="11.25" hidden="false" customHeight="true" outlineLevel="0" collapsed="false">
      <c r="A125" s="14"/>
      <c r="B125" s="15"/>
      <c r="C125" s="15"/>
      <c r="D125" s="14"/>
      <c r="E125" s="14"/>
      <c r="F125" s="14"/>
      <c r="G125" s="14"/>
      <c r="H125" s="15"/>
      <c r="I125" s="15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T125" s="14"/>
      <c r="CW125" s="3"/>
      <c r="DG125" s="4"/>
    </row>
    <row r="126" customFormat="false" ht="11.25" hidden="false" customHeight="true" outlineLevel="0" collapsed="false">
      <c r="A126" s="14"/>
      <c r="B126" s="15"/>
      <c r="C126" s="15"/>
      <c r="D126" s="14"/>
      <c r="E126" s="14"/>
      <c r="F126" s="14"/>
      <c r="G126" s="14"/>
      <c r="H126" s="15"/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T126" s="14"/>
      <c r="CW126" s="3"/>
      <c r="DG126" s="4"/>
    </row>
    <row r="127" customFormat="false" ht="11.25" hidden="false" customHeight="true" outlineLevel="0" collapsed="false">
      <c r="A127" s="14"/>
      <c r="B127" s="15"/>
      <c r="C127" s="15"/>
      <c r="D127" s="14"/>
      <c r="E127" s="14"/>
      <c r="F127" s="14"/>
      <c r="G127" s="14"/>
      <c r="H127" s="15"/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T127" s="14"/>
      <c r="CW127" s="3"/>
      <c r="DG127" s="4"/>
    </row>
    <row r="128" customFormat="false" ht="11.25" hidden="false" customHeight="true" outlineLevel="0" collapsed="false">
      <c r="A128" s="14"/>
      <c r="B128" s="15"/>
      <c r="C128" s="15"/>
      <c r="D128" s="14"/>
      <c r="E128" s="14"/>
      <c r="F128" s="14"/>
      <c r="G128" s="14"/>
      <c r="H128" s="15"/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T128" s="14"/>
      <c r="CW128" s="3"/>
      <c r="DG128" s="4"/>
    </row>
    <row r="129" customFormat="false" ht="11.25" hidden="false" customHeight="true" outlineLevel="0" collapsed="false">
      <c r="A129" s="14"/>
      <c r="B129" s="15"/>
      <c r="C129" s="15"/>
      <c r="D129" s="14"/>
      <c r="E129" s="14"/>
      <c r="F129" s="14"/>
      <c r="G129" s="14"/>
      <c r="H129" s="15"/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T129" s="14"/>
      <c r="CW129" s="3"/>
      <c r="DG129" s="4"/>
    </row>
    <row r="130" customFormat="false" ht="11.25" hidden="false" customHeight="true" outlineLevel="0" collapsed="false">
      <c r="A130" s="14"/>
      <c r="B130" s="15"/>
      <c r="C130" s="15"/>
      <c r="D130" s="14"/>
      <c r="E130" s="14"/>
      <c r="F130" s="14"/>
      <c r="G130" s="14"/>
      <c r="H130" s="15"/>
      <c r="I130" s="15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T130" s="14"/>
      <c r="CW130" s="3"/>
      <c r="DG130" s="4"/>
    </row>
    <row r="131" customFormat="false" ht="11.25" hidden="false" customHeight="true" outlineLevel="0" collapsed="false">
      <c r="A131" s="14"/>
      <c r="B131" s="15"/>
      <c r="C131" s="15"/>
      <c r="D131" s="14"/>
      <c r="E131" s="14"/>
      <c r="F131" s="14"/>
      <c r="G131" s="14"/>
      <c r="H131" s="15"/>
      <c r="I131" s="15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T131" s="14"/>
      <c r="CW131" s="3"/>
      <c r="DG131" s="4"/>
    </row>
    <row r="132" customFormat="false" ht="11.25" hidden="false" customHeight="true" outlineLevel="0" collapsed="false">
      <c r="A132" s="14"/>
      <c r="B132" s="15"/>
      <c r="C132" s="15"/>
      <c r="D132" s="14"/>
      <c r="E132" s="14"/>
      <c r="F132" s="14"/>
      <c r="G132" s="14"/>
      <c r="H132" s="15"/>
      <c r="I132" s="15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T132" s="14"/>
      <c r="CW132" s="3"/>
      <c r="DG132" s="4"/>
    </row>
    <row r="133" customFormat="false" ht="11.25" hidden="false" customHeight="true" outlineLevel="0" collapsed="false">
      <c r="A133" s="14"/>
      <c r="B133" s="15"/>
      <c r="C133" s="15"/>
      <c r="D133" s="14"/>
      <c r="E133" s="14"/>
      <c r="F133" s="14"/>
      <c r="G133" s="14"/>
      <c r="H133" s="15"/>
      <c r="I133" s="15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T133" s="14"/>
      <c r="CW133" s="3"/>
      <c r="DG133" s="4"/>
    </row>
    <row r="134" customFormat="false" ht="11.25" hidden="false" customHeight="true" outlineLevel="0" collapsed="false">
      <c r="A134" s="14"/>
      <c r="B134" s="15"/>
      <c r="C134" s="15"/>
      <c r="D134" s="14"/>
      <c r="E134" s="14"/>
      <c r="F134" s="14"/>
      <c r="G134" s="14"/>
      <c r="H134" s="15"/>
      <c r="I134" s="15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T134" s="14"/>
      <c r="CW134" s="3"/>
      <c r="DG134" s="4"/>
    </row>
    <row r="135" customFormat="false" ht="11.25" hidden="false" customHeight="true" outlineLevel="0" collapsed="false">
      <c r="A135" s="14"/>
      <c r="B135" s="15"/>
      <c r="C135" s="15"/>
      <c r="D135" s="14"/>
      <c r="E135" s="14"/>
      <c r="F135" s="14"/>
      <c r="G135" s="14"/>
      <c r="H135" s="15"/>
      <c r="I135" s="15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T135" s="14"/>
      <c r="CW135" s="3"/>
      <c r="DG135" s="4"/>
    </row>
    <row r="136" customFormat="false" ht="11.25" hidden="false" customHeight="true" outlineLevel="0" collapsed="false">
      <c r="A136" s="14"/>
      <c r="B136" s="15"/>
      <c r="C136" s="15"/>
      <c r="D136" s="14"/>
      <c r="E136" s="14"/>
      <c r="F136" s="14"/>
      <c r="G136" s="14"/>
      <c r="H136" s="15"/>
      <c r="I136" s="15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T136" s="14"/>
      <c r="CW136" s="3"/>
      <c r="DG136" s="4"/>
    </row>
    <row r="137" customFormat="false" ht="11.25" hidden="false" customHeight="true" outlineLevel="0" collapsed="false">
      <c r="A137" s="14"/>
      <c r="B137" s="15"/>
      <c r="C137" s="15"/>
      <c r="D137" s="14"/>
      <c r="E137" s="14"/>
      <c r="F137" s="14"/>
      <c r="G137" s="14"/>
      <c r="H137" s="15"/>
      <c r="I137" s="15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T137" s="14"/>
      <c r="CW137" s="3"/>
      <c r="DG137" s="4"/>
    </row>
    <row r="138" customFormat="false" ht="11.25" hidden="false" customHeight="true" outlineLevel="0" collapsed="false">
      <c r="A138" s="14"/>
      <c r="B138" s="15"/>
      <c r="C138" s="15"/>
      <c r="D138" s="14"/>
      <c r="E138" s="14"/>
      <c r="F138" s="14"/>
      <c r="G138" s="14"/>
      <c r="H138" s="15"/>
      <c r="I138" s="15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T138" s="14"/>
      <c r="CW138" s="3"/>
      <c r="DG138" s="4"/>
    </row>
    <row r="139" customFormat="false" ht="11.25" hidden="false" customHeight="true" outlineLevel="0" collapsed="false">
      <c r="A139" s="14"/>
      <c r="B139" s="15"/>
      <c r="C139" s="15"/>
      <c r="D139" s="14"/>
      <c r="E139" s="14"/>
      <c r="F139" s="14"/>
      <c r="G139" s="14"/>
      <c r="H139" s="15"/>
      <c r="I139" s="15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T139" s="14"/>
      <c r="CW139" s="3"/>
      <c r="DG139" s="4"/>
    </row>
    <row r="140" customFormat="false" ht="11.25" hidden="false" customHeight="true" outlineLevel="0" collapsed="false">
      <c r="A140" s="14"/>
      <c r="B140" s="15"/>
      <c r="C140" s="15"/>
      <c r="D140" s="14"/>
      <c r="E140" s="14"/>
      <c r="F140" s="14"/>
      <c r="G140" s="14"/>
      <c r="H140" s="15"/>
      <c r="I140" s="15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T140" s="14"/>
      <c r="CW140" s="3"/>
      <c r="DG140" s="4"/>
    </row>
    <row r="141" customFormat="false" ht="11.25" hidden="false" customHeight="true" outlineLevel="0" collapsed="false">
      <c r="A141" s="14"/>
      <c r="B141" s="15"/>
      <c r="C141" s="15"/>
      <c r="D141" s="14"/>
      <c r="E141" s="14"/>
      <c r="F141" s="14"/>
      <c r="G141" s="14"/>
      <c r="H141" s="15"/>
      <c r="I141" s="15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T141" s="14"/>
      <c r="CW141" s="3"/>
      <c r="DG141" s="4"/>
    </row>
    <row r="142" customFormat="false" ht="11.25" hidden="false" customHeight="true" outlineLevel="0" collapsed="false">
      <c r="A142" s="14"/>
      <c r="B142" s="15"/>
      <c r="C142" s="15"/>
      <c r="D142" s="14"/>
      <c r="E142" s="14"/>
      <c r="F142" s="14"/>
      <c r="G142" s="14"/>
      <c r="H142" s="15"/>
      <c r="I142" s="15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T142" s="14"/>
      <c r="CW142" s="3"/>
      <c r="DG142" s="4"/>
    </row>
    <row r="143" customFormat="false" ht="11.25" hidden="false" customHeight="true" outlineLevel="0" collapsed="false">
      <c r="A143" s="14"/>
      <c r="B143" s="15"/>
      <c r="C143" s="15"/>
      <c r="D143" s="14"/>
      <c r="E143" s="14"/>
      <c r="F143" s="14"/>
      <c r="G143" s="14"/>
      <c r="H143" s="15"/>
      <c r="I143" s="15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T143" s="14"/>
      <c r="CW143" s="3"/>
      <c r="DG143" s="4"/>
    </row>
    <row r="144" customFormat="false" ht="11.25" hidden="false" customHeight="true" outlineLevel="0" collapsed="false">
      <c r="A144" s="14"/>
      <c r="B144" s="15"/>
      <c r="C144" s="15"/>
      <c r="D144" s="14"/>
      <c r="E144" s="14"/>
      <c r="F144" s="14"/>
      <c r="G144" s="14"/>
      <c r="H144" s="15"/>
      <c r="I144" s="15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T144" s="14"/>
      <c r="CW144" s="3"/>
      <c r="DG144" s="4"/>
    </row>
    <row r="145" customFormat="false" ht="11.25" hidden="false" customHeight="true" outlineLevel="0" collapsed="false">
      <c r="A145" s="14"/>
      <c r="B145" s="15"/>
      <c r="C145" s="15"/>
      <c r="D145" s="14"/>
      <c r="E145" s="14"/>
      <c r="F145" s="14"/>
      <c r="G145" s="14"/>
      <c r="H145" s="15"/>
      <c r="I145" s="15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T145" s="14"/>
      <c r="CW145" s="3"/>
      <c r="DG145" s="4"/>
    </row>
    <row r="146" customFormat="false" ht="11.25" hidden="false" customHeight="true" outlineLevel="0" collapsed="false">
      <c r="A146" s="14"/>
      <c r="B146" s="15"/>
      <c r="C146" s="15"/>
      <c r="D146" s="14"/>
      <c r="E146" s="14"/>
      <c r="F146" s="14"/>
      <c r="G146" s="14"/>
      <c r="H146" s="15"/>
      <c r="I146" s="15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T146" s="14"/>
      <c r="CW146" s="3"/>
      <c r="DG146" s="4"/>
    </row>
    <row r="147" customFormat="false" ht="11.25" hidden="false" customHeight="true" outlineLevel="0" collapsed="false">
      <c r="A147" s="14"/>
      <c r="B147" s="15"/>
      <c r="C147" s="15"/>
      <c r="D147" s="14"/>
      <c r="E147" s="14"/>
      <c r="F147" s="14"/>
      <c r="G147" s="14"/>
      <c r="H147" s="15"/>
      <c r="I147" s="15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T147" s="14"/>
      <c r="CW147" s="3"/>
      <c r="DG147" s="4"/>
    </row>
    <row r="148" customFormat="false" ht="11.25" hidden="false" customHeight="true" outlineLevel="0" collapsed="false">
      <c r="A148" s="14"/>
      <c r="B148" s="15"/>
      <c r="C148" s="15"/>
      <c r="D148" s="14"/>
      <c r="E148" s="14"/>
      <c r="F148" s="14"/>
      <c r="G148" s="14"/>
      <c r="H148" s="15"/>
      <c r="I148" s="15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T148" s="14"/>
      <c r="CW148" s="3"/>
      <c r="DG148" s="4"/>
    </row>
    <row r="149" customFormat="false" ht="11.25" hidden="false" customHeight="true" outlineLevel="0" collapsed="false">
      <c r="A149" s="14"/>
      <c r="B149" s="15"/>
      <c r="C149" s="15"/>
      <c r="D149" s="14"/>
      <c r="E149" s="14"/>
      <c r="F149" s="14"/>
      <c r="G149" s="14"/>
      <c r="H149" s="15"/>
      <c r="I149" s="15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T149" s="14"/>
      <c r="CW149" s="3"/>
      <c r="DG149" s="4"/>
    </row>
    <row r="150" customFormat="false" ht="11.25" hidden="false" customHeight="true" outlineLevel="0" collapsed="false">
      <c r="A150" s="14"/>
      <c r="B150" s="15"/>
      <c r="C150" s="15"/>
      <c r="D150" s="14"/>
      <c r="E150" s="14"/>
      <c r="F150" s="14"/>
      <c r="G150" s="14"/>
      <c r="H150" s="15"/>
      <c r="I150" s="15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T150" s="14"/>
      <c r="CW150" s="3"/>
      <c r="DG150" s="4"/>
    </row>
    <row r="151" customFormat="false" ht="11.25" hidden="false" customHeight="true" outlineLevel="0" collapsed="false">
      <c r="A151" s="14"/>
      <c r="B151" s="15"/>
      <c r="C151" s="15"/>
      <c r="D151" s="14"/>
      <c r="E151" s="14"/>
      <c r="F151" s="14"/>
      <c r="G151" s="14"/>
      <c r="H151" s="15"/>
      <c r="I151" s="15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T151" s="14"/>
      <c r="CW151" s="3"/>
      <c r="DG151" s="4"/>
    </row>
    <row r="152" customFormat="false" ht="11.25" hidden="false" customHeight="true" outlineLevel="0" collapsed="false">
      <c r="A152" s="14"/>
      <c r="B152" s="15"/>
      <c r="C152" s="15"/>
      <c r="D152" s="14"/>
      <c r="E152" s="14"/>
      <c r="F152" s="14"/>
      <c r="G152" s="14"/>
      <c r="H152" s="15"/>
      <c r="I152" s="15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T152" s="14"/>
      <c r="CW152" s="3"/>
      <c r="DG152" s="4"/>
    </row>
    <row r="153" customFormat="false" ht="11.25" hidden="false" customHeight="true" outlineLevel="0" collapsed="false">
      <c r="A153" s="14"/>
      <c r="B153" s="15"/>
      <c r="C153" s="15"/>
      <c r="D153" s="14"/>
      <c r="E153" s="14"/>
      <c r="F153" s="14"/>
      <c r="G153" s="14"/>
      <c r="H153" s="15"/>
      <c r="I153" s="15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T153" s="14"/>
      <c r="CW153" s="3"/>
      <c r="DG153" s="4"/>
    </row>
    <row r="154" customFormat="false" ht="11.25" hidden="false" customHeight="true" outlineLevel="0" collapsed="false">
      <c r="A154" s="14"/>
      <c r="B154" s="15"/>
      <c r="C154" s="15"/>
      <c r="D154" s="14"/>
      <c r="E154" s="14"/>
      <c r="F154" s="14"/>
      <c r="G154" s="14"/>
      <c r="H154" s="15"/>
      <c r="I154" s="15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T154" s="14"/>
      <c r="CW154" s="3"/>
      <c r="DG154" s="4"/>
    </row>
    <row r="155" customFormat="false" ht="11.25" hidden="false" customHeight="true" outlineLevel="0" collapsed="false">
      <c r="A155" s="14"/>
      <c r="B155" s="15"/>
      <c r="C155" s="15"/>
      <c r="D155" s="14"/>
      <c r="E155" s="14"/>
      <c r="F155" s="14"/>
      <c r="G155" s="14"/>
      <c r="H155" s="15"/>
      <c r="I155" s="15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T155" s="14"/>
      <c r="CW155" s="3"/>
      <c r="DG155" s="4"/>
    </row>
    <row r="156" customFormat="false" ht="11.25" hidden="false" customHeight="true" outlineLevel="0" collapsed="false">
      <c r="A156" s="14"/>
      <c r="B156" s="15"/>
      <c r="C156" s="15"/>
      <c r="D156" s="14"/>
      <c r="E156" s="14"/>
      <c r="F156" s="14"/>
      <c r="G156" s="14"/>
      <c r="H156" s="15"/>
      <c r="I156" s="15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T156" s="14"/>
      <c r="CW156" s="3"/>
      <c r="DG156" s="4"/>
    </row>
    <row r="157" customFormat="false" ht="11.25" hidden="false" customHeight="true" outlineLevel="0" collapsed="false">
      <c r="A157" s="14"/>
      <c r="B157" s="15"/>
      <c r="C157" s="15"/>
      <c r="D157" s="14"/>
      <c r="E157" s="14"/>
      <c r="F157" s="14"/>
      <c r="G157" s="14"/>
      <c r="H157" s="15"/>
      <c r="I157" s="15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T157" s="14"/>
      <c r="CW157" s="3"/>
      <c r="DG157" s="4"/>
    </row>
    <row r="158" customFormat="false" ht="11.25" hidden="false" customHeight="true" outlineLevel="0" collapsed="false">
      <c r="A158" s="14"/>
      <c r="B158" s="15"/>
      <c r="C158" s="15"/>
      <c r="D158" s="14"/>
      <c r="E158" s="14"/>
      <c r="F158" s="14"/>
      <c r="G158" s="14"/>
      <c r="H158" s="15"/>
      <c r="I158" s="15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T158" s="14"/>
      <c r="CW158" s="3"/>
      <c r="DG158" s="4"/>
    </row>
    <row r="159" customFormat="false" ht="11.25" hidden="false" customHeight="true" outlineLevel="0" collapsed="false">
      <c r="A159" s="14"/>
      <c r="B159" s="15"/>
      <c r="C159" s="15"/>
      <c r="D159" s="14"/>
      <c r="E159" s="14"/>
      <c r="F159" s="14"/>
      <c r="G159" s="14"/>
      <c r="H159" s="15"/>
      <c r="I159" s="15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T159" s="14"/>
      <c r="CW159" s="3"/>
      <c r="DG159" s="4"/>
    </row>
    <row r="160" customFormat="false" ht="11.25" hidden="false" customHeight="true" outlineLevel="0" collapsed="false">
      <c r="A160" s="14"/>
      <c r="B160" s="15"/>
      <c r="C160" s="15"/>
      <c r="D160" s="14"/>
      <c r="E160" s="14"/>
      <c r="F160" s="14"/>
      <c r="G160" s="14"/>
      <c r="H160" s="15"/>
      <c r="I160" s="15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T160" s="14"/>
      <c r="CW160" s="3"/>
      <c r="DG160" s="4"/>
    </row>
    <row r="161" customFormat="false" ht="11.25" hidden="false" customHeight="true" outlineLevel="0" collapsed="false">
      <c r="A161" s="14"/>
      <c r="B161" s="15"/>
      <c r="C161" s="15"/>
      <c r="D161" s="14"/>
      <c r="E161" s="14"/>
      <c r="F161" s="14"/>
      <c r="G161" s="14"/>
      <c r="H161" s="15"/>
      <c r="I161" s="15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T161" s="14"/>
      <c r="CW161" s="3"/>
      <c r="DG161" s="4"/>
    </row>
    <row r="162" customFormat="false" ht="11.25" hidden="false" customHeight="true" outlineLevel="0" collapsed="false">
      <c r="A162" s="14"/>
      <c r="B162" s="15"/>
      <c r="C162" s="15"/>
      <c r="D162" s="14"/>
      <c r="E162" s="14"/>
      <c r="F162" s="14"/>
      <c r="G162" s="14"/>
      <c r="H162" s="15"/>
      <c r="I162" s="15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T162" s="14"/>
      <c r="CW162" s="3"/>
      <c r="DG162" s="4"/>
    </row>
    <row r="163" customFormat="false" ht="11.25" hidden="false" customHeight="true" outlineLevel="0" collapsed="false">
      <c r="A163" s="14"/>
      <c r="B163" s="15"/>
      <c r="C163" s="15"/>
      <c r="D163" s="14"/>
      <c r="E163" s="14"/>
      <c r="F163" s="14"/>
      <c r="G163" s="14"/>
      <c r="H163" s="15"/>
      <c r="I163" s="15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T163" s="14"/>
      <c r="CW163" s="3"/>
      <c r="DG163" s="4"/>
    </row>
    <row r="164" customFormat="false" ht="11.25" hidden="false" customHeight="true" outlineLevel="0" collapsed="false">
      <c r="A164" s="14"/>
      <c r="B164" s="15"/>
      <c r="C164" s="15"/>
      <c r="D164" s="14"/>
      <c r="E164" s="14"/>
      <c r="F164" s="14"/>
      <c r="G164" s="14"/>
      <c r="H164" s="15"/>
      <c r="I164" s="15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T164" s="14"/>
      <c r="CW164" s="3"/>
      <c r="DG164" s="4"/>
    </row>
    <row r="165" customFormat="false" ht="11.25" hidden="false" customHeight="true" outlineLevel="0" collapsed="false">
      <c r="A165" s="14"/>
      <c r="B165" s="15"/>
      <c r="C165" s="15"/>
      <c r="D165" s="14"/>
      <c r="E165" s="14"/>
      <c r="F165" s="14"/>
      <c r="G165" s="14"/>
      <c r="H165" s="15"/>
      <c r="I165" s="15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T165" s="14"/>
      <c r="CW165" s="3"/>
      <c r="DG165" s="4"/>
    </row>
    <row r="166" customFormat="false" ht="11.25" hidden="false" customHeight="true" outlineLevel="0" collapsed="false">
      <c r="A166" s="14"/>
      <c r="B166" s="15"/>
      <c r="C166" s="15"/>
      <c r="D166" s="14"/>
      <c r="E166" s="14"/>
      <c r="F166" s="14"/>
      <c r="G166" s="14"/>
      <c r="H166" s="15"/>
      <c r="I166" s="15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T166" s="14"/>
      <c r="CW166" s="3"/>
      <c r="DG166" s="4"/>
    </row>
    <row r="167" customFormat="false" ht="11.25" hidden="false" customHeight="true" outlineLevel="0" collapsed="false">
      <c r="A167" s="14"/>
      <c r="B167" s="15"/>
      <c r="C167" s="15"/>
      <c r="D167" s="14"/>
      <c r="E167" s="14"/>
      <c r="F167" s="14"/>
      <c r="G167" s="14"/>
      <c r="H167" s="15"/>
      <c r="I167" s="15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T167" s="14"/>
      <c r="CW167" s="3"/>
      <c r="DG167" s="4"/>
    </row>
    <row r="168" customFormat="false" ht="11.25" hidden="false" customHeight="true" outlineLevel="0" collapsed="false">
      <c r="A168" s="14"/>
      <c r="B168" s="15"/>
      <c r="C168" s="15"/>
      <c r="D168" s="14"/>
      <c r="E168" s="14"/>
      <c r="F168" s="14"/>
      <c r="G168" s="14"/>
      <c r="H168" s="15"/>
      <c r="I168" s="15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T168" s="14"/>
      <c r="CW168" s="3"/>
      <c r="DG168" s="4"/>
    </row>
    <row r="169" customFormat="false" ht="11.25" hidden="false" customHeight="true" outlineLevel="0" collapsed="false">
      <c r="A169" s="14"/>
      <c r="B169" s="15"/>
      <c r="C169" s="15"/>
      <c r="D169" s="14"/>
      <c r="E169" s="14"/>
      <c r="F169" s="14"/>
      <c r="G169" s="14"/>
      <c r="H169" s="15"/>
      <c r="I169" s="15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T169" s="14"/>
      <c r="CW169" s="3"/>
      <c r="DG169" s="4"/>
    </row>
    <row r="170" customFormat="false" ht="11.25" hidden="false" customHeight="true" outlineLevel="0" collapsed="false">
      <c r="A170" s="14"/>
      <c r="B170" s="15"/>
      <c r="C170" s="15"/>
      <c r="D170" s="14"/>
      <c r="E170" s="14"/>
      <c r="F170" s="14"/>
      <c r="G170" s="14"/>
      <c r="H170" s="15"/>
      <c r="I170" s="15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T170" s="14"/>
      <c r="CW170" s="3"/>
      <c r="DG170" s="4"/>
    </row>
    <row r="171" customFormat="false" ht="11.25" hidden="false" customHeight="true" outlineLevel="0" collapsed="false">
      <c r="A171" s="14"/>
      <c r="B171" s="15"/>
      <c r="C171" s="15"/>
      <c r="D171" s="14"/>
      <c r="E171" s="14"/>
      <c r="F171" s="14"/>
      <c r="G171" s="14"/>
      <c r="H171" s="15"/>
      <c r="I171" s="15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T171" s="14"/>
      <c r="CW171" s="3"/>
      <c r="DG171" s="4"/>
    </row>
    <row r="172" customFormat="false" ht="11.25" hidden="false" customHeight="true" outlineLevel="0" collapsed="false">
      <c r="A172" s="14"/>
      <c r="B172" s="15"/>
      <c r="C172" s="15"/>
      <c r="D172" s="14"/>
      <c r="E172" s="14"/>
      <c r="F172" s="14"/>
      <c r="G172" s="14"/>
      <c r="H172" s="15"/>
      <c r="I172" s="15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T172" s="14"/>
      <c r="CW172" s="3"/>
      <c r="DG172" s="4"/>
    </row>
    <row r="173" customFormat="false" ht="11.25" hidden="false" customHeight="true" outlineLevel="0" collapsed="false">
      <c r="A173" s="14"/>
      <c r="B173" s="15"/>
      <c r="C173" s="15"/>
      <c r="D173" s="14"/>
      <c r="E173" s="14"/>
      <c r="F173" s="14"/>
      <c r="G173" s="14"/>
      <c r="H173" s="15"/>
      <c r="I173" s="15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T173" s="14"/>
      <c r="CW173" s="3"/>
      <c r="DG173" s="4"/>
    </row>
    <row r="174" customFormat="false" ht="11.25" hidden="false" customHeight="true" outlineLevel="0" collapsed="false">
      <c r="A174" s="14"/>
      <c r="B174" s="15"/>
      <c r="C174" s="15"/>
      <c r="D174" s="14"/>
      <c r="E174" s="14"/>
      <c r="F174" s="14"/>
      <c r="G174" s="14"/>
      <c r="H174" s="15"/>
      <c r="I174" s="15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T174" s="14"/>
      <c r="CW174" s="3"/>
      <c r="DG174" s="4"/>
    </row>
    <row r="175" customFormat="false" ht="11.25" hidden="false" customHeight="true" outlineLevel="0" collapsed="false">
      <c r="A175" s="14"/>
      <c r="B175" s="15"/>
      <c r="C175" s="15"/>
      <c r="D175" s="14"/>
      <c r="E175" s="14"/>
      <c r="F175" s="14"/>
      <c r="G175" s="14"/>
      <c r="H175" s="15"/>
      <c r="I175" s="15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T175" s="14"/>
      <c r="CW175" s="3"/>
      <c r="DG175" s="4"/>
    </row>
    <row r="176" customFormat="false" ht="11.25" hidden="false" customHeight="true" outlineLevel="0" collapsed="false">
      <c r="A176" s="14"/>
      <c r="B176" s="15"/>
      <c r="C176" s="15"/>
      <c r="D176" s="14"/>
      <c r="E176" s="14"/>
      <c r="F176" s="14"/>
      <c r="G176" s="14"/>
      <c r="H176" s="15"/>
      <c r="I176" s="15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T176" s="14"/>
      <c r="CW176" s="3"/>
      <c r="DG176" s="4"/>
    </row>
    <row r="177" customFormat="false" ht="11.25" hidden="false" customHeight="true" outlineLevel="0" collapsed="false">
      <c r="A177" s="14"/>
      <c r="B177" s="15"/>
      <c r="C177" s="15"/>
      <c r="D177" s="14"/>
      <c r="E177" s="14"/>
      <c r="F177" s="14"/>
      <c r="G177" s="14"/>
      <c r="H177" s="15"/>
      <c r="I177" s="15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T177" s="14"/>
      <c r="CW177" s="3"/>
      <c r="DG177" s="4"/>
    </row>
    <row r="178" customFormat="false" ht="11.25" hidden="false" customHeight="true" outlineLevel="0" collapsed="false">
      <c r="A178" s="14"/>
      <c r="B178" s="15"/>
      <c r="C178" s="15"/>
      <c r="D178" s="14"/>
      <c r="E178" s="14"/>
      <c r="F178" s="14"/>
      <c r="G178" s="14"/>
      <c r="H178" s="15"/>
      <c r="I178" s="15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T178" s="14"/>
      <c r="CW178" s="3"/>
      <c r="DG178" s="4"/>
    </row>
    <row r="179" customFormat="false" ht="11.25" hidden="false" customHeight="true" outlineLevel="0" collapsed="false">
      <c r="A179" s="14"/>
      <c r="B179" s="15"/>
      <c r="C179" s="15"/>
      <c r="D179" s="14"/>
      <c r="E179" s="14"/>
      <c r="F179" s="14"/>
      <c r="G179" s="14"/>
      <c r="H179" s="15"/>
      <c r="I179" s="15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T179" s="14"/>
      <c r="CW179" s="3"/>
      <c r="DG179" s="4"/>
    </row>
    <row r="180" customFormat="false" ht="11.25" hidden="false" customHeight="true" outlineLevel="0" collapsed="false">
      <c r="A180" s="14"/>
      <c r="B180" s="15"/>
      <c r="C180" s="15"/>
      <c r="D180" s="14"/>
      <c r="E180" s="14"/>
      <c r="F180" s="14"/>
      <c r="G180" s="14"/>
      <c r="H180" s="15"/>
      <c r="I180" s="15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T180" s="14"/>
      <c r="CW180" s="3"/>
      <c r="DG180" s="4"/>
    </row>
    <row r="181" customFormat="false" ht="11.25" hidden="false" customHeight="true" outlineLevel="0" collapsed="false">
      <c r="A181" s="14"/>
      <c r="B181" s="15"/>
      <c r="C181" s="15"/>
      <c r="D181" s="14"/>
      <c r="E181" s="14"/>
      <c r="F181" s="14"/>
      <c r="G181" s="14"/>
      <c r="H181" s="15"/>
      <c r="I181" s="15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T181" s="14"/>
      <c r="CW181" s="3"/>
      <c r="DG181" s="4"/>
    </row>
    <row r="182" customFormat="false" ht="11.25" hidden="false" customHeight="true" outlineLevel="0" collapsed="false">
      <c r="A182" s="14"/>
      <c r="B182" s="15"/>
      <c r="C182" s="15"/>
      <c r="D182" s="14"/>
      <c r="E182" s="14"/>
      <c r="F182" s="14"/>
      <c r="G182" s="14"/>
      <c r="H182" s="15"/>
      <c r="I182" s="15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T182" s="14"/>
      <c r="CW182" s="3"/>
      <c r="DG182" s="4"/>
    </row>
    <row r="183" customFormat="false" ht="11.25" hidden="false" customHeight="true" outlineLevel="0" collapsed="false">
      <c r="A183" s="14"/>
      <c r="B183" s="15"/>
      <c r="C183" s="15"/>
      <c r="D183" s="14"/>
      <c r="E183" s="14"/>
      <c r="F183" s="14"/>
      <c r="G183" s="14"/>
      <c r="H183" s="15"/>
      <c r="I183" s="15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T183" s="14"/>
      <c r="CW183" s="3"/>
      <c r="DG183" s="4"/>
    </row>
    <row r="184" customFormat="false" ht="11.25" hidden="false" customHeight="true" outlineLevel="0" collapsed="false">
      <c r="A184" s="14"/>
      <c r="B184" s="15"/>
      <c r="C184" s="15"/>
      <c r="D184" s="14"/>
      <c r="E184" s="14"/>
      <c r="F184" s="14"/>
      <c r="G184" s="14"/>
      <c r="H184" s="15"/>
      <c r="I184" s="15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T184" s="14"/>
      <c r="CW184" s="3"/>
      <c r="DG184" s="4"/>
    </row>
    <row r="185" customFormat="false" ht="11.25" hidden="false" customHeight="true" outlineLevel="0" collapsed="false">
      <c r="A185" s="14"/>
      <c r="B185" s="15"/>
      <c r="C185" s="15"/>
      <c r="D185" s="14"/>
      <c r="E185" s="14"/>
      <c r="F185" s="14"/>
      <c r="G185" s="14"/>
      <c r="H185" s="15"/>
      <c r="I185" s="15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T185" s="14"/>
      <c r="CW185" s="3"/>
      <c r="DG185" s="4"/>
    </row>
    <row r="186" customFormat="false" ht="11.25" hidden="false" customHeight="true" outlineLevel="0" collapsed="false">
      <c r="A186" s="14"/>
      <c r="B186" s="15"/>
      <c r="C186" s="15"/>
      <c r="D186" s="14"/>
      <c r="E186" s="14"/>
      <c r="F186" s="14"/>
      <c r="G186" s="14"/>
      <c r="H186" s="15"/>
      <c r="I186" s="15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T186" s="14"/>
      <c r="CW186" s="3"/>
      <c r="DG186" s="4"/>
    </row>
    <row r="187" customFormat="false" ht="11.25" hidden="false" customHeight="true" outlineLevel="0" collapsed="false">
      <c r="A187" s="14"/>
      <c r="B187" s="15"/>
      <c r="C187" s="15"/>
      <c r="D187" s="14"/>
      <c r="E187" s="14"/>
      <c r="F187" s="14"/>
      <c r="G187" s="14"/>
      <c r="H187" s="15"/>
      <c r="I187" s="15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T187" s="14"/>
      <c r="CW187" s="3"/>
      <c r="DG187" s="4"/>
    </row>
    <row r="188" customFormat="false" ht="11.25" hidden="false" customHeight="true" outlineLevel="0" collapsed="false">
      <c r="A188" s="14"/>
      <c r="B188" s="15"/>
      <c r="C188" s="15"/>
      <c r="D188" s="14"/>
      <c r="E188" s="14"/>
      <c r="F188" s="14"/>
      <c r="G188" s="14"/>
      <c r="H188" s="15"/>
      <c r="I188" s="15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T188" s="14"/>
      <c r="CW188" s="3"/>
      <c r="DG188" s="4"/>
    </row>
    <row r="189" customFormat="false" ht="11.25" hidden="false" customHeight="true" outlineLevel="0" collapsed="false">
      <c r="A189" s="14"/>
      <c r="B189" s="15"/>
      <c r="C189" s="15"/>
      <c r="D189" s="14"/>
      <c r="E189" s="14"/>
      <c r="F189" s="14"/>
      <c r="G189" s="14"/>
      <c r="H189" s="15"/>
      <c r="I189" s="15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T189" s="14"/>
      <c r="CW189" s="3"/>
      <c r="DG189" s="4"/>
    </row>
    <row r="190" customFormat="false" ht="11.25" hidden="false" customHeight="true" outlineLevel="0" collapsed="false">
      <c r="A190" s="14"/>
      <c r="B190" s="15"/>
      <c r="C190" s="15"/>
      <c r="D190" s="14"/>
      <c r="E190" s="14"/>
      <c r="F190" s="14"/>
      <c r="G190" s="14"/>
      <c r="H190" s="15"/>
      <c r="I190" s="15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T190" s="14"/>
      <c r="CW190" s="3"/>
      <c r="DG190" s="4"/>
    </row>
    <row r="191" customFormat="false" ht="11.25" hidden="false" customHeight="true" outlineLevel="0" collapsed="false">
      <c r="A191" s="14"/>
      <c r="B191" s="15"/>
      <c r="C191" s="15"/>
      <c r="D191" s="14"/>
      <c r="E191" s="14"/>
      <c r="F191" s="14"/>
      <c r="G191" s="14"/>
      <c r="H191" s="15"/>
      <c r="I191" s="15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T191" s="14"/>
      <c r="CW191" s="3"/>
      <c r="DG191" s="4"/>
    </row>
    <row r="192" customFormat="false" ht="11.25" hidden="false" customHeight="true" outlineLevel="0" collapsed="false">
      <c r="A192" s="14"/>
      <c r="B192" s="15"/>
      <c r="C192" s="15"/>
      <c r="D192" s="14"/>
      <c r="E192" s="14"/>
      <c r="F192" s="14"/>
      <c r="G192" s="14"/>
      <c r="H192" s="15"/>
      <c r="I192" s="15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T192" s="14"/>
      <c r="CW192" s="3"/>
      <c r="DG192" s="4"/>
    </row>
    <row r="193" customFormat="false" ht="11.25" hidden="false" customHeight="true" outlineLevel="0" collapsed="false">
      <c r="A193" s="14"/>
      <c r="B193" s="15"/>
      <c r="C193" s="15"/>
      <c r="D193" s="14"/>
      <c r="E193" s="14"/>
      <c r="F193" s="14"/>
      <c r="G193" s="14"/>
      <c r="H193" s="15"/>
      <c r="I193" s="15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T193" s="14"/>
      <c r="CW193" s="3"/>
      <c r="DG193" s="4"/>
    </row>
    <row r="194" customFormat="false" ht="11.25" hidden="false" customHeight="true" outlineLevel="0" collapsed="false">
      <c r="A194" s="14"/>
      <c r="B194" s="15"/>
      <c r="C194" s="15"/>
      <c r="D194" s="14"/>
      <c r="E194" s="14"/>
      <c r="F194" s="14"/>
      <c r="G194" s="14"/>
      <c r="H194" s="15"/>
      <c r="I194" s="15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T194" s="14"/>
      <c r="CW194" s="3"/>
      <c r="DG194" s="4"/>
    </row>
    <row r="195" customFormat="false" ht="11.25" hidden="false" customHeight="true" outlineLevel="0" collapsed="false">
      <c r="A195" s="14"/>
      <c r="B195" s="15"/>
      <c r="C195" s="15"/>
      <c r="D195" s="14"/>
      <c r="E195" s="14"/>
      <c r="F195" s="14"/>
      <c r="G195" s="14"/>
      <c r="H195" s="15"/>
      <c r="I195" s="15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T195" s="14"/>
      <c r="CW195" s="3"/>
      <c r="DG195" s="4"/>
    </row>
    <row r="196" customFormat="false" ht="11.25" hidden="false" customHeight="true" outlineLevel="0" collapsed="false">
      <c r="A196" s="14"/>
      <c r="B196" s="15"/>
      <c r="C196" s="15"/>
      <c r="D196" s="14"/>
      <c r="E196" s="14"/>
      <c r="F196" s="14"/>
      <c r="G196" s="14"/>
      <c r="H196" s="15"/>
      <c r="I196" s="15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T196" s="14"/>
      <c r="CW196" s="3"/>
      <c r="DG196" s="4"/>
    </row>
    <row r="197" customFormat="false" ht="11.25" hidden="false" customHeight="true" outlineLevel="0" collapsed="false">
      <c r="A197" s="14"/>
      <c r="B197" s="15"/>
      <c r="C197" s="15"/>
      <c r="D197" s="14"/>
      <c r="E197" s="14"/>
      <c r="F197" s="14"/>
      <c r="G197" s="14"/>
      <c r="H197" s="15"/>
      <c r="I197" s="15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T197" s="14"/>
      <c r="CW197" s="3"/>
      <c r="DG197" s="4"/>
    </row>
    <row r="198" customFormat="false" ht="11.25" hidden="false" customHeight="true" outlineLevel="0" collapsed="false">
      <c r="A198" s="14"/>
      <c r="B198" s="15"/>
      <c r="C198" s="15"/>
      <c r="D198" s="14"/>
      <c r="E198" s="14"/>
      <c r="F198" s="14"/>
      <c r="G198" s="14"/>
      <c r="H198" s="15"/>
      <c r="I198" s="15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T198" s="14"/>
      <c r="CW198" s="3"/>
      <c r="DG198" s="4"/>
    </row>
    <row r="199" customFormat="false" ht="11.25" hidden="false" customHeight="true" outlineLevel="0" collapsed="false">
      <c r="A199" s="14"/>
      <c r="B199" s="15"/>
      <c r="C199" s="15"/>
      <c r="D199" s="14"/>
      <c r="E199" s="14"/>
      <c r="F199" s="14"/>
      <c r="G199" s="14"/>
      <c r="H199" s="15"/>
      <c r="I199" s="15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T199" s="14"/>
      <c r="CW199" s="3"/>
      <c r="DG199" s="4"/>
    </row>
    <row r="200" customFormat="false" ht="11.25" hidden="false" customHeight="true" outlineLevel="0" collapsed="false">
      <c r="A200" s="14"/>
      <c r="B200" s="15"/>
      <c r="C200" s="15"/>
      <c r="D200" s="14"/>
      <c r="E200" s="14"/>
      <c r="F200" s="14"/>
      <c r="G200" s="14"/>
      <c r="H200" s="15"/>
      <c r="I200" s="15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T200" s="14"/>
      <c r="CW200" s="3"/>
      <c r="DG200" s="4"/>
    </row>
    <row r="201" customFormat="false" ht="11.25" hidden="false" customHeight="true" outlineLevel="0" collapsed="false">
      <c r="A201" s="14"/>
      <c r="B201" s="15"/>
      <c r="C201" s="15"/>
      <c r="D201" s="14"/>
      <c r="E201" s="14"/>
      <c r="F201" s="14"/>
      <c r="G201" s="14"/>
      <c r="H201" s="15"/>
      <c r="I201" s="15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T201" s="14"/>
      <c r="CW201" s="3"/>
      <c r="DG201" s="4"/>
    </row>
    <row r="202" customFormat="false" ht="11.25" hidden="false" customHeight="true" outlineLevel="0" collapsed="false">
      <c r="A202" s="14"/>
      <c r="B202" s="15"/>
      <c r="C202" s="15"/>
      <c r="D202" s="14"/>
      <c r="E202" s="14"/>
      <c r="F202" s="14"/>
      <c r="G202" s="14"/>
      <c r="H202" s="15"/>
      <c r="I202" s="15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T202" s="14"/>
      <c r="CW202" s="3"/>
      <c r="DG202" s="4"/>
    </row>
    <row r="203" customFormat="false" ht="11.25" hidden="false" customHeight="true" outlineLevel="0" collapsed="false">
      <c r="A203" s="14"/>
      <c r="B203" s="15"/>
      <c r="C203" s="15"/>
      <c r="D203" s="14"/>
      <c r="E203" s="14"/>
      <c r="F203" s="14"/>
      <c r="G203" s="14"/>
      <c r="H203" s="15"/>
      <c r="I203" s="15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T203" s="14"/>
      <c r="CW203" s="3"/>
      <c r="DG203" s="4"/>
    </row>
    <row r="204" customFormat="false" ht="11.25" hidden="false" customHeight="true" outlineLevel="0" collapsed="false">
      <c r="A204" s="14"/>
      <c r="B204" s="15"/>
      <c r="C204" s="15"/>
      <c r="D204" s="14"/>
      <c r="E204" s="14"/>
      <c r="F204" s="14"/>
      <c r="G204" s="14"/>
      <c r="H204" s="15"/>
      <c r="I204" s="15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T204" s="14"/>
      <c r="CW204" s="3"/>
      <c r="DG204" s="4"/>
    </row>
    <row r="205" customFormat="false" ht="11.25" hidden="false" customHeight="true" outlineLevel="0" collapsed="false">
      <c r="A205" s="14"/>
      <c r="B205" s="15"/>
      <c r="C205" s="15"/>
      <c r="D205" s="14"/>
      <c r="E205" s="14"/>
      <c r="F205" s="14"/>
      <c r="G205" s="14"/>
      <c r="H205" s="15"/>
      <c r="I205" s="15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T205" s="14"/>
      <c r="CW205" s="3"/>
      <c r="DG205" s="4"/>
    </row>
    <row r="206" customFormat="false" ht="11.25" hidden="false" customHeight="true" outlineLevel="0" collapsed="false">
      <c r="A206" s="14"/>
      <c r="B206" s="15"/>
      <c r="C206" s="15"/>
      <c r="D206" s="14"/>
      <c r="E206" s="14"/>
      <c r="F206" s="14"/>
      <c r="G206" s="14"/>
      <c r="H206" s="15"/>
      <c r="I206" s="15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T206" s="14"/>
      <c r="CW206" s="3"/>
      <c r="DG206" s="4"/>
    </row>
    <row r="207" customFormat="false" ht="11.25" hidden="false" customHeight="true" outlineLevel="0" collapsed="false">
      <c r="A207" s="14"/>
      <c r="B207" s="15"/>
      <c r="C207" s="15"/>
      <c r="D207" s="14"/>
      <c r="E207" s="14"/>
      <c r="F207" s="14"/>
      <c r="G207" s="14"/>
      <c r="H207" s="15"/>
      <c r="I207" s="15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T207" s="14"/>
      <c r="CW207" s="3"/>
      <c r="DG207" s="4"/>
    </row>
    <row r="208" customFormat="false" ht="11.25" hidden="false" customHeight="true" outlineLevel="0" collapsed="false">
      <c r="A208" s="14"/>
      <c r="B208" s="15"/>
      <c r="C208" s="15"/>
      <c r="D208" s="14"/>
      <c r="E208" s="14"/>
      <c r="F208" s="14"/>
      <c r="G208" s="14"/>
      <c r="H208" s="15"/>
      <c r="I208" s="15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T208" s="14"/>
      <c r="CW208" s="3"/>
      <c r="DG208" s="4"/>
    </row>
    <row r="209" customFormat="false" ht="11.25" hidden="false" customHeight="true" outlineLevel="0" collapsed="false">
      <c r="A209" s="14"/>
      <c r="B209" s="15"/>
      <c r="C209" s="15"/>
      <c r="D209" s="14"/>
      <c r="E209" s="14"/>
      <c r="F209" s="14"/>
      <c r="G209" s="14"/>
      <c r="H209" s="15"/>
      <c r="I209" s="15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T209" s="14"/>
      <c r="CW209" s="3"/>
      <c r="DG209" s="4"/>
    </row>
    <row r="210" customFormat="false" ht="11.25" hidden="false" customHeight="true" outlineLevel="0" collapsed="false">
      <c r="A210" s="14"/>
      <c r="B210" s="15"/>
      <c r="C210" s="15"/>
      <c r="D210" s="14"/>
      <c r="E210" s="14"/>
      <c r="F210" s="14"/>
      <c r="G210" s="14"/>
      <c r="H210" s="15"/>
      <c r="I210" s="15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T210" s="14"/>
      <c r="CW210" s="3"/>
      <c r="DG210" s="4"/>
    </row>
    <row r="211" customFormat="false" ht="11.25" hidden="false" customHeight="true" outlineLevel="0" collapsed="false">
      <c r="A211" s="14"/>
      <c r="B211" s="15"/>
      <c r="C211" s="15"/>
      <c r="D211" s="14"/>
      <c r="E211" s="14"/>
      <c r="F211" s="14"/>
      <c r="G211" s="14"/>
      <c r="H211" s="15"/>
      <c r="I211" s="15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T211" s="14"/>
      <c r="CW211" s="3"/>
      <c r="DG211" s="4"/>
    </row>
    <row r="212" customFormat="false" ht="11.25" hidden="false" customHeight="true" outlineLevel="0" collapsed="false">
      <c r="A212" s="14"/>
      <c r="B212" s="15"/>
      <c r="C212" s="15"/>
      <c r="D212" s="14"/>
      <c r="E212" s="14"/>
      <c r="F212" s="14"/>
      <c r="G212" s="14"/>
      <c r="H212" s="15"/>
      <c r="I212" s="15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T212" s="14"/>
      <c r="CW212" s="3"/>
      <c r="DG212" s="4"/>
    </row>
    <row r="213" customFormat="false" ht="11.25" hidden="false" customHeight="true" outlineLevel="0" collapsed="false">
      <c r="A213" s="14"/>
      <c r="B213" s="15"/>
      <c r="C213" s="15"/>
      <c r="D213" s="14"/>
      <c r="E213" s="14"/>
      <c r="F213" s="14"/>
      <c r="G213" s="14"/>
      <c r="H213" s="15"/>
      <c r="I213" s="15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T213" s="14"/>
      <c r="CW213" s="3"/>
      <c r="DG213" s="4"/>
    </row>
    <row r="214" customFormat="false" ht="11.25" hidden="false" customHeight="true" outlineLevel="0" collapsed="false">
      <c r="A214" s="14"/>
      <c r="B214" s="15"/>
      <c r="C214" s="15"/>
      <c r="D214" s="14"/>
      <c r="E214" s="14"/>
      <c r="F214" s="14"/>
      <c r="G214" s="14"/>
      <c r="H214" s="15"/>
      <c r="I214" s="15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T214" s="14"/>
      <c r="CW214" s="3"/>
      <c r="DG214" s="4"/>
    </row>
    <row r="215" customFormat="false" ht="11.25" hidden="false" customHeight="true" outlineLevel="0" collapsed="false">
      <c r="A215" s="14"/>
      <c r="B215" s="15"/>
      <c r="C215" s="15"/>
      <c r="D215" s="14"/>
      <c r="E215" s="14"/>
      <c r="F215" s="14"/>
      <c r="G215" s="14"/>
      <c r="H215" s="15"/>
      <c r="I215" s="15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T215" s="14"/>
      <c r="CW215" s="3"/>
      <c r="DG215" s="4"/>
    </row>
    <row r="216" customFormat="false" ht="11.25" hidden="false" customHeight="true" outlineLevel="0" collapsed="false">
      <c r="A216" s="14"/>
      <c r="B216" s="15"/>
      <c r="C216" s="15"/>
      <c r="D216" s="14"/>
      <c r="E216" s="14"/>
      <c r="F216" s="14"/>
      <c r="G216" s="14"/>
      <c r="H216" s="15"/>
      <c r="I216" s="15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T216" s="14"/>
      <c r="CW216" s="3"/>
      <c r="DG216" s="4"/>
    </row>
    <row r="217" customFormat="false" ht="11.25" hidden="false" customHeight="true" outlineLevel="0" collapsed="false">
      <c r="A217" s="14"/>
      <c r="B217" s="15"/>
      <c r="C217" s="15"/>
      <c r="D217" s="14"/>
      <c r="E217" s="14"/>
      <c r="F217" s="14"/>
      <c r="G217" s="14"/>
      <c r="H217" s="15"/>
      <c r="I217" s="15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T217" s="14"/>
      <c r="CW217" s="3"/>
      <c r="DG217" s="4"/>
    </row>
    <row r="218" customFormat="false" ht="11.25" hidden="false" customHeight="true" outlineLevel="0" collapsed="false">
      <c r="A218" s="14"/>
      <c r="B218" s="15"/>
      <c r="C218" s="15"/>
      <c r="D218" s="14"/>
      <c r="E218" s="14"/>
      <c r="F218" s="14"/>
      <c r="G218" s="14"/>
      <c r="H218" s="15"/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T218" s="14"/>
      <c r="CW218" s="3"/>
      <c r="DG218" s="4"/>
    </row>
    <row r="219" customFormat="false" ht="11.25" hidden="false" customHeight="true" outlineLevel="0" collapsed="false">
      <c r="A219" s="14"/>
      <c r="B219" s="15"/>
      <c r="C219" s="15"/>
      <c r="D219" s="14"/>
      <c r="E219" s="14"/>
      <c r="F219" s="14"/>
      <c r="G219" s="14"/>
      <c r="H219" s="15"/>
      <c r="I219" s="15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T219" s="14"/>
      <c r="CW219" s="3"/>
      <c r="DG219" s="4"/>
    </row>
    <row r="220" customFormat="false" ht="11.25" hidden="false" customHeight="true" outlineLevel="0" collapsed="false">
      <c r="A220" s="14"/>
      <c r="B220" s="15"/>
      <c r="C220" s="15"/>
      <c r="D220" s="14"/>
      <c r="E220" s="14"/>
      <c r="F220" s="14"/>
      <c r="G220" s="14"/>
      <c r="H220" s="15"/>
      <c r="I220" s="15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T220" s="14"/>
      <c r="CW220" s="3"/>
      <c r="DG220" s="4"/>
    </row>
    <row r="221" customFormat="false" ht="11.25" hidden="false" customHeight="true" outlineLevel="0" collapsed="false">
      <c r="A221" s="14"/>
      <c r="B221" s="15"/>
      <c r="C221" s="15"/>
      <c r="D221" s="14"/>
      <c r="E221" s="14"/>
      <c r="F221" s="14"/>
      <c r="G221" s="14"/>
      <c r="H221" s="15"/>
      <c r="I221" s="15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T221" s="14"/>
      <c r="CW221" s="3"/>
      <c r="DG221" s="4"/>
    </row>
    <row r="222" customFormat="false" ht="11.25" hidden="false" customHeight="true" outlineLevel="0" collapsed="false">
      <c r="A222" s="14"/>
      <c r="B222" s="15"/>
      <c r="C222" s="15"/>
      <c r="D222" s="14"/>
      <c r="E222" s="14"/>
      <c r="F222" s="14"/>
      <c r="G222" s="14"/>
      <c r="H222" s="15"/>
      <c r="I222" s="15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T222" s="14"/>
      <c r="CW222" s="3"/>
      <c r="DG222" s="4"/>
    </row>
    <row r="223" customFormat="false" ht="11.25" hidden="false" customHeight="true" outlineLevel="0" collapsed="false">
      <c r="A223" s="14"/>
      <c r="B223" s="15"/>
      <c r="C223" s="15"/>
      <c r="D223" s="14"/>
      <c r="E223" s="14"/>
      <c r="F223" s="14"/>
      <c r="G223" s="14"/>
      <c r="H223" s="15"/>
      <c r="I223" s="15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T223" s="14"/>
      <c r="CW223" s="3"/>
      <c r="DG223" s="4"/>
    </row>
    <row r="224" customFormat="false" ht="11.25" hidden="false" customHeight="true" outlineLevel="0" collapsed="false">
      <c r="A224" s="14"/>
      <c r="B224" s="15"/>
      <c r="C224" s="15"/>
      <c r="D224" s="14"/>
      <c r="E224" s="14"/>
      <c r="F224" s="14"/>
      <c r="G224" s="14"/>
      <c r="H224" s="15"/>
      <c r="I224" s="15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T224" s="14"/>
      <c r="CW224" s="3"/>
      <c r="DG224" s="4"/>
    </row>
    <row r="225" customFormat="false" ht="11.25" hidden="false" customHeight="true" outlineLevel="0" collapsed="false">
      <c r="A225" s="14"/>
      <c r="B225" s="15"/>
      <c r="C225" s="15"/>
      <c r="D225" s="14"/>
      <c r="E225" s="14"/>
      <c r="F225" s="14"/>
      <c r="G225" s="14"/>
      <c r="H225" s="15"/>
      <c r="I225" s="15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T225" s="14"/>
      <c r="CW225" s="3"/>
      <c r="DG225" s="4"/>
    </row>
    <row r="226" customFormat="false" ht="11.25" hidden="false" customHeight="true" outlineLevel="0" collapsed="false">
      <c r="A226" s="14"/>
      <c r="B226" s="15"/>
      <c r="C226" s="15"/>
      <c r="D226" s="14"/>
      <c r="E226" s="14"/>
      <c r="F226" s="14"/>
      <c r="G226" s="14"/>
      <c r="H226" s="15"/>
      <c r="I226" s="15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T226" s="14"/>
      <c r="CW226" s="3"/>
      <c r="DG226" s="4"/>
    </row>
    <row r="227" customFormat="false" ht="11.25" hidden="false" customHeight="true" outlineLevel="0" collapsed="false">
      <c r="A227" s="14"/>
      <c r="B227" s="15"/>
      <c r="C227" s="15"/>
      <c r="D227" s="14"/>
      <c r="E227" s="14"/>
      <c r="F227" s="14"/>
      <c r="G227" s="14"/>
      <c r="H227" s="15"/>
      <c r="I227" s="15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T227" s="14"/>
      <c r="CW227" s="3"/>
      <c r="DG227" s="4"/>
    </row>
    <row r="228" customFormat="false" ht="11.25" hidden="false" customHeight="true" outlineLevel="0" collapsed="false">
      <c r="A228" s="14"/>
      <c r="B228" s="15"/>
      <c r="C228" s="15"/>
      <c r="D228" s="14"/>
      <c r="E228" s="14"/>
      <c r="F228" s="14"/>
      <c r="G228" s="14"/>
      <c r="H228" s="15"/>
      <c r="I228" s="15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T228" s="14"/>
      <c r="CW228" s="3"/>
      <c r="DG228" s="4"/>
    </row>
    <row r="229" customFormat="false" ht="11.25" hidden="false" customHeight="true" outlineLevel="0" collapsed="false">
      <c r="A229" s="14"/>
      <c r="B229" s="15"/>
      <c r="C229" s="15"/>
      <c r="D229" s="14"/>
      <c r="E229" s="14"/>
      <c r="F229" s="14"/>
      <c r="G229" s="14"/>
      <c r="H229" s="15"/>
      <c r="I229" s="15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T229" s="14"/>
      <c r="CW229" s="3"/>
      <c r="DG229" s="4"/>
    </row>
    <row r="230" customFormat="false" ht="11.25" hidden="false" customHeight="true" outlineLevel="0" collapsed="false">
      <c r="A230" s="14"/>
      <c r="B230" s="15"/>
      <c r="C230" s="15"/>
      <c r="D230" s="14"/>
      <c r="E230" s="14"/>
      <c r="F230" s="14"/>
      <c r="G230" s="14"/>
      <c r="H230" s="15"/>
      <c r="I230" s="15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T230" s="14"/>
      <c r="CW230" s="3"/>
      <c r="DG230" s="4"/>
    </row>
    <row r="231" customFormat="false" ht="11.25" hidden="false" customHeight="true" outlineLevel="0" collapsed="false">
      <c r="A231" s="14"/>
      <c r="B231" s="15"/>
      <c r="C231" s="15"/>
      <c r="D231" s="14"/>
      <c r="E231" s="14"/>
      <c r="F231" s="14"/>
      <c r="G231" s="14"/>
      <c r="H231" s="15"/>
      <c r="I231" s="15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T231" s="14"/>
      <c r="CW231" s="3"/>
      <c r="DG231" s="4"/>
    </row>
    <row r="232" customFormat="false" ht="11.25" hidden="false" customHeight="true" outlineLevel="0" collapsed="false">
      <c r="A232" s="14"/>
      <c r="B232" s="15"/>
      <c r="C232" s="15"/>
      <c r="D232" s="14"/>
      <c r="E232" s="14"/>
      <c r="F232" s="14"/>
      <c r="G232" s="14"/>
      <c r="H232" s="15"/>
      <c r="I232" s="15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T232" s="14"/>
      <c r="CW232" s="3"/>
      <c r="DG232" s="4"/>
    </row>
    <row r="233" customFormat="false" ht="11.25" hidden="false" customHeight="true" outlineLevel="0" collapsed="false">
      <c r="A233" s="14"/>
      <c r="B233" s="15"/>
      <c r="C233" s="15"/>
      <c r="D233" s="14"/>
      <c r="E233" s="14"/>
      <c r="F233" s="14"/>
      <c r="G233" s="14"/>
      <c r="H233" s="15"/>
      <c r="I233" s="15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T233" s="14"/>
      <c r="CW233" s="3"/>
      <c r="DG233" s="4"/>
    </row>
    <row r="234" customFormat="false" ht="11.25" hidden="false" customHeight="true" outlineLevel="0" collapsed="false">
      <c r="A234" s="14"/>
      <c r="B234" s="15"/>
      <c r="C234" s="15"/>
      <c r="D234" s="14"/>
      <c r="E234" s="14"/>
      <c r="F234" s="14"/>
      <c r="G234" s="14"/>
      <c r="H234" s="15"/>
      <c r="I234" s="15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T234" s="14"/>
      <c r="CW234" s="3"/>
      <c r="DG234" s="4"/>
    </row>
    <row r="235" customFormat="false" ht="11.25" hidden="false" customHeight="true" outlineLevel="0" collapsed="false">
      <c r="A235" s="14"/>
      <c r="B235" s="15"/>
      <c r="C235" s="15"/>
      <c r="D235" s="14"/>
      <c r="E235" s="14"/>
      <c r="F235" s="14"/>
      <c r="G235" s="14"/>
      <c r="H235" s="15"/>
      <c r="I235" s="15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T235" s="14"/>
      <c r="CW235" s="3"/>
      <c r="DG235" s="4"/>
    </row>
    <row r="236" customFormat="false" ht="11.25" hidden="false" customHeight="true" outlineLevel="0" collapsed="false">
      <c r="A236" s="14"/>
      <c r="B236" s="15"/>
      <c r="C236" s="15"/>
      <c r="D236" s="14"/>
      <c r="E236" s="14"/>
      <c r="F236" s="14"/>
      <c r="G236" s="14"/>
      <c r="H236" s="15"/>
      <c r="I236" s="15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T236" s="14"/>
      <c r="CW236" s="3"/>
      <c r="DG236" s="4"/>
    </row>
    <row r="237" customFormat="false" ht="11.25" hidden="false" customHeight="true" outlineLevel="0" collapsed="false">
      <c r="A237" s="14"/>
      <c r="B237" s="15"/>
      <c r="C237" s="15"/>
      <c r="D237" s="14"/>
      <c r="E237" s="14"/>
      <c r="F237" s="14"/>
      <c r="G237" s="14"/>
      <c r="H237" s="15"/>
      <c r="I237" s="15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T237" s="14"/>
      <c r="CW237" s="3"/>
      <c r="DG237" s="4"/>
    </row>
    <row r="238" customFormat="false" ht="11.25" hidden="false" customHeight="true" outlineLevel="0" collapsed="false">
      <c r="A238" s="14"/>
      <c r="B238" s="15"/>
      <c r="C238" s="15"/>
      <c r="D238" s="14"/>
      <c r="E238" s="14"/>
      <c r="F238" s="14"/>
      <c r="G238" s="14"/>
      <c r="H238" s="15"/>
      <c r="I238" s="15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T238" s="14"/>
      <c r="CW238" s="3"/>
      <c r="DG238" s="4"/>
    </row>
    <row r="239" customFormat="false" ht="11.25" hidden="false" customHeight="true" outlineLevel="0" collapsed="false">
      <c r="A239" s="14"/>
      <c r="B239" s="15"/>
      <c r="C239" s="15"/>
      <c r="D239" s="14"/>
      <c r="E239" s="14"/>
      <c r="F239" s="14"/>
      <c r="G239" s="14"/>
      <c r="H239" s="15"/>
      <c r="I239" s="15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T239" s="14"/>
      <c r="CW239" s="3"/>
      <c r="DG239" s="4"/>
    </row>
    <row r="240" customFormat="false" ht="11.25" hidden="false" customHeight="true" outlineLevel="0" collapsed="false">
      <c r="A240" s="14"/>
      <c r="B240" s="15"/>
      <c r="C240" s="15"/>
      <c r="D240" s="14"/>
      <c r="E240" s="14"/>
      <c r="F240" s="14"/>
      <c r="G240" s="14"/>
      <c r="H240" s="15"/>
      <c r="I240" s="15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T240" s="14"/>
      <c r="CW240" s="3"/>
      <c r="DG240" s="4"/>
    </row>
    <row r="241" customFormat="false" ht="11.25" hidden="false" customHeight="true" outlineLevel="0" collapsed="false">
      <c r="A241" s="14"/>
      <c r="B241" s="15"/>
      <c r="C241" s="15"/>
      <c r="D241" s="14"/>
      <c r="E241" s="14"/>
      <c r="F241" s="14"/>
      <c r="G241" s="14"/>
      <c r="H241" s="15"/>
      <c r="I241" s="15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T241" s="14"/>
      <c r="CW241" s="3"/>
      <c r="DG241" s="4"/>
    </row>
    <row r="242" customFormat="false" ht="11.25" hidden="false" customHeight="true" outlineLevel="0" collapsed="false">
      <c r="A242" s="14"/>
      <c r="B242" s="15"/>
      <c r="C242" s="15"/>
      <c r="D242" s="14"/>
      <c r="E242" s="14"/>
      <c r="F242" s="14"/>
      <c r="G242" s="14"/>
      <c r="H242" s="15"/>
      <c r="I242" s="15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T242" s="14"/>
      <c r="CW242" s="3"/>
      <c r="DG242" s="4"/>
    </row>
    <row r="243" customFormat="false" ht="11.25" hidden="false" customHeight="true" outlineLevel="0" collapsed="false">
      <c r="A243" s="14"/>
      <c r="B243" s="15"/>
      <c r="C243" s="15"/>
      <c r="D243" s="14"/>
      <c r="E243" s="14"/>
      <c r="F243" s="14"/>
      <c r="G243" s="14"/>
      <c r="H243" s="15"/>
      <c r="I243" s="15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T243" s="14"/>
      <c r="CW243" s="3"/>
      <c r="DG243" s="4"/>
    </row>
    <row r="244" customFormat="false" ht="11.25" hidden="false" customHeight="true" outlineLevel="0" collapsed="false">
      <c r="A244" s="14"/>
      <c r="B244" s="15"/>
      <c r="C244" s="15"/>
      <c r="D244" s="14"/>
      <c r="E244" s="14"/>
      <c r="F244" s="14"/>
      <c r="G244" s="14"/>
      <c r="H244" s="15"/>
      <c r="I244" s="15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T244" s="14"/>
      <c r="CW244" s="3"/>
      <c r="DG244" s="4"/>
    </row>
    <row r="245" customFormat="false" ht="11.25" hidden="false" customHeight="true" outlineLevel="0" collapsed="false">
      <c r="A245" s="14"/>
      <c r="B245" s="15"/>
      <c r="C245" s="15"/>
      <c r="D245" s="14"/>
      <c r="E245" s="14"/>
      <c r="F245" s="14"/>
      <c r="G245" s="14"/>
      <c r="H245" s="15"/>
      <c r="I245" s="15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T245" s="14"/>
      <c r="CW245" s="3"/>
      <c r="DG245" s="4"/>
    </row>
    <row r="246" customFormat="false" ht="11.25" hidden="false" customHeight="true" outlineLevel="0" collapsed="false">
      <c r="A246" s="14"/>
      <c r="B246" s="15"/>
      <c r="C246" s="15"/>
      <c r="D246" s="14"/>
      <c r="E246" s="14"/>
      <c r="F246" s="14"/>
      <c r="G246" s="14"/>
      <c r="H246" s="15"/>
      <c r="I246" s="15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T246" s="14"/>
      <c r="CW246" s="3"/>
      <c r="DG246" s="4"/>
    </row>
    <row r="247" customFormat="false" ht="11.25" hidden="false" customHeight="true" outlineLevel="0" collapsed="false">
      <c r="A247" s="14"/>
      <c r="B247" s="15"/>
      <c r="C247" s="15"/>
      <c r="D247" s="14"/>
      <c r="E247" s="14"/>
      <c r="F247" s="14"/>
      <c r="G247" s="14"/>
      <c r="H247" s="15"/>
      <c r="I247" s="15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T247" s="14"/>
      <c r="CW247" s="3"/>
      <c r="DG247" s="4"/>
    </row>
    <row r="248" customFormat="false" ht="11.25" hidden="false" customHeight="true" outlineLevel="0" collapsed="false">
      <c r="A248" s="14"/>
      <c r="B248" s="15"/>
      <c r="C248" s="15"/>
      <c r="D248" s="14"/>
      <c r="E248" s="14"/>
      <c r="F248" s="14"/>
      <c r="G248" s="14"/>
      <c r="H248" s="15"/>
      <c r="I248" s="15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T248" s="14"/>
      <c r="CW248" s="3"/>
      <c r="DG248" s="4"/>
    </row>
    <row r="249" customFormat="false" ht="11.25" hidden="false" customHeight="true" outlineLevel="0" collapsed="false">
      <c r="A249" s="14"/>
      <c r="B249" s="15"/>
      <c r="C249" s="15"/>
      <c r="D249" s="14"/>
      <c r="E249" s="14"/>
      <c r="F249" s="14"/>
      <c r="G249" s="14"/>
      <c r="H249" s="15"/>
      <c r="I249" s="15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T249" s="14"/>
      <c r="CW249" s="3"/>
      <c r="DG249" s="4"/>
    </row>
    <row r="250" customFormat="false" ht="11.25" hidden="false" customHeight="true" outlineLevel="0" collapsed="false">
      <c r="A250" s="14"/>
      <c r="B250" s="15"/>
      <c r="C250" s="15"/>
      <c r="D250" s="14"/>
      <c r="E250" s="14"/>
      <c r="F250" s="14"/>
      <c r="G250" s="14"/>
      <c r="H250" s="15"/>
      <c r="I250" s="15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T250" s="14"/>
      <c r="CW250" s="3"/>
      <c r="DG250" s="4"/>
    </row>
    <row r="251" customFormat="false" ht="11.25" hidden="false" customHeight="true" outlineLevel="0" collapsed="false">
      <c r="A251" s="14"/>
      <c r="B251" s="15"/>
      <c r="C251" s="15"/>
      <c r="D251" s="14"/>
      <c r="E251" s="14"/>
      <c r="F251" s="14"/>
      <c r="G251" s="14"/>
      <c r="H251" s="15"/>
      <c r="I251" s="15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T251" s="14"/>
      <c r="CW251" s="3"/>
      <c r="DG251" s="4"/>
    </row>
    <row r="252" customFormat="false" ht="11.25" hidden="false" customHeight="true" outlineLevel="0" collapsed="false">
      <c r="A252" s="14"/>
      <c r="B252" s="15"/>
      <c r="C252" s="15"/>
      <c r="D252" s="14"/>
      <c r="E252" s="14"/>
      <c r="F252" s="14"/>
      <c r="G252" s="14"/>
      <c r="H252" s="15"/>
      <c r="I252" s="15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T252" s="14"/>
      <c r="CW252" s="3"/>
      <c r="DG252" s="4"/>
    </row>
    <row r="253" customFormat="false" ht="11.25" hidden="false" customHeight="true" outlineLevel="0" collapsed="false">
      <c r="A253" s="14"/>
      <c r="B253" s="15"/>
      <c r="C253" s="15"/>
      <c r="D253" s="14"/>
      <c r="E253" s="14"/>
      <c r="F253" s="14"/>
      <c r="G253" s="14"/>
      <c r="H253" s="15"/>
      <c r="I253" s="15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T253" s="14"/>
      <c r="CW253" s="3"/>
      <c r="DG253" s="4"/>
    </row>
    <row r="254" customFormat="false" ht="11.25" hidden="false" customHeight="true" outlineLevel="0" collapsed="false">
      <c r="A254" s="14"/>
      <c r="B254" s="15"/>
      <c r="C254" s="15"/>
      <c r="D254" s="14"/>
      <c r="E254" s="14"/>
      <c r="F254" s="14"/>
      <c r="G254" s="14"/>
      <c r="H254" s="15"/>
      <c r="I254" s="15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T254" s="14"/>
      <c r="CW254" s="3"/>
      <c r="DG254" s="4"/>
    </row>
    <row r="255" customFormat="false" ht="11.25" hidden="false" customHeight="true" outlineLevel="0" collapsed="false">
      <c r="A255" s="14"/>
      <c r="B255" s="15"/>
      <c r="C255" s="15"/>
      <c r="D255" s="14"/>
      <c r="E255" s="14"/>
      <c r="F255" s="14"/>
      <c r="G255" s="14"/>
      <c r="H255" s="15"/>
      <c r="I255" s="15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T255" s="14"/>
      <c r="CW255" s="3"/>
      <c r="DG255" s="4"/>
    </row>
    <row r="256" customFormat="false" ht="11.25" hidden="false" customHeight="true" outlineLevel="0" collapsed="false">
      <c r="A256" s="14"/>
      <c r="B256" s="15"/>
      <c r="C256" s="15"/>
      <c r="D256" s="14"/>
      <c r="E256" s="14"/>
      <c r="F256" s="14"/>
      <c r="G256" s="14"/>
      <c r="H256" s="15"/>
      <c r="I256" s="15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T256" s="14"/>
      <c r="CW256" s="3"/>
      <c r="DG256" s="4"/>
    </row>
    <row r="257" customFormat="false" ht="11.25" hidden="false" customHeight="true" outlineLevel="0" collapsed="false">
      <c r="A257" s="14"/>
      <c r="B257" s="15"/>
      <c r="C257" s="15"/>
      <c r="D257" s="14"/>
      <c r="E257" s="14"/>
      <c r="F257" s="14"/>
      <c r="G257" s="14"/>
      <c r="H257" s="15"/>
      <c r="I257" s="15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T257" s="14"/>
      <c r="CW257" s="3"/>
      <c r="DG257" s="4"/>
    </row>
    <row r="258" customFormat="false" ht="11.25" hidden="false" customHeight="true" outlineLevel="0" collapsed="false">
      <c r="A258" s="14"/>
      <c r="B258" s="15"/>
      <c r="C258" s="15"/>
      <c r="D258" s="14"/>
      <c r="E258" s="14"/>
      <c r="F258" s="14"/>
      <c r="G258" s="14"/>
      <c r="H258" s="15"/>
      <c r="I258" s="15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T258" s="14"/>
      <c r="CW258" s="3"/>
      <c r="DG258" s="4"/>
    </row>
    <row r="259" customFormat="false" ht="11.25" hidden="false" customHeight="true" outlineLevel="0" collapsed="false">
      <c r="A259" s="14"/>
      <c r="B259" s="15"/>
      <c r="C259" s="15"/>
      <c r="D259" s="14"/>
      <c r="E259" s="14"/>
      <c r="F259" s="14"/>
      <c r="G259" s="14"/>
      <c r="H259" s="15"/>
      <c r="I259" s="15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T259" s="14"/>
      <c r="CW259" s="3"/>
      <c r="DG259" s="4"/>
    </row>
    <row r="260" customFormat="false" ht="11.25" hidden="false" customHeight="true" outlineLevel="0" collapsed="false">
      <c r="A260" s="14"/>
      <c r="B260" s="15"/>
      <c r="C260" s="15"/>
      <c r="D260" s="14"/>
      <c r="E260" s="14"/>
      <c r="F260" s="14"/>
      <c r="G260" s="14"/>
      <c r="H260" s="15"/>
      <c r="I260" s="15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T260" s="14"/>
      <c r="CW260" s="3"/>
      <c r="DG260" s="4"/>
    </row>
    <row r="261" customFormat="false" ht="11.25" hidden="false" customHeight="true" outlineLevel="0" collapsed="false">
      <c r="A261" s="14"/>
      <c r="B261" s="15"/>
      <c r="C261" s="15"/>
      <c r="D261" s="14"/>
      <c r="E261" s="14"/>
      <c r="F261" s="14"/>
      <c r="G261" s="14"/>
      <c r="H261" s="15"/>
      <c r="I261" s="15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T261" s="14"/>
      <c r="CW261" s="3"/>
      <c r="DG261" s="4"/>
    </row>
    <row r="262" customFormat="false" ht="11.25" hidden="false" customHeight="true" outlineLevel="0" collapsed="false">
      <c r="A262" s="14"/>
      <c r="B262" s="15"/>
      <c r="C262" s="15"/>
      <c r="D262" s="14"/>
      <c r="E262" s="14"/>
      <c r="F262" s="14"/>
      <c r="G262" s="14"/>
      <c r="H262" s="15"/>
      <c r="I262" s="15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T262" s="14"/>
      <c r="CW262" s="3"/>
      <c r="DG262" s="4"/>
    </row>
    <row r="263" customFormat="false" ht="11.25" hidden="false" customHeight="true" outlineLevel="0" collapsed="false">
      <c r="A263" s="14"/>
      <c r="B263" s="15"/>
      <c r="C263" s="15"/>
      <c r="D263" s="14"/>
      <c r="E263" s="14"/>
      <c r="F263" s="14"/>
      <c r="G263" s="14"/>
      <c r="H263" s="15"/>
      <c r="I263" s="15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T263" s="14"/>
      <c r="CW263" s="3"/>
      <c r="DG263" s="4"/>
    </row>
    <row r="264" customFormat="false" ht="11.25" hidden="false" customHeight="true" outlineLevel="0" collapsed="false">
      <c r="A264" s="14"/>
      <c r="B264" s="15"/>
      <c r="C264" s="15"/>
      <c r="D264" s="14"/>
      <c r="E264" s="14"/>
      <c r="F264" s="14"/>
      <c r="G264" s="14"/>
      <c r="H264" s="15"/>
      <c r="I264" s="15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T264" s="14"/>
      <c r="CW264" s="3"/>
      <c r="DG264" s="4"/>
    </row>
    <row r="265" customFormat="false" ht="11.25" hidden="false" customHeight="true" outlineLevel="0" collapsed="false">
      <c r="A265" s="14"/>
      <c r="B265" s="15"/>
      <c r="C265" s="15"/>
      <c r="D265" s="14"/>
      <c r="E265" s="14"/>
      <c r="F265" s="14"/>
      <c r="G265" s="14"/>
      <c r="H265" s="15"/>
      <c r="I265" s="15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T265" s="14"/>
      <c r="CW265" s="3"/>
      <c r="DG265" s="4"/>
    </row>
    <row r="266" customFormat="false" ht="11.25" hidden="false" customHeight="true" outlineLevel="0" collapsed="false">
      <c r="A266" s="14"/>
      <c r="B266" s="15"/>
      <c r="C266" s="15"/>
      <c r="D266" s="14"/>
      <c r="E266" s="14"/>
      <c r="F266" s="14"/>
      <c r="G266" s="14"/>
      <c r="H266" s="15"/>
      <c r="I266" s="15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T266" s="14"/>
      <c r="CW266" s="3"/>
      <c r="DG266" s="4"/>
    </row>
    <row r="267" customFormat="false" ht="11.25" hidden="false" customHeight="true" outlineLevel="0" collapsed="false">
      <c r="A267" s="14"/>
      <c r="B267" s="15"/>
      <c r="C267" s="15"/>
      <c r="D267" s="14"/>
      <c r="E267" s="14"/>
      <c r="F267" s="14"/>
      <c r="G267" s="14"/>
      <c r="H267" s="15"/>
      <c r="I267" s="15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T267" s="14"/>
      <c r="CW267" s="3"/>
      <c r="DG267" s="4"/>
    </row>
    <row r="268" customFormat="false" ht="11.25" hidden="false" customHeight="true" outlineLevel="0" collapsed="false">
      <c r="A268" s="14"/>
      <c r="B268" s="15"/>
      <c r="C268" s="15"/>
      <c r="D268" s="14"/>
      <c r="E268" s="14"/>
      <c r="F268" s="14"/>
      <c r="G268" s="14"/>
      <c r="H268" s="15"/>
      <c r="I268" s="15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T268" s="14"/>
      <c r="CW268" s="3"/>
      <c r="DG268" s="4"/>
    </row>
    <row r="269" customFormat="false" ht="11.25" hidden="false" customHeight="true" outlineLevel="0" collapsed="false">
      <c r="A269" s="14"/>
      <c r="B269" s="15"/>
      <c r="C269" s="15"/>
      <c r="D269" s="14"/>
      <c r="E269" s="14"/>
      <c r="F269" s="14"/>
      <c r="G269" s="14"/>
      <c r="H269" s="15"/>
      <c r="I269" s="15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T269" s="14"/>
      <c r="CW269" s="3"/>
      <c r="DG269" s="4"/>
    </row>
    <row r="270" customFormat="false" ht="11.25" hidden="false" customHeight="true" outlineLevel="0" collapsed="false">
      <c r="A270" s="14"/>
      <c r="B270" s="15"/>
      <c r="C270" s="15"/>
      <c r="D270" s="14"/>
      <c r="E270" s="14"/>
      <c r="F270" s="14"/>
      <c r="G270" s="14"/>
      <c r="H270" s="15"/>
      <c r="I270" s="15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T270" s="14"/>
      <c r="CW270" s="3"/>
      <c r="DG270" s="4"/>
    </row>
    <row r="271" customFormat="false" ht="11.25" hidden="false" customHeight="true" outlineLevel="0" collapsed="false">
      <c r="A271" s="14"/>
      <c r="B271" s="15"/>
      <c r="C271" s="15"/>
      <c r="D271" s="14"/>
      <c r="E271" s="14"/>
      <c r="F271" s="14"/>
      <c r="G271" s="14"/>
      <c r="H271" s="15"/>
      <c r="I271" s="15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T271" s="14"/>
      <c r="CW271" s="3"/>
      <c r="DG271" s="4"/>
    </row>
    <row r="272" customFormat="false" ht="11.25" hidden="false" customHeight="true" outlineLevel="0" collapsed="false">
      <c r="A272" s="14"/>
      <c r="B272" s="15"/>
      <c r="C272" s="15"/>
      <c r="D272" s="14"/>
      <c r="E272" s="14"/>
      <c r="F272" s="14"/>
      <c r="G272" s="14"/>
      <c r="H272" s="15"/>
      <c r="I272" s="15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T272" s="14"/>
      <c r="CW272" s="3"/>
      <c r="DG272" s="4"/>
    </row>
    <row r="273" customFormat="false" ht="11.25" hidden="false" customHeight="true" outlineLevel="0" collapsed="false">
      <c r="A273" s="14"/>
      <c r="B273" s="15"/>
      <c r="C273" s="15"/>
      <c r="D273" s="14"/>
      <c r="E273" s="14"/>
      <c r="F273" s="14"/>
      <c r="G273" s="14"/>
      <c r="H273" s="15"/>
      <c r="I273" s="15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T273" s="14"/>
      <c r="CW273" s="3"/>
      <c r="DG273" s="4"/>
    </row>
    <row r="274" customFormat="false" ht="11.25" hidden="false" customHeight="true" outlineLevel="0" collapsed="false">
      <c r="A274" s="14"/>
      <c r="B274" s="15"/>
      <c r="C274" s="15"/>
      <c r="D274" s="14"/>
      <c r="E274" s="14"/>
      <c r="F274" s="14"/>
      <c r="G274" s="14"/>
      <c r="H274" s="15"/>
      <c r="I274" s="15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T274" s="14"/>
      <c r="CW274" s="3"/>
      <c r="DG274" s="4"/>
    </row>
    <row r="275" customFormat="false" ht="11.25" hidden="false" customHeight="true" outlineLevel="0" collapsed="false">
      <c r="A275" s="14"/>
      <c r="B275" s="15"/>
      <c r="C275" s="15"/>
      <c r="D275" s="14"/>
      <c r="E275" s="14"/>
      <c r="F275" s="14"/>
      <c r="G275" s="14"/>
      <c r="H275" s="15"/>
      <c r="I275" s="15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T275" s="14"/>
      <c r="CW275" s="3"/>
      <c r="DG275" s="4"/>
    </row>
    <row r="276" customFormat="false" ht="11.25" hidden="false" customHeight="true" outlineLevel="0" collapsed="false">
      <c r="A276" s="14"/>
      <c r="B276" s="15"/>
      <c r="C276" s="15"/>
      <c r="D276" s="14"/>
      <c r="E276" s="14"/>
      <c r="F276" s="14"/>
      <c r="G276" s="14"/>
      <c r="H276" s="15"/>
      <c r="I276" s="15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T276" s="14"/>
      <c r="CW276" s="3"/>
      <c r="DG276" s="4"/>
    </row>
    <row r="277" customFormat="false" ht="11.25" hidden="false" customHeight="true" outlineLevel="0" collapsed="false">
      <c r="A277" s="14"/>
      <c r="B277" s="15"/>
      <c r="C277" s="15"/>
      <c r="D277" s="14"/>
      <c r="E277" s="14"/>
      <c r="F277" s="14"/>
      <c r="G277" s="14"/>
      <c r="H277" s="15"/>
      <c r="I277" s="15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T277" s="14"/>
      <c r="CW277" s="3"/>
      <c r="DG277" s="4"/>
    </row>
    <row r="278" customFormat="false" ht="11.25" hidden="false" customHeight="true" outlineLevel="0" collapsed="false">
      <c r="A278" s="14"/>
      <c r="B278" s="15"/>
      <c r="C278" s="15"/>
      <c r="D278" s="14"/>
      <c r="E278" s="14"/>
      <c r="F278" s="14"/>
      <c r="G278" s="14"/>
      <c r="H278" s="15"/>
      <c r="I278" s="15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T278" s="14"/>
      <c r="CW278" s="3"/>
      <c r="DG278" s="4"/>
    </row>
    <row r="279" customFormat="false" ht="11.25" hidden="false" customHeight="true" outlineLevel="0" collapsed="false">
      <c r="A279" s="14"/>
      <c r="B279" s="15"/>
      <c r="C279" s="15"/>
      <c r="D279" s="14"/>
      <c r="E279" s="14"/>
      <c r="F279" s="14"/>
      <c r="G279" s="14"/>
      <c r="H279" s="15"/>
      <c r="I279" s="15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T279" s="14"/>
      <c r="CW279" s="3"/>
      <c r="DG279" s="4"/>
    </row>
    <row r="280" customFormat="false" ht="11.25" hidden="false" customHeight="true" outlineLevel="0" collapsed="false">
      <c r="A280" s="14"/>
      <c r="B280" s="15"/>
      <c r="C280" s="15"/>
      <c r="D280" s="14"/>
      <c r="E280" s="14"/>
      <c r="F280" s="14"/>
      <c r="G280" s="14"/>
      <c r="H280" s="15"/>
      <c r="I280" s="15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T280" s="14"/>
      <c r="CW280" s="3"/>
      <c r="DG280" s="4"/>
    </row>
    <row r="281" customFormat="false" ht="11.25" hidden="false" customHeight="true" outlineLevel="0" collapsed="false">
      <c r="A281" s="14"/>
      <c r="B281" s="15"/>
      <c r="C281" s="15"/>
      <c r="D281" s="14"/>
      <c r="E281" s="14"/>
      <c r="F281" s="14"/>
      <c r="G281" s="14"/>
      <c r="H281" s="15"/>
      <c r="I281" s="15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T281" s="14"/>
      <c r="CW281" s="3"/>
      <c r="DG281" s="4"/>
    </row>
    <row r="282" customFormat="false" ht="11.25" hidden="false" customHeight="true" outlineLevel="0" collapsed="false">
      <c r="A282" s="14"/>
      <c r="B282" s="15"/>
      <c r="C282" s="15"/>
      <c r="D282" s="14"/>
      <c r="E282" s="14"/>
      <c r="F282" s="14"/>
      <c r="G282" s="14"/>
      <c r="H282" s="15"/>
      <c r="I282" s="15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T282" s="14"/>
      <c r="CW282" s="3"/>
      <c r="DG282" s="4"/>
    </row>
    <row r="283" customFormat="false" ht="11.25" hidden="false" customHeight="true" outlineLevel="0" collapsed="false">
      <c r="A283" s="14"/>
      <c r="B283" s="15"/>
      <c r="C283" s="15"/>
      <c r="D283" s="14"/>
      <c r="E283" s="14"/>
      <c r="F283" s="14"/>
      <c r="G283" s="14"/>
      <c r="H283" s="15"/>
      <c r="I283" s="15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T283" s="14"/>
      <c r="CW283" s="3"/>
      <c r="DG283" s="4"/>
    </row>
    <row r="284" customFormat="false" ht="11.25" hidden="false" customHeight="true" outlineLevel="0" collapsed="false">
      <c r="A284" s="14"/>
      <c r="B284" s="15"/>
      <c r="C284" s="15"/>
      <c r="D284" s="14"/>
      <c r="E284" s="14"/>
      <c r="F284" s="14"/>
      <c r="G284" s="14"/>
      <c r="H284" s="15"/>
      <c r="I284" s="15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T284" s="14"/>
      <c r="CW284" s="3"/>
      <c r="DG284" s="4"/>
    </row>
    <row r="285" customFormat="false" ht="11.25" hidden="false" customHeight="true" outlineLevel="0" collapsed="false">
      <c r="A285" s="14"/>
      <c r="B285" s="15"/>
      <c r="C285" s="15"/>
      <c r="D285" s="14"/>
      <c r="E285" s="14"/>
      <c r="F285" s="14"/>
      <c r="G285" s="14"/>
      <c r="H285" s="15"/>
      <c r="I285" s="15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T285" s="14"/>
      <c r="CW285" s="3"/>
      <c r="DG285" s="4"/>
    </row>
    <row r="286" customFormat="false" ht="11.25" hidden="false" customHeight="true" outlineLevel="0" collapsed="false">
      <c r="A286" s="14"/>
      <c r="B286" s="15"/>
      <c r="C286" s="15"/>
      <c r="D286" s="14"/>
      <c r="E286" s="14"/>
      <c r="F286" s="14"/>
      <c r="G286" s="14"/>
      <c r="H286" s="15"/>
      <c r="I286" s="15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T286" s="14"/>
      <c r="CW286" s="3"/>
      <c r="DG286" s="4"/>
    </row>
    <row r="287" customFormat="false" ht="11.25" hidden="false" customHeight="true" outlineLevel="0" collapsed="false">
      <c r="A287" s="14"/>
      <c r="B287" s="15"/>
      <c r="C287" s="15"/>
      <c r="D287" s="14"/>
      <c r="E287" s="14"/>
      <c r="F287" s="14"/>
      <c r="G287" s="14"/>
      <c r="H287" s="15"/>
      <c r="I287" s="15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T287" s="14"/>
      <c r="CW287" s="3"/>
      <c r="DG287" s="4"/>
    </row>
    <row r="288" customFormat="false" ht="11.25" hidden="false" customHeight="true" outlineLevel="0" collapsed="false">
      <c r="A288" s="14"/>
      <c r="B288" s="15"/>
      <c r="C288" s="15"/>
      <c r="D288" s="14"/>
      <c r="E288" s="14"/>
      <c r="F288" s="14"/>
      <c r="G288" s="14"/>
      <c r="H288" s="15"/>
      <c r="I288" s="15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T288" s="14"/>
      <c r="CW288" s="3"/>
      <c r="DG288" s="4"/>
    </row>
    <row r="289" customFormat="false" ht="11.25" hidden="false" customHeight="true" outlineLevel="0" collapsed="false">
      <c r="A289" s="14"/>
      <c r="B289" s="15"/>
      <c r="C289" s="15"/>
      <c r="D289" s="14"/>
      <c r="E289" s="14"/>
      <c r="F289" s="14"/>
      <c r="G289" s="14"/>
      <c r="H289" s="15"/>
      <c r="I289" s="15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T289" s="14"/>
      <c r="CW289" s="3"/>
      <c r="DG289" s="4"/>
    </row>
    <row r="290" customFormat="false" ht="11.25" hidden="false" customHeight="true" outlineLevel="0" collapsed="false">
      <c r="A290" s="14"/>
      <c r="B290" s="15"/>
      <c r="C290" s="15"/>
      <c r="D290" s="14"/>
      <c r="E290" s="14"/>
      <c r="F290" s="14"/>
      <c r="G290" s="14"/>
      <c r="H290" s="15"/>
      <c r="I290" s="15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T290" s="14"/>
      <c r="CW290" s="3"/>
      <c r="DG290" s="4"/>
    </row>
    <row r="291" customFormat="false" ht="11.25" hidden="false" customHeight="true" outlineLevel="0" collapsed="false">
      <c r="A291" s="14"/>
      <c r="B291" s="15"/>
      <c r="C291" s="15"/>
      <c r="D291" s="14"/>
      <c r="E291" s="14"/>
      <c r="F291" s="14"/>
      <c r="G291" s="14"/>
      <c r="H291" s="15"/>
      <c r="I291" s="15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T291" s="14"/>
      <c r="CW291" s="3"/>
      <c r="DG291" s="4"/>
    </row>
    <row r="292" customFormat="false" ht="11.25" hidden="false" customHeight="true" outlineLevel="0" collapsed="false">
      <c r="A292" s="14"/>
      <c r="B292" s="15"/>
      <c r="C292" s="15"/>
      <c r="D292" s="14"/>
      <c r="E292" s="14"/>
      <c r="F292" s="14"/>
      <c r="G292" s="14"/>
      <c r="H292" s="15"/>
      <c r="I292" s="15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T292" s="14"/>
      <c r="CW292" s="3"/>
      <c r="DG292" s="4"/>
    </row>
    <row r="293" customFormat="false" ht="11.25" hidden="false" customHeight="true" outlineLevel="0" collapsed="false">
      <c r="A293" s="14"/>
      <c r="B293" s="15"/>
      <c r="C293" s="15"/>
      <c r="D293" s="14"/>
      <c r="E293" s="14"/>
      <c r="F293" s="14"/>
      <c r="G293" s="14"/>
      <c r="H293" s="15"/>
      <c r="I293" s="15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T293" s="14"/>
      <c r="CW293" s="3"/>
      <c r="DG293" s="4"/>
    </row>
    <row r="294" customFormat="false" ht="11.25" hidden="false" customHeight="true" outlineLevel="0" collapsed="false">
      <c r="A294" s="14"/>
      <c r="B294" s="15"/>
      <c r="C294" s="15"/>
      <c r="D294" s="14"/>
      <c r="E294" s="14"/>
      <c r="F294" s="14"/>
      <c r="G294" s="14"/>
      <c r="H294" s="15"/>
      <c r="I294" s="15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T294" s="14"/>
      <c r="CW294" s="3"/>
      <c r="DG294" s="4"/>
    </row>
    <row r="295" customFormat="false" ht="11.25" hidden="false" customHeight="true" outlineLevel="0" collapsed="false">
      <c r="A295" s="14"/>
      <c r="B295" s="15"/>
      <c r="C295" s="15"/>
      <c r="D295" s="14"/>
      <c r="E295" s="14"/>
      <c r="F295" s="14"/>
      <c r="G295" s="14"/>
      <c r="H295" s="15"/>
      <c r="I295" s="15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T295" s="14"/>
      <c r="CW295" s="3"/>
      <c r="DG295" s="4"/>
    </row>
    <row r="296" customFormat="false" ht="11.25" hidden="false" customHeight="true" outlineLevel="0" collapsed="false">
      <c r="A296" s="14"/>
      <c r="B296" s="15"/>
      <c r="C296" s="15"/>
      <c r="D296" s="14"/>
      <c r="E296" s="14"/>
      <c r="F296" s="14"/>
      <c r="G296" s="14"/>
      <c r="H296" s="15"/>
      <c r="I296" s="15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T296" s="14"/>
      <c r="CW296" s="3"/>
      <c r="DG296" s="4"/>
    </row>
    <row r="297" customFormat="false" ht="11.25" hidden="false" customHeight="true" outlineLevel="0" collapsed="false">
      <c r="A297" s="14"/>
      <c r="B297" s="15"/>
      <c r="C297" s="15"/>
      <c r="D297" s="14"/>
      <c r="E297" s="14"/>
      <c r="F297" s="14"/>
      <c r="G297" s="14"/>
      <c r="H297" s="15"/>
      <c r="I297" s="15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T297" s="14"/>
      <c r="CW297" s="3"/>
      <c r="DG297" s="4"/>
    </row>
    <row r="298" customFormat="false" ht="11.25" hidden="false" customHeight="true" outlineLevel="0" collapsed="false">
      <c r="A298" s="14"/>
      <c r="B298" s="15"/>
      <c r="C298" s="15"/>
      <c r="D298" s="14"/>
      <c r="E298" s="14"/>
      <c r="F298" s="14"/>
      <c r="G298" s="14"/>
      <c r="H298" s="15"/>
      <c r="I298" s="15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T298" s="14"/>
      <c r="CW298" s="3"/>
      <c r="DG298" s="4"/>
    </row>
    <row r="299" customFormat="false" ht="11.25" hidden="false" customHeight="true" outlineLevel="0" collapsed="false">
      <c r="A299" s="14"/>
      <c r="B299" s="15"/>
      <c r="C299" s="15"/>
      <c r="D299" s="14"/>
      <c r="E299" s="14"/>
      <c r="F299" s="14"/>
      <c r="G299" s="14"/>
      <c r="H299" s="15"/>
      <c r="I299" s="15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T299" s="14"/>
      <c r="CW299" s="3"/>
      <c r="DG299" s="4"/>
    </row>
    <row r="300" customFormat="false" ht="11.25" hidden="false" customHeight="true" outlineLevel="0" collapsed="false">
      <c r="A300" s="14"/>
      <c r="B300" s="15"/>
      <c r="C300" s="15"/>
      <c r="D300" s="14"/>
      <c r="E300" s="14"/>
      <c r="F300" s="14"/>
      <c r="G300" s="14"/>
      <c r="H300" s="15"/>
      <c r="I300" s="15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T300" s="14"/>
      <c r="CW300" s="3"/>
      <c r="DG300" s="4"/>
    </row>
    <row r="301" customFormat="false" ht="11.25" hidden="false" customHeight="true" outlineLevel="0" collapsed="false">
      <c r="A301" s="14"/>
      <c r="B301" s="15"/>
      <c r="C301" s="15"/>
      <c r="D301" s="14"/>
      <c r="E301" s="14"/>
      <c r="F301" s="14"/>
      <c r="G301" s="14"/>
      <c r="H301" s="15"/>
      <c r="I301" s="15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T301" s="14"/>
      <c r="CW301" s="3"/>
      <c r="DG301" s="4"/>
    </row>
    <row r="302" customFormat="false" ht="11.25" hidden="false" customHeight="true" outlineLevel="0" collapsed="false">
      <c r="A302" s="14"/>
      <c r="B302" s="15"/>
      <c r="C302" s="15"/>
      <c r="D302" s="14"/>
      <c r="E302" s="14"/>
      <c r="F302" s="14"/>
      <c r="G302" s="14"/>
      <c r="H302" s="15"/>
      <c r="I302" s="15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T302" s="14"/>
      <c r="CW302" s="3"/>
      <c r="DG302" s="4"/>
    </row>
    <row r="303" customFormat="false" ht="11.25" hidden="false" customHeight="true" outlineLevel="0" collapsed="false">
      <c r="A303" s="14"/>
      <c r="B303" s="15"/>
      <c r="C303" s="15"/>
      <c r="D303" s="14"/>
      <c r="E303" s="14"/>
      <c r="F303" s="14"/>
      <c r="G303" s="14"/>
      <c r="H303" s="15"/>
      <c r="I303" s="15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T303" s="14"/>
      <c r="CW303" s="3"/>
      <c r="DG303" s="4"/>
    </row>
    <row r="304" customFormat="false" ht="11.25" hidden="false" customHeight="true" outlineLevel="0" collapsed="false">
      <c r="A304" s="14"/>
      <c r="B304" s="15"/>
      <c r="C304" s="15"/>
      <c r="D304" s="14"/>
      <c r="E304" s="14"/>
      <c r="F304" s="14"/>
      <c r="G304" s="14"/>
      <c r="H304" s="15"/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T304" s="14"/>
      <c r="CW304" s="3"/>
      <c r="DG304" s="4"/>
    </row>
    <row r="305" customFormat="false" ht="11.25" hidden="false" customHeight="true" outlineLevel="0" collapsed="false">
      <c r="A305" s="14"/>
      <c r="B305" s="15"/>
      <c r="C305" s="15"/>
      <c r="D305" s="14"/>
      <c r="E305" s="14"/>
      <c r="F305" s="14"/>
      <c r="G305" s="14"/>
      <c r="H305" s="15"/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T305" s="14"/>
      <c r="CW305" s="3"/>
      <c r="DG305" s="4"/>
    </row>
    <row r="306" customFormat="false" ht="11.25" hidden="false" customHeight="true" outlineLevel="0" collapsed="false">
      <c r="A306" s="14"/>
      <c r="B306" s="15"/>
      <c r="C306" s="15"/>
      <c r="D306" s="14"/>
      <c r="E306" s="14"/>
      <c r="F306" s="14"/>
      <c r="G306" s="14"/>
      <c r="H306" s="15"/>
      <c r="I306" s="15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T306" s="14"/>
      <c r="CW306" s="3"/>
      <c r="DG306" s="4"/>
    </row>
    <row r="307" customFormat="false" ht="11.25" hidden="false" customHeight="true" outlineLevel="0" collapsed="false">
      <c r="A307" s="14"/>
      <c r="B307" s="15"/>
      <c r="C307" s="15"/>
      <c r="D307" s="14"/>
      <c r="E307" s="14"/>
      <c r="F307" s="14"/>
      <c r="G307" s="14"/>
      <c r="H307" s="15"/>
      <c r="I307" s="15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T307" s="14"/>
      <c r="CW307" s="3"/>
      <c r="DG307" s="4"/>
    </row>
    <row r="308" customFormat="false" ht="11.25" hidden="false" customHeight="true" outlineLevel="0" collapsed="false">
      <c r="A308" s="14"/>
      <c r="B308" s="15"/>
      <c r="C308" s="15"/>
      <c r="D308" s="14"/>
      <c r="E308" s="14"/>
      <c r="F308" s="14"/>
      <c r="G308" s="14"/>
      <c r="H308" s="15"/>
      <c r="I308" s="15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T308" s="14"/>
      <c r="CW308" s="3"/>
      <c r="DG308" s="4"/>
    </row>
    <row r="309" customFormat="false" ht="11.25" hidden="false" customHeight="true" outlineLevel="0" collapsed="false">
      <c r="A309" s="14"/>
      <c r="B309" s="15"/>
      <c r="C309" s="15"/>
      <c r="D309" s="14"/>
      <c r="E309" s="14"/>
      <c r="F309" s="14"/>
      <c r="G309" s="14"/>
      <c r="H309" s="15"/>
      <c r="I309" s="15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T309" s="14"/>
      <c r="CW309" s="3"/>
      <c r="DG309" s="4"/>
    </row>
    <row r="310" customFormat="false" ht="11.25" hidden="false" customHeight="true" outlineLevel="0" collapsed="false">
      <c r="A310" s="14"/>
      <c r="B310" s="15"/>
      <c r="C310" s="15"/>
      <c r="D310" s="14"/>
      <c r="E310" s="14"/>
      <c r="F310" s="14"/>
      <c r="G310" s="14"/>
      <c r="H310" s="15"/>
      <c r="I310" s="15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T310" s="14"/>
      <c r="CW310" s="3"/>
      <c r="DG310" s="4"/>
    </row>
    <row r="311" customFormat="false" ht="11.25" hidden="false" customHeight="true" outlineLevel="0" collapsed="false">
      <c r="A311" s="14"/>
      <c r="B311" s="15"/>
      <c r="C311" s="15"/>
      <c r="D311" s="14"/>
      <c r="E311" s="14"/>
      <c r="F311" s="14"/>
      <c r="G311" s="14"/>
      <c r="H311" s="15"/>
      <c r="I311" s="15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T311" s="14"/>
      <c r="CW311" s="3"/>
      <c r="DG311" s="4"/>
    </row>
    <row r="312" customFormat="false" ht="11.25" hidden="false" customHeight="true" outlineLevel="0" collapsed="false">
      <c r="A312" s="14"/>
      <c r="B312" s="15"/>
      <c r="C312" s="15"/>
      <c r="D312" s="14"/>
      <c r="E312" s="14"/>
      <c r="F312" s="14"/>
      <c r="G312" s="14"/>
      <c r="H312" s="15"/>
      <c r="I312" s="15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T312" s="14"/>
      <c r="CW312" s="3"/>
      <c r="DG312" s="4"/>
    </row>
    <row r="313" customFormat="false" ht="11.25" hidden="false" customHeight="true" outlineLevel="0" collapsed="false">
      <c r="A313" s="14"/>
      <c r="B313" s="15"/>
      <c r="C313" s="15"/>
      <c r="D313" s="14"/>
      <c r="E313" s="14"/>
      <c r="F313" s="14"/>
      <c r="G313" s="14"/>
      <c r="H313" s="15"/>
      <c r="I313" s="15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T313" s="14"/>
      <c r="CW313" s="3"/>
      <c r="DG313" s="4"/>
    </row>
    <row r="314" customFormat="false" ht="11.25" hidden="false" customHeight="true" outlineLevel="0" collapsed="false">
      <c r="A314" s="14"/>
      <c r="B314" s="15"/>
      <c r="C314" s="15"/>
      <c r="D314" s="14"/>
      <c r="E314" s="14"/>
      <c r="F314" s="14"/>
      <c r="G314" s="14"/>
      <c r="H314" s="15"/>
      <c r="I314" s="15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T314" s="14"/>
      <c r="CW314" s="3"/>
      <c r="DG314" s="4"/>
    </row>
    <row r="315" customFormat="false" ht="11.25" hidden="false" customHeight="true" outlineLevel="0" collapsed="false">
      <c r="A315" s="14"/>
      <c r="B315" s="15"/>
      <c r="C315" s="15"/>
      <c r="D315" s="14"/>
      <c r="E315" s="14"/>
      <c r="F315" s="14"/>
      <c r="G315" s="14"/>
      <c r="H315" s="15"/>
      <c r="I315" s="15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T315" s="14"/>
      <c r="CW315" s="3"/>
      <c r="DG315" s="4"/>
    </row>
    <row r="316" customFormat="false" ht="11.25" hidden="false" customHeight="true" outlineLevel="0" collapsed="false">
      <c r="A316" s="14"/>
      <c r="B316" s="15"/>
      <c r="C316" s="15"/>
      <c r="D316" s="14"/>
      <c r="E316" s="14"/>
      <c r="F316" s="14"/>
      <c r="G316" s="14"/>
      <c r="H316" s="15"/>
      <c r="I316" s="15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T316" s="14"/>
      <c r="CW316" s="3"/>
      <c r="DG316" s="4"/>
    </row>
    <row r="317" customFormat="false" ht="11.25" hidden="false" customHeight="true" outlineLevel="0" collapsed="false">
      <c r="A317" s="14"/>
      <c r="B317" s="15"/>
      <c r="C317" s="15"/>
      <c r="D317" s="14"/>
      <c r="E317" s="14"/>
      <c r="F317" s="14"/>
      <c r="G317" s="14"/>
      <c r="H317" s="15"/>
      <c r="I317" s="15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T317" s="14"/>
      <c r="CW317" s="3"/>
      <c r="DG317" s="4"/>
    </row>
    <row r="318" customFormat="false" ht="11.25" hidden="false" customHeight="true" outlineLevel="0" collapsed="false">
      <c r="A318" s="14"/>
      <c r="B318" s="15"/>
      <c r="C318" s="15"/>
      <c r="D318" s="14"/>
      <c r="E318" s="14"/>
      <c r="F318" s="14"/>
      <c r="G318" s="14"/>
      <c r="H318" s="15"/>
      <c r="I318" s="15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T318" s="14"/>
      <c r="CW318" s="3"/>
      <c r="DG318" s="4"/>
    </row>
    <row r="319" customFormat="false" ht="11.25" hidden="false" customHeight="true" outlineLevel="0" collapsed="false">
      <c r="A319" s="14"/>
      <c r="B319" s="15"/>
      <c r="C319" s="15"/>
      <c r="D319" s="14"/>
      <c r="E319" s="14"/>
      <c r="F319" s="14"/>
      <c r="G319" s="14"/>
      <c r="H319" s="15"/>
      <c r="I319" s="15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T319" s="14"/>
      <c r="CW319" s="3"/>
      <c r="DG319" s="4"/>
    </row>
    <row r="320" customFormat="false" ht="11.25" hidden="false" customHeight="true" outlineLevel="0" collapsed="false">
      <c r="A320" s="14"/>
      <c r="B320" s="15"/>
      <c r="C320" s="15"/>
      <c r="D320" s="14"/>
      <c r="E320" s="14"/>
      <c r="F320" s="14"/>
      <c r="G320" s="14"/>
      <c r="H320" s="15"/>
      <c r="I320" s="15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T320" s="14"/>
      <c r="CW320" s="3"/>
      <c r="DG320" s="4"/>
    </row>
    <row r="321" customFormat="false" ht="11.25" hidden="false" customHeight="true" outlineLevel="0" collapsed="false">
      <c r="A321" s="14"/>
      <c r="B321" s="15"/>
      <c r="C321" s="15"/>
      <c r="D321" s="14"/>
      <c r="E321" s="14"/>
      <c r="F321" s="14"/>
      <c r="G321" s="14"/>
      <c r="H321" s="15"/>
      <c r="I321" s="15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T321" s="14"/>
      <c r="CW321" s="3"/>
      <c r="DG321" s="4"/>
    </row>
    <row r="322" customFormat="false" ht="11.25" hidden="false" customHeight="true" outlineLevel="0" collapsed="false">
      <c r="A322" s="14"/>
      <c r="B322" s="15"/>
      <c r="C322" s="15"/>
      <c r="D322" s="14"/>
      <c r="E322" s="14"/>
      <c r="F322" s="14"/>
      <c r="G322" s="14"/>
      <c r="H322" s="15"/>
      <c r="I322" s="15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T322" s="14"/>
      <c r="CW322" s="3"/>
      <c r="DG322" s="4"/>
    </row>
    <row r="323" customFormat="false" ht="11.25" hidden="false" customHeight="true" outlineLevel="0" collapsed="false">
      <c r="A323" s="14"/>
      <c r="B323" s="15"/>
      <c r="C323" s="15"/>
      <c r="D323" s="14"/>
      <c r="E323" s="14"/>
      <c r="F323" s="14"/>
      <c r="G323" s="14"/>
      <c r="H323" s="15"/>
      <c r="I323" s="15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T323" s="14"/>
      <c r="CW323" s="3"/>
      <c r="DG323" s="4"/>
    </row>
    <row r="324" customFormat="false" ht="11.25" hidden="false" customHeight="true" outlineLevel="0" collapsed="false">
      <c r="A324" s="14"/>
      <c r="B324" s="15"/>
      <c r="C324" s="15"/>
      <c r="D324" s="14"/>
      <c r="E324" s="14"/>
      <c r="F324" s="14"/>
      <c r="G324" s="14"/>
      <c r="H324" s="15"/>
      <c r="I324" s="15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T324" s="14"/>
      <c r="CW324" s="3"/>
      <c r="DG324" s="4"/>
    </row>
    <row r="325" customFormat="false" ht="11.25" hidden="false" customHeight="true" outlineLevel="0" collapsed="false">
      <c r="A325" s="14"/>
      <c r="B325" s="15"/>
      <c r="C325" s="15"/>
      <c r="D325" s="14"/>
      <c r="E325" s="14"/>
      <c r="F325" s="14"/>
      <c r="G325" s="14"/>
      <c r="H325" s="15"/>
      <c r="I325" s="15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T325" s="14"/>
      <c r="CW325" s="3"/>
      <c r="DG325" s="4"/>
    </row>
    <row r="326" customFormat="false" ht="11.25" hidden="false" customHeight="true" outlineLevel="0" collapsed="false">
      <c r="A326" s="14"/>
      <c r="B326" s="15"/>
      <c r="C326" s="15"/>
      <c r="D326" s="14"/>
      <c r="E326" s="14"/>
      <c r="F326" s="14"/>
      <c r="G326" s="14"/>
      <c r="H326" s="15"/>
      <c r="I326" s="15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T326" s="14"/>
      <c r="CW326" s="3"/>
      <c r="DG326" s="4"/>
    </row>
    <row r="327" customFormat="false" ht="11.25" hidden="false" customHeight="true" outlineLevel="0" collapsed="false">
      <c r="A327" s="14"/>
      <c r="B327" s="15"/>
      <c r="C327" s="15"/>
      <c r="D327" s="14"/>
      <c r="E327" s="14"/>
      <c r="F327" s="14"/>
      <c r="G327" s="14"/>
      <c r="H327" s="15"/>
      <c r="I327" s="15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T327" s="14"/>
      <c r="CW327" s="3"/>
      <c r="DG327" s="4"/>
    </row>
    <row r="328" customFormat="false" ht="11.25" hidden="false" customHeight="true" outlineLevel="0" collapsed="false">
      <c r="A328" s="14"/>
      <c r="B328" s="15"/>
      <c r="C328" s="15"/>
      <c r="D328" s="14"/>
      <c r="E328" s="14"/>
      <c r="F328" s="14"/>
      <c r="G328" s="14"/>
      <c r="H328" s="15"/>
      <c r="I328" s="15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T328" s="14"/>
      <c r="CW328" s="3"/>
      <c r="DG328" s="4"/>
    </row>
    <row r="329" customFormat="false" ht="11.25" hidden="false" customHeight="true" outlineLevel="0" collapsed="false">
      <c r="A329" s="14"/>
      <c r="B329" s="15"/>
      <c r="C329" s="15"/>
      <c r="D329" s="14"/>
      <c r="E329" s="14"/>
      <c r="F329" s="14"/>
      <c r="G329" s="14"/>
      <c r="H329" s="15"/>
      <c r="I329" s="15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T329" s="14"/>
      <c r="CW329" s="3"/>
      <c r="DG329" s="4"/>
    </row>
    <row r="330" customFormat="false" ht="11.25" hidden="false" customHeight="true" outlineLevel="0" collapsed="false">
      <c r="A330" s="14"/>
      <c r="B330" s="15"/>
      <c r="C330" s="15"/>
      <c r="D330" s="14"/>
      <c r="E330" s="14"/>
      <c r="F330" s="14"/>
      <c r="G330" s="14"/>
      <c r="H330" s="15"/>
      <c r="I330" s="15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T330" s="14"/>
      <c r="CW330" s="3"/>
      <c r="DG330" s="4"/>
    </row>
    <row r="331" customFormat="false" ht="11.25" hidden="false" customHeight="true" outlineLevel="0" collapsed="false">
      <c r="A331" s="14"/>
      <c r="B331" s="15"/>
      <c r="C331" s="15"/>
      <c r="D331" s="14"/>
      <c r="E331" s="14"/>
      <c r="F331" s="14"/>
      <c r="G331" s="14"/>
      <c r="H331" s="15"/>
      <c r="I331" s="15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T331" s="14"/>
      <c r="CW331" s="3"/>
      <c r="DG331" s="4"/>
    </row>
    <row r="332" customFormat="false" ht="11.25" hidden="false" customHeight="true" outlineLevel="0" collapsed="false">
      <c r="A332" s="14"/>
      <c r="B332" s="15"/>
      <c r="C332" s="15"/>
      <c r="D332" s="14"/>
      <c r="E332" s="14"/>
      <c r="F332" s="14"/>
      <c r="G332" s="14"/>
      <c r="H332" s="15"/>
      <c r="I332" s="15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T332" s="14"/>
      <c r="CW332" s="3"/>
      <c r="DG332" s="4"/>
    </row>
    <row r="333" customFormat="false" ht="11.25" hidden="false" customHeight="true" outlineLevel="0" collapsed="false">
      <c r="A333" s="14"/>
      <c r="B333" s="15"/>
      <c r="C333" s="15"/>
      <c r="D333" s="14"/>
      <c r="E333" s="14"/>
      <c r="F333" s="14"/>
      <c r="G333" s="14"/>
      <c r="H333" s="15"/>
      <c r="I333" s="15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T333" s="14"/>
      <c r="CW333" s="3"/>
      <c r="DG333" s="4"/>
    </row>
    <row r="334" customFormat="false" ht="11.25" hidden="false" customHeight="true" outlineLevel="0" collapsed="false">
      <c r="A334" s="14"/>
      <c r="B334" s="15"/>
      <c r="C334" s="15"/>
      <c r="D334" s="14"/>
      <c r="E334" s="14"/>
      <c r="F334" s="14"/>
      <c r="G334" s="14"/>
      <c r="H334" s="15"/>
      <c r="I334" s="15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T334" s="14"/>
      <c r="CW334" s="3"/>
      <c r="DG334" s="4"/>
    </row>
    <row r="335" customFormat="false" ht="11.25" hidden="false" customHeight="true" outlineLevel="0" collapsed="false">
      <c r="A335" s="14"/>
      <c r="B335" s="15"/>
      <c r="C335" s="15"/>
      <c r="D335" s="14"/>
      <c r="E335" s="14"/>
      <c r="F335" s="14"/>
      <c r="G335" s="14"/>
      <c r="H335" s="15"/>
      <c r="I335" s="15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T335" s="14"/>
      <c r="CW335" s="3"/>
      <c r="DG335" s="4"/>
    </row>
    <row r="336" customFormat="false" ht="11.25" hidden="false" customHeight="true" outlineLevel="0" collapsed="false">
      <c r="A336" s="14"/>
      <c r="B336" s="15"/>
      <c r="C336" s="15"/>
      <c r="D336" s="14"/>
      <c r="E336" s="14"/>
      <c r="F336" s="14"/>
      <c r="G336" s="14"/>
      <c r="H336" s="15"/>
      <c r="I336" s="15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T336" s="14"/>
      <c r="CW336" s="3"/>
      <c r="DG336" s="4"/>
    </row>
    <row r="337" customFormat="false" ht="11.25" hidden="false" customHeight="true" outlineLevel="0" collapsed="false">
      <c r="A337" s="14"/>
      <c r="B337" s="15"/>
      <c r="C337" s="15"/>
      <c r="D337" s="14"/>
      <c r="E337" s="14"/>
      <c r="F337" s="14"/>
      <c r="G337" s="14"/>
      <c r="H337" s="15"/>
      <c r="I337" s="15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T337" s="14"/>
      <c r="CW337" s="3"/>
      <c r="DG337" s="4"/>
    </row>
    <row r="338" customFormat="false" ht="11.25" hidden="false" customHeight="true" outlineLevel="0" collapsed="false">
      <c r="A338" s="14"/>
      <c r="B338" s="15"/>
      <c r="C338" s="15"/>
      <c r="D338" s="14"/>
      <c r="E338" s="14"/>
      <c r="F338" s="14"/>
      <c r="G338" s="14"/>
      <c r="H338" s="15"/>
      <c r="I338" s="15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T338" s="14"/>
      <c r="CW338" s="3"/>
      <c r="DG338" s="4"/>
    </row>
    <row r="339" customFormat="false" ht="11.25" hidden="false" customHeight="true" outlineLevel="0" collapsed="false">
      <c r="A339" s="14"/>
      <c r="B339" s="15"/>
      <c r="C339" s="15"/>
      <c r="D339" s="14"/>
      <c r="E339" s="14"/>
      <c r="F339" s="14"/>
      <c r="G339" s="14"/>
      <c r="H339" s="15"/>
      <c r="I339" s="15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T339" s="14"/>
      <c r="CW339" s="3"/>
      <c r="DG339" s="4"/>
    </row>
    <row r="340" customFormat="false" ht="11.25" hidden="false" customHeight="true" outlineLevel="0" collapsed="false">
      <c r="A340" s="14"/>
      <c r="B340" s="15"/>
      <c r="C340" s="15"/>
      <c r="D340" s="14"/>
      <c r="E340" s="14"/>
      <c r="F340" s="14"/>
      <c r="G340" s="14"/>
      <c r="H340" s="15"/>
      <c r="I340" s="15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T340" s="14"/>
      <c r="CW340" s="3"/>
      <c r="DG340" s="4"/>
    </row>
    <row r="341" customFormat="false" ht="11.25" hidden="false" customHeight="true" outlineLevel="0" collapsed="false">
      <c r="A341" s="14"/>
      <c r="B341" s="15"/>
      <c r="C341" s="15"/>
      <c r="D341" s="14"/>
      <c r="E341" s="14"/>
      <c r="F341" s="14"/>
      <c r="G341" s="14"/>
      <c r="H341" s="15"/>
      <c r="I341" s="15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T341" s="14"/>
      <c r="CW341" s="3"/>
      <c r="DG341" s="4"/>
    </row>
    <row r="342" customFormat="false" ht="11.25" hidden="false" customHeight="true" outlineLevel="0" collapsed="false">
      <c r="A342" s="14"/>
      <c r="B342" s="15"/>
      <c r="C342" s="15"/>
      <c r="D342" s="14"/>
      <c r="E342" s="14"/>
      <c r="F342" s="14"/>
      <c r="G342" s="14"/>
      <c r="H342" s="15"/>
      <c r="I342" s="15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T342" s="14"/>
      <c r="CW342" s="3"/>
      <c r="DG342" s="4"/>
    </row>
    <row r="343" customFormat="false" ht="11.25" hidden="false" customHeight="true" outlineLevel="0" collapsed="false">
      <c r="A343" s="14"/>
      <c r="B343" s="15"/>
      <c r="C343" s="15"/>
      <c r="D343" s="14"/>
      <c r="E343" s="14"/>
      <c r="F343" s="14"/>
      <c r="G343" s="14"/>
      <c r="H343" s="15"/>
      <c r="I343" s="15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T343" s="14"/>
      <c r="CW343" s="3"/>
      <c r="DG343" s="4"/>
    </row>
    <row r="344" customFormat="false" ht="11.25" hidden="false" customHeight="true" outlineLevel="0" collapsed="false">
      <c r="A344" s="14"/>
      <c r="B344" s="15"/>
      <c r="C344" s="15"/>
      <c r="D344" s="14"/>
      <c r="E344" s="14"/>
      <c r="F344" s="14"/>
      <c r="G344" s="14"/>
      <c r="H344" s="15"/>
      <c r="I344" s="15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T344" s="14"/>
      <c r="CW344" s="3"/>
      <c r="DG344" s="4"/>
    </row>
    <row r="345" customFormat="false" ht="11.25" hidden="false" customHeight="true" outlineLevel="0" collapsed="false">
      <c r="A345" s="14"/>
      <c r="B345" s="15"/>
      <c r="C345" s="15"/>
      <c r="D345" s="14"/>
      <c r="E345" s="14"/>
      <c r="F345" s="14"/>
      <c r="G345" s="14"/>
      <c r="H345" s="15"/>
      <c r="I345" s="15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T345" s="14"/>
      <c r="CW345" s="3"/>
      <c r="DG345" s="4"/>
    </row>
    <row r="346" customFormat="false" ht="11.25" hidden="false" customHeight="true" outlineLevel="0" collapsed="false">
      <c r="A346" s="14"/>
      <c r="B346" s="15"/>
      <c r="C346" s="15"/>
      <c r="D346" s="14"/>
      <c r="E346" s="14"/>
      <c r="F346" s="14"/>
      <c r="G346" s="14"/>
      <c r="H346" s="15"/>
      <c r="I346" s="15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T346" s="14"/>
      <c r="CW346" s="3"/>
      <c r="DG346" s="4"/>
    </row>
    <row r="347" customFormat="false" ht="11.25" hidden="false" customHeight="true" outlineLevel="0" collapsed="false">
      <c r="A347" s="14"/>
      <c r="B347" s="15"/>
      <c r="C347" s="15"/>
      <c r="D347" s="14"/>
      <c r="E347" s="14"/>
      <c r="F347" s="14"/>
      <c r="G347" s="14"/>
      <c r="H347" s="15"/>
      <c r="I347" s="15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T347" s="14"/>
      <c r="CW347" s="3"/>
      <c r="DG347" s="4"/>
    </row>
    <row r="348" customFormat="false" ht="11.25" hidden="false" customHeight="true" outlineLevel="0" collapsed="false">
      <c r="A348" s="14"/>
      <c r="B348" s="15"/>
      <c r="C348" s="15"/>
      <c r="D348" s="14"/>
      <c r="E348" s="14"/>
      <c r="F348" s="14"/>
      <c r="G348" s="14"/>
      <c r="H348" s="15"/>
      <c r="I348" s="15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T348" s="14"/>
      <c r="CW348" s="3"/>
      <c r="DG348" s="4"/>
    </row>
    <row r="349" customFormat="false" ht="11.25" hidden="false" customHeight="true" outlineLevel="0" collapsed="false">
      <c r="A349" s="14"/>
      <c r="B349" s="15"/>
      <c r="C349" s="15"/>
      <c r="D349" s="14"/>
      <c r="E349" s="14"/>
      <c r="F349" s="14"/>
      <c r="G349" s="14"/>
      <c r="H349" s="15"/>
      <c r="I349" s="15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T349" s="14"/>
      <c r="CW349" s="3"/>
      <c r="DG349" s="4"/>
    </row>
    <row r="350" customFormat="false" ht="11.25" hidden="false" customHeight="true" outlineLevel="0" collapsed="false">
      <c r="A350" s="14"/>
      <c r="B350" s="15"/>
      <c r="C350" s="15"/>
      <c r="D350" s="14"/>
      <c r="E350" s="14"/>
      <c r="F350" s="14"/>
      <c r="G350" s="14"/>
      <c r="H350" s="15"/>
      <c r="I350" s="15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T350" s="14"/>
      <c r="CW350" s="3"/>
      <c r="DG350" s="4"/>
    </row>
    <row r="351" customFormat="false" ht="11.25" hidden="false" customHeight="true" outlineLevel="0" collapsed="false">
      <c r="A351" s="14"/>
      <c r="B351" s="15"/>
      <c r="C351" s="15"/>
      <c r="D351" s="14"/>
      <c r="E351" s="14"/>
      <c r="F351" s="14"/>
      <c r="G351" s="14"/>
      <c r="H351" s="15"/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T351" s="14"/>
      <c r="CW351" s="3"/>
      <c r="DG351" s="4"/>
    </row>
    <row r="352" customFormat="false" ht="11.25" hidden="false" customHeight="true" outlineLevel="0" collapsed="false">
      <c r="A352" s="14"/>
      <c r="B352" s="15"/>
      <c r="C352" s="15"/>
      <c r="D352" s="14"/>
      <c r="E352" s="14"/>
      <c r="F352" s="14"/>
      <c r="G352" s="14"/>
      <c r="H352" s="15"/>
      <c r="I352" s="15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T352" s="14"/>
      <c r="CW352" s="3"/>
      <c r="DG352" s="4"/>
    </row>
    <row r="353" customFormat="false" ht="11.25" hidden="false" customHeight="true" outlineLevel="0" collapsed="false">
      <c r="A353" s="14"/>
      <c r="B353" s="15"/>
      <c r="C353" s="15"/>
      <c r="D353" s="14"/>
      <c r="E353" s="14"/>
      <c r="F353" s="14"/>
      <c r="G353" s="14"/>
      <c r="H353" s="15"/>
      <c r="I353" s="15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T353" s="14"/>
      <c r="CW353" s="3"/>
      <c r="DG353" s="4"/>
    </row>
    <row r="354" customFormat="false" ht="11.25" hidden="false" customHeight="true" outlineLevel="0" collapsed="false">
      <c r="A354" s="14"/>
      <c r="B354" s="15"/>
      <c r="C354" s="15"/>
      <c r="D354" s="14"/>
      <c r="E354" s="14"/>
      <c r="F354" s="14"/>
      <c r="G354" s="14"/>
      <c r="H354" s="15"/>
      <c r="I354" s="15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T354" s="14"/>
      <c r="CW354" s="3"/>
      <c r="DG354" s="4"/>
    </row>
    <row r="355" customFormat="false" ht="11.25" hidden="false" customHeight="true" outlineLevel="0" collapsed="false">
      <c r="A355" s="14"/>
      <c r="B355" s="15"/>
      <c r="C355" s="15"/>
      <c r="D355" s="14"/>
      <c r="E355" s="14"/>
      <c r="F355" s="14"/>
      <c r="G355" s="14"/>
      <c r="H355" s="15"/>
      <c r="I355" s="15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T355" s="14"/>
      <c r="CW355" s="3"/>
      <c r="DG355" s="4"/>
    </row>
    <row r="356" customFormat="false" ht="11.25" hidden="false" customHeight="true" outlineLevel="0" collapsed="false">
      <c r="A356" s="14"/>
      <c r="B356" s="15"/>
      <c r="C356" s="15"/>
      <c r="D356" s="14"/>
      <c r="E356" s="14"/>
      <c r="F356" s="14"/>
      <c r="G356" s="14"/>
      <c r="H356" s="15"/>
      <c r="I356" s="15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T356" s="14"/>
      <c r="CW356" s="3"/>
      <c r="DG356" s="4"/>
    </row>
    <row r="357" customFormat="false" ht="11.25" hidden="false" customHeight="true" outlineLevel="0" collapsed="false">
      <c r="A357" s="14"/>
      <c r="B357" s="15"/>
      <c r="C357" s="15"/>
      <c r="D357" s="14"/>
      <c r="E357" s="14"/>
      <c r="F357" s="14"/>
      <c r="G357" s="14"/>
      <c r="H357" s="15"/>
      <c r="I357" s="15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T357" s="14"/>
      <c r="CW357" s="3"/>
      <c r="DG357" s="4"/>
    </row>
    <row r="358" customFormat="false" ht="11.25" hidden="false" customHeight="true" outlineLevel="0" collapsed="false">
      <c r="A358" s="14"/>
      <c r="B358" s="15"/>
      <c r="C358" s="15"/>
      <c r="D358" s="14"/>
      <c r="E358" s="14"/>
      <c r="F358" s="14"/>
      <c r="G358" s="14"/>
      <c r="H358" s="15"/>
      <c r="I358" s="15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T358" s="14"/>
      <c r="CW358" s="3"/>
      <c r="DG358" s="4"/>
    </row>
    <row r="359" customFormat="false" ht="11.25" hidden="false" customHeight="true" outlineLevel="0" collapsed="false">
      <c r="A359" s="14"/>
      <c r="B359" s="15"/>
      <c r="C359" s="15"/>
      <c r="D359" s="14"/>
      <c r="E359" s="14"/>
      <c r="F359" s="14"/>
      <c r="G359" s="14"/>
      <c r="H359" s="15"/>
      <c r="I359" s="15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T359" s="14"/>
      <c r="CW359" s="3"/>
      <c r="DG359" s="4"/>
    </row>
    <row r="360" customFormat="false" ht="11.25" hidden="false" customHeight="true" outlineLevel="0" collapsed="false">
      <c r="A360" s="14"/>
      <c r="B360" s="15"/>
      <c r="C360" s="15"/>
      <c r="D360" s="14"/>
      <c r="E360" s="14"/>
      <c r="F360" s="14"/>
      <c r="G360" s="14"/>
      <c r="H360" s="15"/>
      <c r="I360" s="15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T360" s="14"/>
      <c r="CW360" s="3"/>
      <c r="DG360" s="4"/>
    </row>
    <row r="361" customFormat="false" ht="11.25" hidden="false" customHeight="true" outlineLevel="0" collapsed="false">
      <c r="A361" s="14"/>
      <c r="B361" s="15"/>
      <c r="C361" s="15"/>
      <c r="D361" s="14"/>
      <c r="E361" s="14"/>
      <c r="F361" s="14"/>
      <c r="G361" s="14"/>
      <c r="H361" s="15"/>
      <c r="I361" s="15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T361" s="14"/>
      <c r="CW361" s="3"/>
      <c r="DG361" s="4"/>
    </row>
    <row r="362" customFormat="false" ht="11.25" hidden="false" customHeight="true" outlineLevel="0" collapsed="false">
      <c r="A362" s="14"/>
      <c r="B362" s="15"/>
      <c r="C362" s="15"/>
      <c r="D362" s="14"/>
      <c r="E362" s="14"/>
      <c r="F362" s="14"/>
      <c r="G362" s="14"/>
      <c r="H362" s="15"/>
      <c r="I362" s="15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T362" s="14"/>
      <c r="CW362" s="3"/>
      <c r="DG362" s="4"/>
    </row>
    <row r="363" customFormat="false" ht="11.25" hidden="false" customHeight="true" outlineLevel="0" collapsed="false">
      <c r="A363" s="14"/>
      <c r="B363" s="15"/>
      <c r="C363" s="15"/>
      <c r="D363" s="14"/>
      <c r="E363" s="14"/>
      <c r="F363" s="14"/>
      <c r="G363" s="14"/>
      <c r="H363" s="15"/>
      <c r="I363" s="15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T363" s="14"/>
      <c r="CW363" s="3"/>
      <c r="DG363" s="4"/>
    </row>
    <row r="364" customFormat="false" ht="11.25" hidden="false" customHeight="true" outlineLevel="0" collapsed="false">
      <c r="A364" s="14"/>
      <c r="B364" s="15"/>
      <c r="C364" s="15"/>
      <c r="D364" s="14"/>
      <c r="E364" s="14"/>
      <c r="F364" s="14"/>
      <c r="G364" s="14"/>
      <c r="H364" s="15"/>
      <c r="I364" s="15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T364" s="14"/>
      <c r="CW364" s="3"/>
      <c r="DG364" s="4"/>
    </row>
    <row r="365" customFormat="false" ht="11.25" hidden="false" customHeight="true" outlineLevel="0" collapsed="false">
      <c r="A365" s="14"/>
      <c r="B365" s="15"/>
      <c r="C365" s="15"/>
      <c r="D365" s="14"/>
      <c r="E365" s="14"/>
      <c r="F365" s="14"/>
      <c r="G365" s="14"/>
      <c r="H365" s="15"/>
      <c r="I365" s="15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T365" s="14"/>
      <c r="CW365" s="3"/>
      <c r="DG365" s="4"/>
    </row>
    <row r="366" customFormat="false" ht="11.25" hidden="false" customHeight="true" outlineLevel="0" collapsed="false">
      <c r="A366" s="14"/>
      <c r="B366" s="15"/>
      <c r="C366" s="15"/>
      <c r="D366" s="14"/>
      <c r="E366" s="14"/>
      <c r="F366" s="14"/>
      <c r="G366" s="14"/>
      <c r="H366" s="15"/>
      <c r="I366" s="15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T366" s="14"/>
      <c r="CW366" s="3"/>
      <c r="DG366" s="4"/>
    </row>
    <row r="367" customFormat="false" ht="11.25" hidden="false" customHeight="true" outlineLevel="0" collapsed="false">
      <c r="A367" s="14"/>
      <c r="B367" s="15"/>
      <c r="C367" s="15"/>
      <c r="D367" s="14"/>
      <c r="E367" s="14"/>
      <c r="F367" s="14"/>
      <c r="G367" s="14"/>
      <c r="H367" s="15"/>
      <c r="I367" s="15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T367" s="14"/>
      <c r="CW367" s="3"/>
      <c r="DG367" s="4"/>
    </row>
    <row r="368" customFormat="false" ht="11.25" hidden="false" customHeight="true" outlineLevel="0" collapsed="false">
      <c r="A368" s="14"/>
      <c r="B368" s="15"/>
      <c r="C368" s="15"/>
      <c r="D368" s="14"/>
      <c r="E368" s="14"/>
      <c r="F368" s="14"/>
      <c r="G368" s="14"/>
      <c r="H368" s="15"/>
      <c r="I368" s="15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T368" s="14"/>
      <c r="CW368" s="3"/>
      <c r="DG368" s="4"/>
    </row>
    <row r="369" customFormat="false" ht="11.25" hidden="false" customHeight="true" outlineLevel="0" collapsed="false">
      <c r="A369" s="14"/>
      <c r="B369" s="15"/>
      <c r="C369" s="15"/>
      <c r="D369" s="14"/>
      <c r="E369" s="14"/>
      <c r="F369" s="14"/>
      <c r="G369" s="14"/>
      <c r="H369" s="15"/>
      <c r="I369" s="15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T369" s="14"/>
      <c r="CW369" s="3"/>
      <c r="DG369" s="4"/>
    </row>
    <row r="370" customFormat="false" ht="11.25" hidden="false" customHeight="true" outlineLevel="0" collapsed="false">
      <c r="A370" s="14"/>
      <c r="B370" s="15"/>
      <c r="C370" s="15"/>
      <c r="D370" s="14"/>
      <c r="E370" s="14"/>
      <c r="F370" s="14"/>
      <c r="G370" s="14"/>
      <c r="H370" s="15"/>
      <c r="I370" s="15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T370" s="14"/>
      <c r="CW370" s="3"/>
      <c r="DG370" s="4"/>
    </row>
    <row r="371" customFormat="false" ht="11.25" hidden="false" customHeight="true" outlineLevel="0" collapsed="false">
      <c r="A371" s="14"/>
      <c r="B371" s="15"/>
      <c r="C371" s="15"/>
      <c r="D371" s="14"/>
      <c r="E371" s="14"/>
      <c r="F371" s="14"/>
      <c r="G371" s="14"/>
      <c r="H371" s="15"/>
      <c r="I371" s="15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T371" s="14"/>
      <c r="CW371" s="3"/>
      <c r="DG371" s="4"/>
    </row>
    <row r="372" customFormat="false" ht="11.25" hidden="false" customHeight="true" outlineLevel="0" collapsed="false">
      <c r="A372" s="14"/>
      <c r="B372" s="15"/>
      <c r="C372" s="15"/>
      <c r="D372" s="14"/>
      <c r="E372" s="14"/>
      <c r="F372" s="14"/>
      <c r="G372" s="14"/>
      <c r="H372" s="15"/>
      <c r="I372" s="15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T372" s="14"/>
      <c r="CW372" s="3"/>
      <c r="DG372" s="4"/>
    </row>
    <row r="373" customFormat="false" ht="11.25" hidden="false" customHeight="true" outlineLevel="0" collapsed="false">
      <c r="A373" s="14"/>
      <c r="B373" s="15"/>
      <c r="C373" s="15"/>
      <c r="D373" s="14"/>
      <c r="E373" s="14"/>
      <c r="F373" s="14"/>
      <c r="G373" s="14"/>
      <c r="H373" s="15"/>
      <c r="I373" s="15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T373" s="14"/>
      <c r="CW373" s="3"/>
      <c r="DG373" s="4"/>
    </row>
    <row r="374" customFormat="false" ht="11.25" hidden="false" customHeight="true" outlineLevel="0" collapsed="false">
      <c r="A374" s="14"/>
      <c r="B374" s="15"/>
      <c r="C374" s="15"/>
      <c r="D374" s="14"/>
      <c r="E374" s="14"/>
      <c r="F374" s="14"/>
      <c r="G374" s="14"/>
      <c r="H374" s="15"/>
      <c r="I374" s="15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T374" s="14"/>
      <c r="CW374" s="3"/>
      <c r="DG374" s="4"/>
    </row>
    <row r="375" customFormat="false" ht="11.25" hidden="false" customHeight="true" outlineLevel="0" collapsed="false">
      <c r="A375" s="14"/>
      <c r="B375" s="15"/>
      <c r="C375" s="15"/>
      <c r="D375" s="14"/>
      <c r="E375" s="14"/>
      <c r="F375" s="14"/>
      <c r="G375" s="14"/>
      <c r="H375" s="15"/>
      <c r="I375" s="15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T375" s="14"/>
      <c r="CW375" s="3"/>
      <c r="DG375" s="4"/>
    </row>
    <row r="376" customFormat="false" ht="11.25" hidden="false" customHeight="true" outlineLevel="0" collapsed="false">
      <c r="A376" s="14"/>
      <c r="B376" s="15"/>
      <c r="C376" s="15"/>
      <c r="D376" s="14"/>
      <c r="E376" s="14"/>
      <c r="F376" s="14"/>
      <c r="G376" s="14"/>
      <c r="H376" s="15"/>
      <c r="I376" s="15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T376" s="14"/>
      <c r="CW376" s="3"/>
      <c r="DG376" s="4"/>
    </row>
    <row r="377" customFormat="false" ht="11.25" hidden="false" customHeight="true" outlineLevel="0" collapsed="false">
      <c r="A377" s="14"/>
      <c r="B377" s="15"/>
      <c r="C377" s="15"/>
      <c r="D377" s="14"/>
      <c r="E377" s="14"/>
      <c r="F377" s="14"/>
      <c r="G377" s="14"/>
      <c r="H377" s="15"/>
      <c r="I377" s="15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T377" s="14"/>
      <c r="CW377" s="3"/>
      <c r="DG377" s="4"/>
    </row>
    <row r="378" customFormat="false" ht="11.25" hidden="false" customHeight="true" outlineLevel="0" collapsed="false">
      <c r="A378" s="14"/>
      <c r="B378" s="15"/>
      <c r="C378" s="15"/>
      <c r="D378" s="14"/>
      <c r="E378" s="14"/>
      <c r="F378" s="14"/>
      <c r="G378" s="14"/>
      <c r="H378" s="15"/>
      <c r="I378" s="15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T378" s="14"/>
      <c r="CW378" s="3"/>
      <c r="DG378" s="4"/>
    </row>
    <row r="379" customFormat="false" ht="11.25" hidden="false" customHeight="true" outlineLevel="0" collapsed="false">
      <c r="A379" s="14"/>
      <c r="B379" s="15"/>
      <c r="C379" s="15"/>
      <c r="D379" s="14"/>
      <c r="E379" s="14"/>
      <c r="F379" s="14"/>
      <c r="G379" s="14"/>
      <c r="H379" s="15"/>
      <c r="I379" s="15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T379" s="14"/>
      <c r="CW379" s="3"/>
      <c r="DG379" s="4"/>
    </row>
    <row r="380" customFormat="false" ht="11.25" hidden="false" customHeight="true" outlineLevel="0" collapsed="false">
      <c r="A380" s="14"/>
      <c r="B380" s="15"/>
      <c r="C380" s="15"/>
      <c r="D380" s="14"/>
      <c r="E380" s="14"/>
      <c r="F380" s="14"/>
      <c r="G380" s="14"/>
      <c r="H380" s="15"/>
      <c r="I380" s="15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T380" s="14"/>
      <c r="CW380" s="3"/>
      <c r="DG380" s="4"/>
    </row>
    <row r="381" customFormat="false" ht="11.25" hidden="false" customHeight="true" outlineLevel="0" collapsed="false">
      <c r="A381" s="14"/>
      <c r="B381" s="15"/>
      <c r="C381" s="15"/>
      <c r="D381" s="14"/>
      <c r="E381" s="14"/>
      <c r="F381" s="14"/>
      <c r="G381" s="14"/>
      <c r="H381" s="15"/>
      <c r="I381" s="15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T381" s="14"/>
      <c r="CW381" s="3"/>
      <c r="DG381" s="4"/>
    </row>
    <row r="382" customFormat="false" ht="11.25" hidden="false" customHeight="true" outlineLevel="0" collapsed="false">
      <c r="A382" s="14"/>
      <c r="B382" s="15"/>
      <c r="C382" s="15"/>
      <c r="D382" s="14"/>
      <c r="E382" s="14"/>
      <c r="F382" s="14"/>
      <c r="G382" s="14"/>
      <c r="H382" s="15"/>
      <c r="I382" s="15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T382" s="14"/>
      <c r="CW382" s="3"/>
      <c r="DG382" s="4"/>
    </row>
    <row r="383" customFormat="false" ht="11.25" hidden="false" customHeight="true" outlineLevel="0" collapsed="false">
      <c r="A383" s="14"/>
      <c r="B383" s="15"/>
      <c r="C383" s="15"/>
      <c r="D383" s="14"/>
      <c r="E383" s="14"/>
      <c r="F383" s="14"/>
      <c r="G383" s="14"/>
      <c r="H383" s="15"/>
      <c r="I383" s="15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T383" s="14"/>
      <c r="CW383" s="3"/>
      <c r="DG383" s="4"/>
    </row>
    <row r="384" customFormat="false" ht="11.25" hidden="false" customHeight="true" outlineLevel="0" collapsed="false">
      <c r="A384" s="14"/>
      <c r="B384" s="15"/>
      <c r="C384" s="15"/>
      <c r="D384" s="14"/>
      <c r="E384" s="14"/>
      <c r="F384" s="14"/>
      <c r="G384" s="14"/>
      <c r="H384" s="15"/>
      <c r="I384" s="15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T384" s="14"/>
      <c r="CW384" s="3"/>
      <c r="DG384" s="4"/>
    </row>
    <row r="385" customFormat="false" ht="11.25" hidden="false" customHeight="true" outlineLevel="0" collapsed="false">
      <c r="A385" s="14"/>
      <c r="B385" s="15"/>
      <c r="C385" s="15"/>
      <c r="D385" s="14"/>
      <c r="E385" s="14"/>
      <c r="F385" s="14"/>
      <c r="G385" s="14"/>
      <c r="H385" s="15"/>
      <c r="I385" s="15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T385" s="14"/>
      <c r="CW385" s="3"/>
      <c r="DG385" s="4"/>
    </row>
    <row r="386" customFormat="false" ht="11.25" hidden="false" customHeight="true" outlineLevel="0" collapsed="false">
      <c r="A386" s="14"/>
      <c r="B386" s="15"/>
      <c r="C386" s="15"/>
      <c r="D386" s="14"/>
      <c r="E386" s="14"/>
      <c r="F386" s="14"/>
      <c r="G386" s="14"/>
      <c r="H386" s="15"/>
      <c r="I386" s="15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T386" s="14"/>
      <c r="CW386" s="3"/>
      <c r="DG386" s="4"/>
    </row>
    <row r="387" customFormat="false" ht="11.25" hidden="false" customHeight="true" outlineLevel="0" collapsed="false">
      <c r="A387" s="14"/>
      <c r="B387" s="15"/>
      <c r="C387" s="15"/>
      <c r="D387" s="14"/>
      <c r="E387" s="14"/>
      <c r="F387" s="14"/>
      <c r="G387" s="14"/>
      <c r="H387" s="15"/>
      <c r="I387" s="15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T387" s="14"/>
      <c r="CW387" s="3"/>
      <c r="DG387" s="4"/>
    </row>
    <row r="388" customFormat="false" ht="11.25" hidden="false" customHeight="true" outlineLevel="0" collapsed="false">
      <c r="A388" s="14"/>
      <c r="B388" s="15"/>
      <c r="C388" s="15"/>
      <c r="D388" s="14"/>
      <c r="E388" s="14"/>
      <c r="F388" s="14"/>
      <c r="G388" s="14"/>
      <c r="H388" s="15"/>
      <c r="I388" s="15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T388" s="14"/>
      <c r="CW388" s="3"/>
      <c r="DG388" s="4"/>
    </row>
    <row r="389" customFormat="false" ht="11.25" hidden="false" customHeight="true" outlineLevel="0" collapsed="false">
      <c r="A389" s="14"/>
      <c r="B389" s="15"/>
      <c r="C389" s="15"/>
      <c r="D389" s="14"/>
      <c r="E389" s="14"/>
      <c r="F389" s="14"/>
      <c r="G389" s="14"/>
      <c r="H389" s="15"/>
      <c r="I389" s="15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T389" s="14"/>
      <c r="CW389" s="3"/>
      <c r="DG389" s="4"/>
    </row>
    <row r="390" customFormat="false" ht="11.25" hidden="false" customHeight="true" outlineLevel="0" collapsed="false">
      <c r="A390" s="14"/>
      <c r="B390" s="15"/>
      <c r="C390" s="15"/>
      <c r="D390" s="14"/>
      <c r="E390" s="14"/>
      <c r="F390" s="14"/>
      <c r="G390" s="14"/>
      <c r="H390" s="15"/>
      <c r="I390" s="15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T390" s="14"/>
      <c r="CW390" s="3"/>
      <c r="DG390" s="4"/>
    </row>
    <row r="391" customFormat="false" ht="11.25" hidden="false" customHeight="true" outlineLevel="0" collapsed="false">
      <c r="A391" s="14"/>
      <c r="B391" s="15"/>
      <c r="C391" s="15"/>
      <c r="D391" s="14"/>
      <c r="E391" s="14"/>
      <c r="F391" s="14"/>
      <c r="G391" s="14"/>
      <c r="H391" s="15"/>
      <c r="I391" s="15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T391" s="14"/>
      <c r="CW391" s="3"/>
      <c r="DG391" s="4"/>
    </row>
    <row r="392" customFormat="false" ht="11.25" hidden="false" customHeight="true" outlineLevel="0" collapsed="false">
      <c r="A392" s="14"/>
      <c r="B392" s="15"/>
      <c r="C392" s="15"/>
      <c r="D392" s="14"/>
      <c r="E392" s="14"/>
      <c r="F392" s="14"/>
      <c r="G392" s="14"/>
      <c r="H392" s="15"/>
      <c r="I392" s="15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T392" s="14"/>
      <c r="CW392" s="3"/>
      <c r="DG392" s="4"/>
    </row>
    <row r="393" customFormat="false" ht="11.25" hidden="false" customHeight="true" outlineLevel="0" collapsed="false">
      <c r="A393" s="14"/>
      <c r="B393" s="15"/>
      <c r="C393" s="15"/>
      <c r="D393" s="14"/>
      <c r="E393" s="14"/>
      <c r="F393" s="14"/>
      <c r="G393" s="14"/>
      <c r="H393" s="15"/>
      <c r="I393" s="15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T393" s="14"/>
      <c r="CW393" s="3"/>
      <c r="DG393" s="4"/>
    </row>
    <row r="394" customFormat="false" ht="11.25" hidden="false" customHeight="true" outlineLevel="0" collapsed="false">
      <c r="A394" s="14"/>
      <c r="B394" s="15"/>
      <c r="C394" s="15"/>
      <c r="D394" s="14"/>
      <c r="E394" s="14"/>
      <c r="F394" s="14"/>
      <c r="G394" s="14"/>
      <c r="H394" s="15"/>
      <c r="I394" s="15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T394" s="14"/>
      <c r="CW394" s="3"/>
      <c r="DG394" s="4"/>
    </row>
    <row r="395" customFormat="false" ht="11.25" hidden="false" customHeight="true" outlineLevel="0" collapsed="false">
      <c r="A395" s="14"/>
      <c r="B395" s="15"/>
      <c r="C395" s="15"/>
      <c r="D395" s="14"/>
      <c r="E395" s="14"/>
      <c r="F395" s="14"/>
      <c r="G395" s="14"/>
      <c r="H395" s="15"/>
      <c r="I395" s="15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T395" s="14"/>
      <c r="CW395" s="3"/>
      <c r="DG395" s="4"/>
    </row>
    <row r="396" customFormat="false" ht="11.25" hidden="false" customHeight="true" outlineLevel="0" collapsed="false">
      <c r="A396" s="14"/>
      <c r="B396" s="15"/>
      <c r="C396" s="15"/>
      <c r="D396" s="14"/>
      <c r="E396" s="14"/>
      <c r="F396" s="14"/>
      <c r="G396" s="14"/>
      <c r="H396" s="15"/>
      <c r="I396" s="15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T396" s="14"/>
      <c r="CW396" s="3"/>
      <c r="DG396" s="4"/>
    </row>
    <row r="397" customFormat="false" ht="11.25" hidden="false" customHeight="true" outlineLevel="0" collapsed="false">
      <c r="A397" s="14"/>
      <c r="B397" s="15"/>
      <c r="C397" s="15"/>
      <c r="D397" s="14"/>
      <c r="E397" s="14"/>
      <c r="F397" s="14"/>
      <c r="G397" s="14"/>
      <c r="H397" s="15"/>
      <c r="I397" s="15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T397" s="14"/>
      <c r="CW397" s="3"/>
      <c r="DG397" s="4"/>
    </row>
    <row r="398" customFormat="false" ht="11.25" hidden="false" customHeight="true" outlineLevel="0" collapsed="false">
      <c r="A398" s="14"/>
      <c r="B398" s="15"/>
      <c r="C398" s="15"/>
      <c r="D398" s="14"/>
      <c r="E398" s="14"/>
      <c r="F398" s="14"/>
      <c r="G398" s="14"/>
      <c r="H398" s="15"/>
      <c r="I398" s="15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T398" s="14"/>
      <c r="CW398" s="3"/>
      <c r="DG398" s="4"/>
    </row>
    <row r="399" customFormat="false" ht="11.25" hidden="false" customHeight="true" outlineLevel="0" collapsed="false">
      <c r="A399" s="14"/>
      <c r="B399" s="15"/>
      <c r="C399" s="15"/>
      <c r="D399" s="14"/>
      <c r="E399" s="14"/>
      <c r="F399" s="14"/>
      <c r="G399" s="14"/>
      <c r="H399" s="15"/>
      <c r="I399" s="15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T399" s="14"/>
      <c r="CW399" s="3"/>
      <c r="DG399" s="4"/>
    </row>
    <row r="400" customFormat="false" ht="11.25" hidden="false" customHeight="true" outlineLevel="0" collapsed="false">
      <c r="A400" s="14"/>
      <c r="B400" s="15"/>
      <c r="C400" s="15"/>
      <c r="D400" s="14"/>
      <c r="E400" s="14"/>
      <c r="F400" s="14"/>
      <c r="G400" s="14"/>
      <c r="H400" s="15"/>
      <c r="I400" s="15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T400" s="14"/>
      <c r="CW400" s="3"/>
      <c r="DG400" s="4"/>
    </row>
    <row r="401" customFormat="false" ht="11.25" hidden="false" customHeight="true" outlineLevel="0" collapsed="false">
      <c r="A401" s="14"/>
      <c r="B401" s="15"/>
      <c r="C401" s="15"/>
      <c r="D401" s="14"/>
      <c r="E401" s="14"/>
      <c r="F401" s="14"/>
      <c r="G401" s="14"/>
      <c r="H401" s="15"/>
      <c r="I401" s="15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T401" s="14"/>
      <c r="CW401" s="3"/>
      <c r="DG401" s="4"/>
    </row>
    <row r="402" customFormat="false" ht="11.25" hidden="false" customHeight="true" outlineLevel="0" collapsed="false">
      <c r="A402" s="14"/>
      <c r="B402" s="15"/>
      <c r="C402" s="15"/>
      <c r="D402" s="14"/>
      <c r="E402" s="14"/>
      <c r="F402" s="14"/>
      <c r="G402" s="14"/>
      <c r="H402" s="15"/>
      <c r="I402" s="15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T402" s="14"/>
      <c r="CW402" s="3"/>
      <c r="DG402" s="4"/>
    </row>
    <row r="403" customFormat="false" ht="11.25" hidden="false" customHeight="true" outlineLevel="0" collapsed="false">
      <c r="A403" s="14"/>
      <c r="B403" s="15"/>
      <c r="C403" s="15"/>
      <c r="D403" s="14"/>
      <c r="E403" s="14"/>
      <c r="F403" s="14"/>
      <c r="G403" s="14"/>
      <c r="H403" s="15"/>
      <c r="I403" s="15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T403" s="14"/>
      <c r="CW403" s="3"/>
      <c r="DG403" s="4"/>
    </row>
    <row r="404" customFormat="false" ht="11.25" hidden="false" customHeight="true" outlineLevel="0" collapsed="false">
      <c r="A404" s="14"/>
      <c r="B404" s="15"/>
      <c r="C404" s="15"/>
      <c r="D404" s="14"/>
      <c r="E404" s="14"/>
      <c r="F404" s="14"/>
      <c r="G404" s="14"/>
      <c r="H404" s="15"/>
      <c r="I404" s="15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T404" s="14"/>
      <c r="CW404" s="3"/>
      <c r="DG404" s="4"/>
    </row>
    <row r="405" customFormat="false" ht="11.25" hidden="false" customHeight="true" outlineLevel="0" collapsed="false">
      <c r="A405" s="14"/>
      <c r="B405" s="15"/>
      <c r="C405" s="15"/>
      <c r="D405" s="14"/>
      <c r="E405" s="14"/>
      <c r="F405" s="14"/>
      <c r="G405" s="14"/>
      <c r="H405" s="15"/>
      <c r="I405" s="15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T405" s="14"/>
      <c r="CW405" s="3"/>
      <c r="DG405" s="4"/>
    </row>
    <row r="406" customFormat="false" ht="11.25" hidden="false" customHeight="true" outlineLevel="0" collapsed="false">
      <c r="A406" s="14"/>
      <c r="B406" s="15"/>
      <c r="C406" s="15"/>
      <c r="D406" s="14"/>
      <c r="E406" s="14"/>
      <c r="F406" s="14"/>
      <c r="G406" s="14"/>
      <c r="H406" s="15"/>
      <c r="I406" s="15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T406" s="14"/>
      <c r="CW406" s="3"/>
      <c r="DG406" s="4"/>
    </row>
    <row r="407" customFormat="false" ht="11.25" hidden="false" customHeight="true" outlineLevel="0" collapsed="false">
      <c r="A407" s="14"/>
      <c r="B407" s="15"/>
      <c r="C407" s="15"/>
      <c r="D407" s="14"/>
      <c r="E407" s="14"/>
      <c r="F407" s="14"/>
      <c r="G407" s="14"/>
      <c r="H407" s="15"/>
      <c r="I407" s="15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T407" s="14"/>
      <c r="CW407" s="3"/>
      <c r="DG407" s="4"/>
    </row>
    <row r="408" customFormat="false" ht="11.25" hidden="false" customHeight="true" outlineLevel="0" collapsed="false">
      <c r="A408" s="14"/>
      <c r="B408" s="15"/>
      <c r="C408" s="15"/>
      <c r="D408" s="14"/>
      <c r="E408" s="14"/>
      <c r="F408" s="14"/>
      <c r="G408" s="14"/>
      <c r="H408" s="15"/>
      <c r="I408" s="15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T408" s="14"/>
      <c r="CW408" s="3"/>
      <c r="DG408" s="4"/>
    </row>
    <row r="409" customFormat="false" ht="11.25" hidden="false" customHeight="true" outlineLevel="0" collapsed="false">
      <c r="A409" s="14"/>
      <c r="B409" s="15"/>
      <c r="C409" s="15"/>
      <c r="D409" s="14"/>
      <c r="E409" s="14"/>
      <c r="F409" s="14"/>
      <c r="G409" s="14"/>
      <c r="H409" s="15"/>
      <c r="I409" s="15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T409" s="14"/>
      <c r="CW409" s="3"/>
      <c r="DG409" s="4"/>
    </row>
    <row r="410" customFormat="false" ht="11.25" hidden="false" customHeight="true" outlineLevel="0" collapsed="false">
      <c r="A410" s="14"/>
      <c r="B410" s="15"/>
      <c r="C410" s="15"/>
      <c r="D410" s="14"/>
      <c r="E410" s="14"/>
      <c r="F410" s="14"/>
      <c r="G410" s="14"/>
      <c r="H410" s="15"/>
      <c r="I410" s="15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T410" s="14"/>
      <c r="CW410" s="3"/>
      <c r="DG410" s="4"/>
    </row>
    <row r="411" customFormat="false" ht="11.25" hidden="false" customHeight="true" outlineLevel="0" collapsed="false">
      <c r="A411" s="14"/>
      <c r="B411" s="15"/>
      <c r="C411" s="15"/>
      <c r="D411" s="14"/>
      <c r="E411" s="14"/>
      <c r="F411" s="14"/>
      <c r="G411" s="14"/>
      <c r="H411" s="15"/>
      <c r="I411" s="15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T411" s="14"/>
      <c r="CW411" s="3"/>
      <c r="DG411" s="4"/>
    </row>
    <row r="412" customFormat="false" ht="11.25" hidden="false" customHeight="true" outlineLevel="0" collapsed="false">
      <c r="A412" s="14"/>
      <c r="B412" s="15"/>
      <c r="C412" s="15"/>
      <c r="D412" s="14"/>
      <c r="E412" s="14"/>
      <c r="F412" s="14"/>
      <c r="G412" s="14"/>
      <c r="H412" s="15"/>
      <c r="I412" s="15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T412" s="14"/>
      <c r="CW412" s="3"/>
      <c r="DG412" s="4"/>
    </row>
    <row r="413" customFormat="false" ht="11.25" hidden="false" customHeight="true" outlineLevel="0" collapsed="false">
      <c r="A413" s="14"/>
      <c r="B413" s="15"/>
      <c r="C413" s="15"/>
      <c r="D413" s="14"/>
      <c r="E413" s="14"/>
      <c r="F413" s="14"/>
      <c r="G413" s="14"/>
      <c r="H413" s="15"/>
      <c r="I413" s="15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T413" s="14"/>
      <c r="CW413" s="3"/>
      <c r="DG413" s="4"/>
    </row>
    <row r="414" customFormat="false" ht="11.25" hidden="false" customHeight="true" outlineLevel="0" collapsed="false">
      <c r="A414" s="14"/>
      <c r="B414" s="15"/>
      <c r="C414" s="15"/>
      <c r="D414" s="14"/>
      <c r="E414" s="14"/>
      <c r="F414" s="14"/>
      <c r="G414" s="14"/>
      <c r="H414" s="15"/>
      <c r="I414" s="15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T414" s="14"/>
      <c r="CW414" s="3"/>
      <c r="DG414" s="4"/>
    </row>
    <row r="415" customFormat="false" ht="11.25" hidden="false" customHeight="true" outlineLevel="0" collapsed="false">
      <c r="A415" s="14"/>
      <c r="B415" s="15"/>
      <c r="C415" s="15"/>
      <c r="D415" s="14"/>
      <c r="E415" s="14"/>
      <c r="F415" s="14"/>
      <c r="G415" s="14"/>
      <c r="H415" s="15"/>
      <c r="I415" s="15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T415" s="14"/>
      <c r="CW415" s="3"/>
      <c r="DG415" s="4"/>
    </row>
    <row r="416" customFormat="false" ht="11.25" hidden="false" customHeight="true" outlineLevel="0" collapsed="false">
      <c r="A416" s="14"/>
      <c r="B416" s="15"/>
      <c r="C416" s="15"/>
      <c r="D416" s="14"/>
      <c r="E416" s="14"/>
      <c r="F416" s="14"/>
      <c r="G416" s="14"/>
      <c r="H416" s="15"/>
      <c r="I416" s="15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T416" s="14"/>
      <c r="CW416" s="3"/>
      <c r="DG416" s="4"/>
    </row>
    <row r="417" customFormat="false" ht="11.25" hidden="false" customHeight="true" outlineLevel="0" collapsed="false">
      <c r="A417" s="14"/>
      <c r="B417" s="15"/>
      <c r="C417" s="15"/>
      <c r="D417" s="14"/>
      <c r="E417" s="14"/>
      <c r="F417" s="14"/>
      <c r="G417" s="14"/>
      <c r="H417" s="15"/>
      <c r="I417" s="15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T417" s="14"/>
      <c r="CW417" s="3"/>
      <c r="DG417" s="4"/>
    </row>
    <row r="418" customFormat="false" ht="11.25" hidden="false" customHeight="true" outlineLevel="0" collapsed="false">
      <c r="A418" s="14"/>
      <c r="B418" s="15"/>
      <c r="C418" s="15"/>
      <c r="D418" s="14"/>
      <c r="E418" s="14"/>
      <c r="F418" s="14"/>
      <c r="G418" s="14"/>
      <c r="H418" s="15"/>
      <c r="I418" s="15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T418" s="14"/>
      <c r="CW418" s="3"/>
      <c r="DG418" s="4"/>
    </row>
    <row r="419" customFormat="false" ht="11.25" hidden="false" customHeight="true" outlineLevel="0" collapsed="false">
      <c r="A419" s="14"/>
      <c r="B419" s="15"/>
      <c r="C419" s="15"/>
      <c r="D419" s="14"/>
      <c r="E419" s="14"/>
      <c r="F419" s="14"/>
      <c r="G419" s="14"/>
      <c r="H419" s="15"/>
      <c r="I419" s="15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T419" s="14"/>
      <c r="CW419" s="3"/>
      <c r="DG419" s="4"/>
    </row>
    <row r="420" customFormat="false" ht="11.25" hidden="false" customHeight="true" outlineLevel="0" collapsed="false">
      <c r="A420" s="14"/>
      <c r="B420" s="15"/>
      <c r="C420" s="15"/>
      <c r="D420" s="14"/>
      <c r="E420" s="14"/>
      <c r="F420" s="14"/>
      <c r="G420" s="14"/>
      <c r="H420" s="15"/>
      <c r="I420" s="15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T420" s="14"/>
      <c r="CW420" s="3"/>
      <c r="DG420" s="4"/>
    </row>
    <row r="421" customFormat="false" ht="11.25" hidden="false" customHeight="true" outlineLevel="0" collapsed="false">
      <c r="A421" s="14"/>
      <c r="B421" s="15"/>
      <c r="C421" s="15"/>
      <c r="D421" s="14"/>
      <c r="E421" s="14"/>
      <c r="F421" s="14"/>
      <c r="G421" s="14"/>
      <c r="H421" s="15"/>
      <c r="I421" s="15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T421" s="14"/>
      <c r="CW421" s="3"/>
      <c r="DG421" s="4"/>
    </row>
    <row r="422" customFormat="false" ht="11.25" hidden="false" customHeight="true" outlineLevel="0" collapsed="false">
      <c r="A422" s="14"/>
      <c r="B422" s="15"/>
      <c r="C422" s="15"/>
      <c r="D422" s="14"/>
      <c r="E422" s="14"/>
      <c r="F422" s="14"/>
      <c r="G422" s="14"/>
      <c r="H422" s="15"/>
      <c r="I422" s="15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T422" s="14"/>
      <c r="CW422" s="3"/>
      <c r="DG422" s="4"/>
    </row>
    <row r="423" customFormat="false" ht="11.25" hidden="false" customHeight="true" outlineLevel="0" collapsed="false">
      <c r="A423" s="14"/>
      <c r="B423" s="15"/>
      <c r="C423" s="15"/>
      <c r="D423" s="14"/>
      <c r="E423" s="14"/>
      <c r="F423" s="14"/>
      <c r="G423" s="14"/>
      <c r="H423" s="15"/>
      <c r="I423" s="15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T423" s="14"/>
      <c r="CW423" s="3"/>
      <c r="DG423" s="4"/>
    </row>
    <row r="424" customFormat="false" ht="11.25" hidden="false" customHeight="true" outlineLevel="0" collapsed="false">
      <c r="A424" s="14"/>
      <c r="B424" s="15"/>
      <c r="C424" s="15"/>
      <c r="D424" s="14"/>
      <c r="E424" s="14"/>
      <c r="F424" s="14"/>
      <c r="G424" s="14"/>
      <c r="H424" s="15"/>
      <c r="I424" s="15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T424" s="14"/>
      <c r="CW424" s="3"/>
      <c r="DG424" s="4"/>
    </row>
    <row r="425" customFormat="false" ht="11.25" hidden="false" customHeight="true" outlineLevel="0" collapsed="false">
      <c r="A425" s="14"/>
      <c r="B425" s="15"/>
      <c r="C425" s="15"/>
      <c r="D425" s="14"/>
      <c r="E425" s="14"/>
      <c r="F425" s="14"/>
      <c r="G425" s="14"/>
      <c r="H425" s="15"/>
      <c r="I425" s="15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T425" s="14"/>
      <c r="CW425" s="3"/>
      <c r="DG425" s="4"/>
    </row>
    <row r="426" customFormat="false" ht="11.25" hidden="false" customHeight="true" outlineLevel="0" collapsed="false">
      <c r="A426" s="14"/>
      <c r="B426" s="15"/>
      <c r="C426" s="15"/>
      <c r="D426" s="14"/>
      <c r="E426" s="14"/>
      <c r="F426" s="14"/>
      <c r="G426" s="14"/>
      <c r="H426" s="15"/>
      <c r="I426" s="15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T426" s="14"/>
      <c r="CW426" s="3"/>
      <c r="DG426" s="4"/>
    </row>
    <row r="427" customFormat="false" ht="11.25" hidden="false" customHeight="true" outlineLevel="0" collapsed="false">
      <c r="A427" s="14"/>
      <c r="B427" s="15"/>
      <c r="C427" s="15"/>
      <c r="D427" s="14"/>
      <c r="E427" s="14"/>
      <c r="F427" s="14"/>
      <c r="G427" s="14"/>
      <c r="H427" s="15"/>
      <c r="I427" s="15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T427" s="14"/>
      <c r="CW427" s="3"/>
      <c r="DG427" s="4"/>
    </row>
    <row r="428" customFormat="false" ht="11.25" hidden="false" customHeight="true" outlineLevel="0" collapsed="false">
      <c r="A428" s="14"/>
      <c r="B428" s="15"/>
      <c r="C428" s="15"/>
      <c r="D428" s="14"/>
      <c r="E428" s="14"/>
      <c r="F428" s="14"/>
      <c r="G428" s="14"/>
      <c r="H428" s="15"/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T428" s="14"/>
      <c r="CW428" s="3"/>
      <c r="DG428" s="4"/>
    </row>
    <row r="429" customFormat="false" ht="11.25" hidden="false" customHeight="true" outlineLevel="0" collapsed="false">
      <c r="A429" s="14"/>
      <c r="B429" s="15"/>
      <c r="C429" s="15"/>
      <c r="D429" s="14"/>
      <c r="E429" s="14"/>
      <c r="F429" s="14"/>
      <c r="G429" s="14"/>
      <c r="H429" s="15"/>
      <c r="I429" s="15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T429" s="14"/>
      <c r="CW429" s="3"/>
      <c r="DG429" s="4"/>
    </row>
    <row r="430" customFormat="false" ht="11.25" hidden="false" customHeight="true" outlineLevel="0" collapsed="false">
      <c r="A430" s="14"/>
      <c r="B430" s="15"/>
      <c r="C430" s="15"/>
      <c r="D430" s="14"/>
      <c r="E430" s="14"/>
      <c r="F430" s="14"/>
      <c r="G430" s="14"/>
      <c r="H430" s="15"/>
      <c r="I430" s="15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T430" s="14"/>
      <c r="CW430" s="3"/>
      <c r="DG430" s="4"/>
    </row>
    <row r="431" customFormat="false" ht="11.25" hidden="false" customHeight="true" outlineLevel="0" collapsed="false">
      <c r="A431" s="14"/>
      <c r="B431" s="15"/>
      <c r="C431" s="15"/>
      <c r="D431" s="14"/>
      <c r="E431" s="14"/>
      <c r="F431" s="14"/>
      <c r="G431" s="14"/>
      <c r="H431" s="15"/>
      <c r="I431" s="15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T431" s="14"/>
      <c r="CW431" s="3"/>
      <c r="DG431" s="4"/>
    </row>
    <row r="432" customFormat="false" ht="11.25" hidden="false" customHeight="true" outlineLevel="0" collapsed="false">
      <c r="A432" s="14"/>
      <c r="B432" s="15"/>
      <c r="C432" s="15"/>
      <c r="D432" s="14"/>
      <c r="E432" s="14"/>
      <c r="F432" s="14"/>
      <c r="G432" s="14"/>
      <c r="H432" s="15"/>
      <c r="I432" s="15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T432" s="14"/>
      <c r="CW432" s="3"/>
      <c r="DG432" s="4"/>
    </row>
    <row r="433" customFormat="false" ht="11.25" hidden="false" customHeight="true" outlineLevel="0" collapsed="false">
      <c r="A433" s="14"/>
      <c r="B433" s="15"/>
      <c r="C433" s="15"/>
      <c r="D433" s="14"/>
      <c r="E433" s="14"/>
      <c r="F433" s="14"/>
      <c r="G433" s="14"/>
      <c r="H433" s="15"/>
      <c r="I433" s="15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T433" s="14"/>
      <c r="CW433" s="3"/>
      <c r="DG433" s="4"/>
    </row>
    <row r="434" customFormat="false" ht="11.25" hidden="false" customHeight="true" outlineLevel="0" collapsed="false">
      <c r="A434" s="14"/>
      <c r="B434" s="15"/>
      <c r="C434" s="15"/>
      <c r="D434" s="14"/>
      <c r="E434" s="14"/>
      <c r="F434" s="14"/>
      <c r="G434" s="14"/>
      <c r="H434" s="15"/>
      <c r="I434" s="15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T434" s="14"/>
      <c r="CW434" s="3"/>
      <c r="DG434" s="4"/>
    </row>
    <row r="435" customFormat="false" ht="11.25" hidden="false" customHeight="true" outlineLevel="0" collapsed="false">
      <c r="A435" s="14"/>
      <c r="B435" s="15"/>
      <c r="C435" s="15"/>
      <c r="D435" s="14"/>
      <c r="E435" s="14"/>
      <c r="F435" s="14"/>
      <c r="G435" s="14"/>
      <c r="H435" s="15"/>
      <c r="I435" s="15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T435" s="14"/>
      <c r="CW435" s="3"/>
      <c r="DG435" s="4"/>
    </row>
    <row r="436" customFormat="false" ht="11.25" hidden="false" customHeight="true" outlineLevel="0" collapsed="false">
      <c r="A436" s="14"/>
      <c r="B436" s="15"/>
      <c r="C436" s="15"/>
      <c r="D436" s="14"/>
      <c r="E436" s="14"/>
      <c r="F436" s="14"/>
      <c r="G436" s="14"/>
      <c r="H436" s="15"/>
      <c r="I436" s="15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T436" s="14"/>
      <c r="CW436" s="3"/>
      <c r="DG436" s="4"/>
    </row>
    <row r="437" customFormat="false" ht="11.25" hidden="false" customHeight="true" outlineLevel="0" collapsed="false">
      <c r="A437" s="14"/>
      <c r="B437" s="15"/>
      <c r="C437" s="15"/>
      <c r="D437" s="14"/>
      <c r="E437" s="14"/>
      <c r="F437" s="14"/>
      <c r="G437" s="14"/>
      <c r="H437" s="15"/>
      <c r="I437" s="15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T437" s="14"/>
      <c r="CW437" s="3"/>
      <c r="DG437" s="4"/>
    </row>
    <row r="438" customFormat="false" ht="11.25" hidden="false" customHeight="true" outlineLevel="0" collapsed="false">
      <c r="A438" s="14"/>
      <c r="B438" s="15"/>
      <c r="C438" s="15"/>
      <c r="D438" s="14"/>
      <c r="E438" s="14"/>
      <c r="F438" s="14"/>
      <c r="G438" s="14"/>
      <c r="H438" s="15"/>
      <c r="I438" s="15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T438" s="14"/>
      <c r="CW438" s="3"/>
      <c r="DG438" s="4"/>
    </row>
    <row r="439" customFormat="false" ht="11.25" hidden="false" customHeight="true" outlineLevel="0" collapsed="false">
      <c r="A439" s="14"/>
      <c r="B439" s="15"/>
      <c r="C439" s="15"/>
      <c r="D439" s="14"/>
      <c r="E439" s="14"/>
      <c r="F439" s="14"/>
      <c r="G439" s="14"/>
      <c r="H439" s="15"/>
      <c r="I439" s="15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T439" s="14"/>
      <c r="CW439" s="3"/>
      <c r="DG439" s="4"/>
    </row>
    <row r="440" customFormat="false" ht="11.25" hidden="false" customHeight="true" outlineLevel="0" collapsed="false">
      <c r="A440" s="14"/>
      <c r="B440" s="15"/>
      <c r="C440" s="15"/>
      <c r="D440" s="14"/>
      <c r="E440" s="14"/>
      <c r="F440" s="14"/>
      <c r="G440" s="14"/>
      <c r="H440" s="15"/>
      <c r="I440" s="15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T440" s="14"/>
      <c r="CW440" s="3"/>
      <c r="DG440" s="4"/>
    </row>
    <row r="441" customFormat="false" ht="11.25" hidden="false" customHeight="true" outlineLevel="0" collapsed="false">
      <c r="A441" s="14"/>
      <c r="B441" s="15"/>
      <c r="C441" s="15"/>
      <c r="D441" s="14"/>
      <c r="E441" s="14"/>
      <c r="F441" s="14"/>
      <c r="G441" s="14"/>
      <c r="H441" s="15"/>
      <c r="I441" s="15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T441" s="14"/>
      <c r="CW441" s="3"/>
      <c r="DG441" s="4"/>
    </row>
    <row r="442" customFormat="false" ht="11.25" hidden="false" customHeight="true" outlineLevel="0" collapsed="false">
      <c r="A442" s="14"/>
      <c r="B442" s="15"/>
      <c r="C442" s="15"/>
      <c r="D442" s="14"/>
      <c r="E442" s="14"/>
      <c r="F442" s="14"/>
      <c r="G442" s="14"/>
      <c r="H442" s="15"/>
      <c r="I442" s="15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T442" s="14"/>
      <c r="CW442" s="3"/>
      <c r="DG442" s="4"/>
    </row>
    <row r="443" customFormat="false" ht="11.25" hidden="false" customHeight="true" outlineLevel="0" collapsed="false">
      <c r="A443" s="14"/>
      <c r="B443" s="15"/>
      <c r="C443" s="15"/>
      <c r="D443" s="14"/>
      <c r="E443" s="14"/>
      <c r="F443" s="14"/>
      <c r="G443" s="14"/>
      <c r="H443" s="15"/>
      <c r="I443" s="15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T443" s="14"/>
      <c r="CW443" s="3"/>
      <c r="DG443" s="4"/>
    </row>
    <row r="444" customFormat="false" ht="11.25" hidden="false" customHeight="true" outlineLevel="0" collapsed="false">
      <c r="A444" s="14"/>
      <c r="B444" s="15"/>
      <c r="C444" s="15"/>
      <c r="D444" s="14"/>
      <c r="E444" s="14"/>
      <c r="F444" s="14"/>
      <c r="G444" s="14"/>
      <c r="H444" s="15"/>
      <c r="I444" s="15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T444" s="14"/>
      <c r="CW444" s="3"/>
      <c r="DG444" s="4"/>
    </row>
    <row r="445" customFormat="false" ht="11.25" hidden="false" customHeight="true" outlineLevel="0" collapsed="false">
      <c r="A445" s="14"/>
      <c r="B445" s="15"/>
      <c r="C445" s="15"/>
      <c r="D445" s="14"/>
      <c r="E445" s="14"/>
      <c r="F445" s="14"/>
      <c r="G445" s="14"/>
      <c r="H445" s="15"/>
      <c r="I445" s="15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T445" s="14"/>
      <c r="CW445" s="3"/>
      <c r="DG445" s="4"/>
    </row>
    <row r="446" customFormat="false" ht="11.25" hidden="false" customHeight="true" outlineLevel="0" collapsed="false">
      <c r="A446" s="14"/>
      <c r="B446" s="15"/>
      <c r="C446" s="15"/>
      <c r="D446" s="14"/>
      <c r="E446" s="14"/>
      <c r="F446" s="14"/>
      <c r="G446" s="14"/>
      <c r="H446" s="15"/>
      <c r="I446" s="15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T446" s="14"/>
      <c r="CW446" s="3"/>
      <c r="DG446" s="4"/>
    </row>
    <row r="447" customFormat="false" ht="11.25" hidden="false" customHeight="true" outlineLevel="0" collapsed="false">
      <c r="A447" s="14"/>
      <c r="B447" s="15"/>
      <c r="C447" s="15"/>
      <c r="D447" s="14"/>
      <c r="E447" s="14"/>
      <c r="F447" s="14"/>
      <c r="G447" s="14"/>
      <c r="H447" s="15"/>
      <c r="I447" s="15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T447" s="14"/>
      <c r="CW447" s="3"/>
      <c r="DG447" s="4"/>
    </row>
    <row r="448" customFormat="false" ht="11.25" hidden="false" customHeight="true" outlineLevel="0" collapsed="false">
      <c r="A448" s="14"/>
      <c r="B448" s="15"/>
      <c r="C448" s="15"/>
      <c r="D448" s="14"/>
      <c r="E448" s="14"/>
      <c r="F448" s="14"/>
      <c r="G448" s="14"/>
      <c r="H448" s="15"/>
      <c r="I448" s="15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T448" s="14"/>
      <c r="CW448" s="3"/>
      <c r="DG448" s="4"/>
    </row>
    <row r="449" customFormat="false" ht="11.25" hidden="false" customHeight="true" outlineLevel="0" collapsed="false">
      <c r="A449" s="14"/>
      <c r="B449" s="15"/>
      <c r="C449" s="15"/>
      <c r="D449" s="14"/>
      <c r="E449" s="14"/>
      <c r="F449" s="14"/>
      <c r="G449" s="14"/>
      <c r="H449" s="15"/>
      <c r="I449" s="15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T449" s="14"/>
      <c r="CW449" s="3"/>
      <c r="DG449" s="4"/>
    </row>
    <row r="450" customFormat="false" ht="11.25" hidden="false" customHeight="true" outlineLevel="0" collapsed="false">
      <c r="A450" s="14"/>
      <c r="B450" s="15"/>
      <c r="C450" s="15"/>
      <c r="D450" s="14"/>
      <c r="E450" s="14"/>
      <c r="F450" s="14"/>
      <c r="G450" s="14"/>
      <c r="H450" s="15"/>
      <c r="I450" s="15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T450" s="14"/>
      <c r="CW450" s="3"/>
      <c r="DG450" s="4"/>
    </row>
    <row r="451" customFormat="false" ht="11.25" hidden="false" customHeight="true" outlineLevel="0" collapsed="false">
      <c r="A451" s="14"/>
      <c r="B451" s="15"/>
      <c r="C451" s="15"/>
      <c r="D451" s="14"/>
      <c r="E451" s="14"/>
      <c r="F451" s="14"/>
      <c r="G451" s="14"/>
      <c r="H451" s="15"/>
      <c r="I451" s="15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T451" s="14"/>
      <c r="CW451" s="3"/>
      <c r="DG451" s="4"/>
    </row>
    <row r="452" customFormat="false" ht="11.25" hidden="false" customHeight="true" outlineLevel="0" collapsed="false">
      <c r="A452" s="14"/>
      <c r="B452" s="15"/>
      <c r="C452" s="15"/>
      <c r="D452" s="14"/>
      <c r="E452" s="14"/>
      <c r="F452" s="14"/>
      <c r="G452" s="14"/>
      <c r="H452" s="15"/>
      <c r="I452" s="15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T452" s="14"/>
      <c r="CW452" s="3"/>
      <c r="DG452" s="4"/>
    </row>
    <row r="453" customFormat="false" ht="11.25" hidden="false" customHeight="true" outlineLevel="0" collapsed="false">
      <c r="A453" s="14"/>
      <c r="B453" s="15"/>
      <c r="C453" s="15"/>
      <c r="D453" s="14"/>
      <c r="E453" s="14"/>
      <c r="F453" s="14"/>
      <c r="G453" s="14"/>
      <c r="H453" s="15"/>
      <c r="I453" s="15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T453" s="14"/>
      <c r="CW453" s="3"/>
      <c r="DG453" s="4"/>
    </row>
    <row r="454" customFormat="false" ht="11.25" hidden="false" customHeight="true" outlineLevel="0" collapsed="false">
      <c r="A454" s="14"/>
      <c r="B454" s="15"/>
      <c r="C454" s="15"/>
      <c r="D454" s="14"/>
      <c r="E454" s="14"/>
      <c r="F454" s="14"/>
      <c r="G454" s="14"/>
      <c r="H454" s="15"/>
      <c r="I454" s="15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T454" s="14"/>
      <c r="CW454" s="3"/>
      <c r="DG454" s="4"/>
    </row>
    <row r="455" customFormat="false" ht="11.25" hidden="false" customHeight="true" outlineLevel="0" collapsed="false">
      <c r="A455" s="14"/>
      <c r="B455" s="15"/>
      <c r="C455" s="15"/>
      <c r="D455" s="14"/>
      <c r="E455" s="14"/>
      <c r="F455" s="14"/>
      <c r="G455" s="14"/>
      <c r="H455" s="15"/>
      <c r="I455" s="15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T455" s="14"/>
      <c r="CW455" s="3"/>
      <c r="DG455" s="4"/>
    </row>
    <row r="456" customFormat="false" ht="11.25" hidden="false" customHeight="true" outlineLevel="0" collapsed="false">
      <c r="A456" s="14"/>
      <c r="B456" s="15"/>
      <c r="C456" s="15"/>
      <c r="D456" s="14"/>
      <c r="E456" s="14"/>
      <c r="F456" s="14"/>
      <c r="G456" s="14"/>
      <c r="H456" s="15"/>
      <c r="I456" s="15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T456" s="14"/>
      <c r="CW456" s="3"/>
      <c r="DG456" s="4"/>
    </row>
    <row r="457" customFormat="false" ht="11.25" hidden="false" customHeight="true" outlineLevel="0" collapsed="false">
      <c r="A457" s="14"/>
      <c r="B457" s="15"/>
      <c r="C457" s="15"/>
      <c r="D457" s="14"/>
      <c r="E457" s="14"/>
      <c r="F457" s="14"/>
      <c r="G457" s="14"/>
      <c r="H457" s="15"/>
      <c r="I457" s="15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T457" s="14"/>
      <c r="CW457" s="3"/>
      <c r="DG457" s="4"/>
    </row>
    <row r="458" customFormat="false" ht="11.25" hidden="false" customHeight="true" outlineLevel="0" collapsed="false">
      <c r="A458" s="14"/>
      <c r="B458" s="15"/>
      <c r="C458" s="15"/>
      <c r="D458" s="14"/>
      <c r="E458" s="14"/>
      <c r="F458" s="14"/>
      <c r="G458" s="14"/>
      <c r="H458" s="15"/>
      <c r="I458" s="15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T458" s="14"/>
      <c r="CW458" s="3"/>
      <c r="DG458" s="4"/>
    </row>
    <row r="459" customFormat="false" ht="11.25" hidden="false" customHeight="true" outlineLevel="0" collapsed="false">
      <c r="A459" s="14"/>
      <c r="B459" s="15"/>
      <c r="C459" s="15"/>
      <c r="D459" s="14"/>
      <c r="E459" s="14"/>
      <c r="F459" s="14"/>
      <c r="G459" s="14"/>
      <c r="H459" s="15"/>
      <c r="I459" s="15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T459" s="14"/>
      <c r="CW459" s="3"/>
      <c r="DG459" s="4"/>
    </row>
    <row r="460" customFormat="false" ht="11.25" hidden="false" customHeight="true" outlineLevel="0" collapsed="false">
      <c r="A460" s="14"/>
      <c r="B460" s="15"/>
      <c r="C460" s="15"/>
      <c r="D460" s="14"/>
      <c r="E460" s="14"/>
      <c r="F460" s="14"/>
      <c r="G460" s="14"/>
      <c r="H460" s="15"/>
      <c r="I460" s="15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T460" s="14"/>
      <c r="CW460" s="3"/>
      <c r="DG460" s="4"/>
    </row>
    <row r="461" customFormat="false" ht="11.25" hidden="false" customHeight="true" outlineLevel="0" collapsed="false">
      <c r="A461" s="14"/>
      <c r="B461" s="15"/>
      <c r="C461" s="15"/>
      <c r="D461" s="14"/>
      <c r="E461" s="14"/>
      <c r="F461" s="14"/>
      <c r="G461" s="14"/>
      <c r="H461" s="15"/>
      <c r="I461" s="15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T461" s="14"/>
      <c r="CW461" s="3"/>
      <c r="DG461" s="4"/>
    </row>
    <row r="462" customFormat="false" ht="11.25" hidden="false" customHeight="true" outlineLevel="0" collapsed="false">
      <c r="A462" s="14"/>
      <c r="B462" s="15"/>
      <c r="C462" s="15"/>
      <c r="D462" s="14"/>
      <c r="E462" s="14"/>
      <c r="F462" s="14"/>
      <c r="G462" s="14"/>
      <c r="H462" s="15"/>
      <c r="I462" s="15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T462" s="14"/>
      <c r="CW462" s="3"/>
      <c r="DG462" s="4"/>
    </row>
    <row r="463" customFormat="false" ht="11.25" hidden="false" customHeight="true" outlineLevel="0" collapsed="false">
      <c r="A463" s="14"/>
      <c r="B463" s="15"/>
      <c r="C463" s="15"/>
      <c r="D463" s="14"/>
      <c r="E463" s="14"/>
      <c r="F463" s="14"/>
      <c r="G463" s="14"/>
      <c r="H463" s="15"/>
      <c r="I463" s="15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T463" s="14"/>
      <c r="CW463" s="3"/>
      <c r="DG463" s="4"/>
    </row>
    <row r="464" customFormat="false" ht="11.25" hidden="false" customHeight="true" outlineLevel="0" collapsed="false">
      <c r="A464" s="14"/>
      <c r="B464" s="15"/>
      <c r="C464" s="15"/>
      <c r="D464" s="14"/>
      <c r="E464" s="14"/>
      <c r="F464" s="14"/>
      <c r="G464" s="14"/>
      <c r="H464" s="15"/>
      <c r="I464" s="15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T464" s="14"/>
      <c r="CW464" s="3"/>
      <c r="DG464" s="4"/>
    </row>
    <row r="465" customFormat="false" ht="11.25" hidden="false" customHeight="true" outlineLevel="0" collapsed="false">
      <c r="A465" s="14"/>
      <c r="B465" s="15"/>
      <c r="C465" s="15"/>
      <c r="D465" s="14"/>
      <c r="E465" s="14"/>
      <c r="F465" s="14"/>
      <c r="G465" s="14"/>
      <c r="H465" s="15"/>
      <c r="I465" s="15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T465" s="14"/>
      <c r="CW465" s="3"/>
      <c r="DG465" s="4"/>
    </row>
    <row r="466" customFormat="false" ht="11.25" hidden="false" customHeight="true" outlineLevel="0" collapsed="false">
      <c r="A466" s="14"/>
      <c r="B466" s="15"/>
      <c r="C466" s="15"/>
      <c r="D466" s="14"/>
      <c r="E466" s="14"/>
      <c r="F466" s="14"/>
      <c r="G466" s="14"/>
      <c r="H466" s="15"/>
      <c r="I466" s="15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T466" s="14"/>
      <c r="CW466" s="3"/>
      <c r="DG466" s="4"/>
    </row>
    <row r="467" customFormat="false" ht="11.25" hidden="false" customHeight="true" outlineLevel="0" collapsed="false">
      <c r="A467" s="14"/>
      <c r="B467" s="15"/>
      <c r="C467" s="15"/>
      <c r="D467" s="14"/>
      <c r="E467" s="14"/>
      <c r="F467" s="14"/>
      <c r="G467" s="14"/>
      <c r="H467" s="15"/>
      <c r="I467" s="15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T467" s="14"/>
      <c r="CW467" s="3"/>
      <c r="DG467" s="4"/>
    </row>
    <row r="468" customFormat="false" ht="11.25" hidden="false" customHeight="true" outlineLevel="0" collapsed="false">
      <c r="A468" s="14"/>
      <c r="B468" s="15"/>
      <c r="C468" s="15"/>
      <c r="D468" s="14"/>
      <c r="E468" s="14"/>
      <c r="F468" s="14"/>
      <c r="G468" s="14"/>
      <c r="H468" s="15"/>
      <c r="I468" s="15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T468" s="14"/>
      <c r="CW468" s="3"/>
      <c r="DG468" s="4"/>
    </row>
    <row r="469" customFormat="false" ht="11.25" hidden="false" customHeight="true" outlineLevel="0" collapsed="false">
      <c r="A469" s="14"/>
      <c r="B469" s="15"/>
      <c r="C469" s="15"/>
      <c r="D469" s="14"/>
      <c r="E469" s="14"/>
      <c r="F469" s="14"/>
      <c r="G469" s="14"/>
      <c r="H469" s="15"/>
      <c r="I469" s="15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T469" s="14"/>
      <c r="CW469" s="3"/>
      <c r="DG469" s="4"/>
    </row>
    <row r="470" customFormat="false" ht="11.25" hidden="false" customHeight="true" outlineLevel="0" collapsed="false">
      <c r="A470" s="14"/>
      <c r="B470" s="15"/>
      <c r="C470" s="15"/>
      <c r="D470" s="14"/>
      <c r="E470" s="14"/>
      <c r="F470" s="14"/>
      <c r="G470" s="14"/>
      <c r="H470" s="15"/>
      <c r="I470" s="15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T470" s="14"/>
      <c r="CW470" s="3"/>
      <c r="DG470" s="4"/>
    </row>
    <row r="471" customFormat="false" ht="11.25" hidden="false" customHeight="true" outlineLevel="0" collapsed="false">
      <c r="A471" s="14"/>
      <c r="B471" s="15"/>
      <c r="C471" s="15"/>
      <c r="D471" s="14"/>
      <c r="E471" s="14"/>
      <c r="F471" s="14"/>
      <c r="G471" s="14"/>
      <c r="H471" s="15"/>
      <c r="I471" s="15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T471" s="14"/>
      <c r="CW471" s="3"/>
      <c r="DG471" s="4"/>
    </row>
    <row r="472" customFormat="false" ht="11.25" hidden="false" customHeight="true" outlineLevel="0" collapsed="false">
      <c r="A472" s="14"/>
      <c r="B472" s="15"/>
      <c r="C472" s="15"/>
      <c r="D472" s="14"/>
      <c r="E472" s="14"/>
      <c r="F472" s="14"/>
      <c r="G472" s="14"/>
      <c r="H472" s="15"/>
      <c r="I472" s="15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T472" s="14"/>
      <c r="CW472" s="3"/>
      <c r="DG472" s="4"/>
    </row>
    <row r="473" customFormat="false" ht="11.25" hidden="false" customHeight="true" outlineLevel="0" collapsed="false">
      <c r="A473" s="14"/>
      <c r="B473" s="15"/>
      <c r="C473" s="15"/>
      <c r="D473" s="14"/>
      <c r="E473" s="14"/>
      <c r="F473" s="14"/>
      <c r="G473" s="14"/>
      <c r="H473" s="15"/>
      <c r="I473" s="15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T473" s="14"/>
      <c r="CW473" s="3"/>
      <c r="DG473" s="4"/>
    </row>
    <row r="474" customFormat="false" ht="11.25" hidden="false" customHeight="true" outlineLevel="0" collapsed="false">
      <c r="A474" s="14"/>
      <c r="B474" s="15"/>
      <c r="C474" s="15"/>
      <c r="D474" s="14"/>
      <c r="E474" s="14"/>
      <c r="F474" s="14"/>
      <c r="G474" s="14"/>
      <c r="H474" s="15"/>
      <c r="I474" s="15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T474" s="14"/>
      <c r="CW474" s="3"/>
      <c r="DG474" s="4"/>
    </row>
    <row r="475" customFormat="false" ht="11.25" hidden="false" customHeight="true" outlineLevel="0" collapsed="false">
      <c r="A475" s="14"/>
      <c r="B475" s="15"/>
      <c r="C475" s="15"/>
      <c r="D475" s="14"/>
      <c r="E475" s="14"/>
      <c r="F475" s="14"/>
      <c r="G475" s="14"/>
      <c r="H475" s="15"/>
      <c r="I475" s="15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T475" s="14"/>
      <c r="CW475" s="3"/>
      <c r="DG475" s="4"/>
    </row>
    <row r="476" customFormat="false" ht="11.25" hidden="false" customHeight="true" outlineLevel="0" collapsed="false">
      <c r="A476" s="14"/>
      <c r="B476" s="15"/>
      <c r="C476" s="15"/>
      <c r="D476" s="14"/>
      <c r="E476" s="14"/>
      <c r="F476" s="14"/>
      <c r="G476" s="14"/>
      <c r="H476" s="15"/>
      <c r="I476" s="15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T476" s="14"/>
      <c r="CW476" s="3"/>
      <c r="DG476" s="4"/>
    </row>
    <row r="477" customFormat="false" ht="11.25" hidden="false" customHeight="true" outlineLevel="0" collapsed="false">
      <c r="A477" s="14"/>
      <c r="B477" s="15"/>
      <c r="C477" s="15"/>
      <c r="D477" s="14"/>
      <c r="E477" s="14"/>
      <c r="F477" s="14"/>
      <c r="G477" s="14"/>
      <c r="H477" s="15"/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T477" s="14"/>
      <c r="CW477" s="3"/>
      <c r="DG477" s="4"/>
    </row>
    <row r="478" customFormat="false" ht="11.25" hidden="false" customHeight="true" outlineLevel="0" collapsed="false">
      <c r="A478" s="14"/>
      <c r="B478" s="15"/>
      <c r="C478" s="15"/>
      <c r="D478" s="14"/>
      <c r="E478" s="14"/>
      <c r="F478" s="14"/>
      <c r="G478" s="14"/>
      <c r="H478" s="15"/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T478" s="14"/>
      <c r="CW478" s="3"/>
      <c r="DG478" s="4"/>
    </row>
    <row r="479" customFormat="false" ht="11.25" hidden="false" customHeight="true" outlineLevel="0" collapsed="false">
      <c r="A479" s="14"/>
      <c r="B479" s="15"/>
      <c r="C479" s="15"/>
      <c r="D479" s="14"/>
      <c r="E479" s="14"/>
      <c r="F479" s="14"/>
      <c r="G479" s="14"/>
      <c r="H479" s="15"/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T479" s="14"/>
      <c r="CW479" s="3"/>
      <c r="DG479" s="4"/>
    </row>
    <row r="480" customFormat="false" ht="11.25" hidden="false" customHeight="true" outlineLevel="0" collapsed="false">
      <c r="A480" s="14"/>
      <c r="B480" s="15"/>
      <c r="C480" s="15"/>
      <c r="D480" s="14"/>
      <c r="E480" s="14"/>
      <c r="F480" s="14"/>
      <c r="G480" s="14"/>
      <c r="H480" s="15"/>
      <c r="I480" s="15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T480" s="14"/>
      <c r="CW480" s="3"/>
      <c r="DG480" s="4"/>
    </row>
    <row r="481" customFormat="false" ht="11.25" hidden="false" customHeight="true" outlineLevel="0" collapsed="false">
      <c r="A481" s="14"/>
      <c r="B481" s="15"/>
      <c r="C481" s="15"/>
      <c r="D481" s="14"/>
      <c r="E481" s="14"/>
      <c r="F481" s="14"/>
      <c r="G481" s="14"/>
      <c r="H481" s="15"/>
      <c r="I481" s="15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T481" s="14"/>
      <c r="CW481" s="3"/>
      <c r="DG481" s="4"/>
    </row>
    <row r="482" customFormat="false" ht="11.25" hidden="false" customHeight="true" outlineLevel="0" collapsed="false">
      <c r="A482" s="14"/>
      <c r="B482" s="15"/>
      <c r="C482" s="15"/>
      <c r="D482" s="14"/>
      <c r="E482" s="14"/>
      <c r="F482" s="14"/>
      <c r="G482" s="14"/>
      <c r="H482" s="15"/>
      <c r="I482" s="15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T482" s="14"/>
      <c r="CW482" s="3"/>
      <c r="DG482" s="4"/>
    </row>
    <row r="483" customFormat="false" ht="11.25" hidden="false" customHeight="true" outlineLevel="0" collapsed="false">
      <c r="A483" s="14"/>
      <c r="B483" s="15"/>
      <c r="C483" s="15"/>
      <c r="D483" s="14"/>
      <c r="E483" s="14"/>
      <c r="F483" s="14"/>
      <c r="G483" s="14"/>
      <c r="H483" s="15"/>
      <c r="I483" s="15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T483" s="14"/>
      <c r="CW483" s="3"/>
      <c r="DG483" s="4"/>
    </row>
    <row r="484" customFormat="false" ht="11.25" hidden="false" customHeight="true" outlineLevel="0" collapsed="false">
      <c r="A484" s="14"/>
      <c r="B484" s="15"/>
      <c r="C484" s="15"/>
      <c r="D484" s="14"/>
      <c r="E484" s="14"/>
      <c r="F484" s="14"/>
      <c r="G484" s="14"/>
      <c r="H484" s="15"/>
      <c r="I484" s="15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T484" s="14"/>
      <c r="CW484" s="3"/>
      <c r="DG484" s="4"/>
    </row>
    <row r="485" customFormat="false" ht="11.25" hidden="false" customHeight="true" outlineLevel="0" collapsed="false">
      <c r="A485" s="14"/>
      <c r="B485" s="15"/>
      <c r="C485" s="15"/>
      <c r="D485" s="14"/>
      <c r="E485" s="14"/>
      <c r="F485" s="14"/>
      <c r="G485" s="14"/>
      <c r="H485" s="15"/>
      <c r="I485" s="15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T485" s="14"/>
      <c r="CW485" s="3"/>
      <c r="DG485" s="4"/>
    </row>
    <row r="486" customFormat="false" ht="11.25" hidden="false" customHeight="true" outlineLevel="0" collapsed="false">
      <c r="A486" s="14"/>
      <c r="B486" s="15"/>
      <c r="C486" s="15"/>
      <c r="D486" s="14"/>
      <c r="E486" s="14"/>
      <c r="F486" s="14"/>
      <c r="G486" s="14"/>
      <c r="H486" s="15"/>
      <c r="I486" s="15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T486" s="14"/>
      <c r="CW486" s="3"/>
      <c r="DG486" s="4"/>
    </row>
    <row r="487" customFormat="false" ht="11.25" hidden="false" customHeight="true" outlineLevel="0" collapsed="false">
      <c r="A487" s="14"/>
      <c r="B487" s="15"/>
      <c r="C487" s="15"/>
      <c r="D487" s="14"/>
      <c r="E487" s="14"/>
      <c r="F487" s="14"/>
      <c r="G487" s="14"/>
      <c r="H487" s="15"/>
      <c r="I487" s="15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T487" s="14"/>
      <c r="CW487" s="3"/>
      <c r="DG487" s="4"/>
    </row>
    <row r="488" customFormat="false" ht="11.25" hidden="false" customHeight="true" outlineLevel="0" collapsed="false">
      <c r="A488" s="14"/>
      <c r="B488" s="15"/>
      <c r="C488" s="15"/>
      <c r="D488" s="14"/>
      <c r="E488" s="14"/>
      <c r="F488" s="14"/>
      <c r="G488" s="14"/>
      <c r="H488" s="15"/>
      <c r="I488" s="15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T488" s="14"/>
      <c r="CW488" s="3"/>
      <c r="DG488" s="4"/>
    </row>
    <row r="489" customFormat="false" ht="11.25" hidden="false" customHeight="true" outlineLevel="0" collapsed="false">
      <c r="A489" s="14"/>
      <c r="B489" s="15"/>
      <c r="C489" s="15"/>
      <c r="D489" s="14"/>
      <c r="E489" s="14"/>
      <c r="F489" s="14"/>
      <c r="G489" s="14"/>
      <c r="H489" s="15"/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T489" s="14"/>
      <c r="CW489" s="3"/>
      <c r="DG489" s="4"/>
    </row>
    <row r="490" customFormat="false" ht="11.25" hidden="false" customHeight="true" outlineLevel="0" collapsed="false">
      <c r="A490" s="14"/>
      <c r="B490" s="15"/>
      <c r="C490" s="15"/>
      <c r="D490" s="14"/>
      <c r="E490" s="14"/>
      <c r="F490" s="14"/>
      <c r="G490" s="14"/>
      <c r="H490" s="15"/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T490" s="14"/>
      <c r="CW490" s="3"/>
      <c r="DG490" s="4"/>
    </row>
    <row r="491" customFormat="false" ht="11.25" hidden="false" customHeight="true" outlineLevel="0" collapsed="false">
      <c r="A491" s="14"/>
      <c r="B491" s="15"/>
      <c r="C491" s="15"/>
      <c r="D491" s="14"/>
      <c r="E491" s="14"/>
      <c r="F491" s="14"/>
      <c r="G491" s="14"/>
      <c r="H491" s="15"/>
      <c r="I491" s="15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T491" s="14"/>
      <c r="CW491" s="3"/>
      <c r="DG491" s="4"/>
    </row>
    <row r="492" customFormat="false" ht="11.25" hidden="false" customHeight="true" outlineLevel="0" collapsed="false">
      <c r="A492" s="14"/>
      <c r="B492" s="15"/>
      <c r="C492" s="15"/>
      <c r="D492" s="14"/>
      <c r="E492" s="14"/>
      <c r="F492" s="14"/>
      <c r="G492" s="14"/>
      <c r="H492" s="15"/>
      <c r="I492" s="15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T492" s="14"/>
      <c r="CW492" s="3"/>
      <c r="DG492" s="4"/>
    </row>
    <row r="493" customFormat="false" ht="11.25" hidden="false" customHeight="true" outlineLevel="0" collapsed="false">
      <c r="A493" s="14"/>
      <c r="B493" s="15"/>
      <c r="C493" s="15"/>
      <c r="D493" s="14"/>
      <c r="E493" s="14"/>
      <c r="F493" s="14"/>
      <c r="G493" s="14"/>
      <c r="H493" s="15"/>
      <c r="I493" s="15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T493" s="14"/>
      <c r="CW493" s="3"/>
      <c r="DG493" s="4"/>
    </row>
    <row r="494" customFormat="false" ht="11.25" hidden="false" customHeight="true" outlineLevel="0" collapsed="false">
      <c r="A494" s="14"/>
      <c r="B494" s="15"/>
      <c r="C494" s="15"/>
      <c r="D494" s="14"/>
      <c r="E494" s="14"/>
      <c r="F494" s="14"/>
      <c r="G494" s="14"/>
      <c r="H494" s="15"/>
      <c r="I494" s="15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T494" s="14"/>
      <c r="CW494" s="3"/>
      <c r="DG494" s="4"/>
    </row>
    <row r="495" customFormat="false" ht="11.25" hidden="false" customHeight="true" outlineLevel="0" collapsed="false">
      <c r="A495" s="14"/>
      <c r="B495" s="15"/>
      <c r="C495" s="15"/>
      <c r="D495" s="14"/>
      <c r="E495" s="14"/>
      <c r="F495" s="14"/>
      <c r="G495" s="14"/>
      <c r="H495" s="15"/>
      <c r="I495" s="15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T495" s="14"/>
      <c r="CW495" s="3"/>
      <c r="DG495" s="4"/>
    </row>
    <row r="496" customFormat="false" ht="11.25" hidden="false" customHeight="true" outlineLevel="0" collapsed="false">
      <c r="A496" s="14"/>
      <c r="B496" s="15"/>
      <c r="C496" s="15"/>
      <c r="D496" s="14"/>
      <c r="E496" s="14"/>
      <c r="F496" s="14"/>
      <c r="G496" s="14"/>
      <c r="H496" s="15"/>
      <c r="I496" s="15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T496" s="14"/>
      <c r="CW496" s="3"/>
      <c r="DG496" s="4"/>
    </row>
    <row r="497" customFormat="false" ht="11.25" hidden="false" customHeight="true" outlineLevel="0" collapsed="false">
      <c r="A497" s="14"/>
      <c r="B497" s="15"/>
      <c r="C497" s="15"/>
      <c r="D497" s="14"/>
      <c r="E497" s="14"/>
      <c r="F497" s="14"/>
      <c r="G497" s="14"/>
      <c r="H497" s="15"/>
      <c r="I497" s="15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T497" s="14"/>
      <c r="CW497" s="3"/>
      <c r="DG497" s="4"/>
    </row>
    <row r="498" customFormat="false" ht="11.25" hidden="false" customHeight="true" outlineLevel="0" collapsed="false">
      <c r="A498" s="14"/>
      <c r="B498" s="15"/>
      <c r="C498" s="15"/>
      <c r="D498" s="14"/>
      <c r="E498" s="14"/>
      <c r="F498" s="14"/>
      <c r="G498" s="14"/>
      <c r="H498" s="15"/>
      <c r="I498" s="15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T498" s="14"/>
      <c r="CW498" s="3"/>
      <c r="DG498" s="4"/>
    </row>
    <row r="499" customFormat="false" ht="11.25" hidden="false" customHeight="true" outlineLevel="0" collapsed="false">
      <c r="A499" s="14"/>
      <c r="B499" s="15"/>
      <c r="C499" s="15"/>
      <c r="D499" s="14"/>
      <c r="E499" s="14"/>
      <c r="F499" s="14"/>
      <c r="G499" s="14"/>
      <c r="H499" s="15"/>
      <c r="I499" s="15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T499" s="14"/>
      <c r="CW499" s="3"/>
      <c r="DG499" s="4"/>
    </row>
    <row r="500" customFormat="false" ht="11.25" hidden="false" customHeight="true" outlineLevel="0" collapsed="false">
      <c r="A500" s="14"/>
      <c r="B500" s="15"/>
      <c r="C500" s="15"/>
      <c r="D500" s="14"/>
      <c r="E500" s="14"/>
      <c r="F500" s="14"/>
      <c r="G500" s="14"/>
      <c r="H500" s="15"/>
      <c r="I500" s="15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T500" s="14"/>
      <c r="CW500" s="3"/>
      <c r="DG500" s="4"/>
    </row>
    <row r="501" customFormat="false" ht="11.25" hidden="false" customHeight="true" outlineLevel="0" collapsed="false">
      <c r="A501" s="14"/>
      <c r="B501" s="15"/>
      <c r="C501" s="15"/>
      <c r="D501" s="14"/>
      <c r="E501" s="14"/>
      <c r="F501" s="14"/>
      <c r="G501" s="14"/>
      <c r="H501" s="15"/>
      <c r="I501" s="15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T501" s="14"/>
      <c r="CW501" s="3"/>
      <c r="DG501" s="4"/>
    </row>
    <row r="502" customFormat="false" ht="11.25" hidden="false" customHeight="true" outlineLevel="0" collapsed="false">
      <c r="A502" s="14"/>
      <c r="B502" s="15"/>
      <c r="C502" s="15"/>
      <c r="D502" s="14"/>
      <c r="E502" s="14"/>
      <c r="F502" s="14"/>
      <c r="G502" s="14"/>
      <c r="H502" s="15"/>
      <c r="I502" s="1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T502" s="14"/>
      <c r="CW502" s="3"/>
      <c r="DG502" s="4"/>
    </row>
    <row r="503" customFormat="false" ht="11.25" hidden="false" customHeight="true" outlineLevel="0" collapsed="false">
      <c r="A503" s="14"/>
      <c r="B503" s="15"/>
      <c r="C503" s="15"/>
      <c r="D503" s="14"/>
      <c r="E503" s="14"/>
      <c r="F503" s="14"/>
      <c r="G503" s="14"/>
      <c r="H503" s="15"/>
      <c r="I503" s="1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T503" s="14"/>
      <c r="CW503" s="3"/>
      <c r="DG503" s="4"/>
    </row>
    <row r="504" customFormat="false" ht="11.25" hidden="false" customHeight="true" outlineLevel="0" collapsed="false">
      <c r="A504" s="14"/>
      <c r="B504" s="15"/>
      <c r="C504" s="15"/>
      <c r="D504" s="14"/>
      <c r="E504" s="14"/>
      <c r="F504" s="14"/>
      <c r="G504" s="14"/>
      <c r="H504" s="15"/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T504" s="14"/>
      <c r="CW504" s="3"/>
      <c r="DG504" s="4"/>
    </row>
    <row r="505" customFormat="false" ht="11.25" hidden="false" customHeight="true" outlineLevel="0" collapsed="false">
      <c r="A505" s="14"/>
      <c r="B505" s="15"/>
      <c r="C505" s="15"/>
      <c r="D505" s="14"/>
      <c r="E505" s="14"/>
      <c r="F505" s="14"/>
      <c r="G505" s="14"/>
      <c r="H505" s="15"/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T505" s="14"/>
      <c r="CW505" s="3"/>
      <c r="DG505" s="4"/>
    </row>
    <row r="506" customFormat="false" ht="11.25" hidden="false" customHeight="true" outlineLevel="0" collapsed="false">
      <c r="A506" s="14"/>
      <c r="B506" s="15"/>
      <c r="C506" s="15"/>
      <c r="D506" s="14"/>
      <c r="E506" s="14"/>
      <c r="F506" s="14"/>
      <c r="G506" s="14"/>
      <c r="H506" s="15"/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T506" s="14"/>
      <c r="CW506" s="3"/>
      <c r="DG506" s="4"/>
    </row>
    <row r="507" customFormat="false" ht="11.25" hidden="false" customHeight="true" outlineLevel="0" collapsed="false">
      <c r="A507" s="14"/>
      <c r="B507" s="15"/>
      <c r="C507" s="15"/>
      <c r="D507" s="14"/>
      <c r="E507" s="14"/>
      <c r="F507" s="14"/>
      <c r="G507" s="14"/>
      <c r="H507" s="15"/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T507" s="14"/>
      <c r="CW507" s="3"/>
      <c r="DG507" s="4"/>
    </row>
    <row r="508" customFormat="false" ht="11.25" hidden="false" customHeight="true" outlineLevel="0" collapsed="false">
      <c r="A508" s="14"/>
      <c r="B508" s="15"/>
      <c r="C508" s="15"/>
      <c r="D508" s="14"/>
      <c r="E508" s="14"/>
      <c r="F508" s="14"/>
      <c r="G508" s="14"/>
      <c r="H508" s="15"/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T508" s="14"/>
      <c r="CW508" s="3"/>
      <c r="DG508" s="4"/>
    </row>
    <row r="509" customFormat="false" ht="11.25" hidden="false" customHeight="true" outlineLevel="0" collapsed="false">
      <c r="A509" s="14"/>
      <c r="B509" s="15"/>
      <c r="C509" s="15"/>
      <c r="D509" s="14"/>
      <c r="E509" s="14"/>
      <c r="F509" s="14"/>
      <c r="G509" s="14"/>
      <c r="H509" s="15"/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T509" s="14"/>
      <c r="CW509" s="3"/>
      <c r="DG509" s="4"/>
    </row>
    <row r="510" customFormat="false" ht="11.25" hidden="false" customHeight="true" outlineLevel="0" collapsed="false">
      <c r="A510" s="14"/>
      <c r="B510" s="15"/>
      <c r="C510" s="15"/>
      <c r="D510" s="14"/>
      <c r="E510" s="14"/>
      <c r="F510" s="14"/>
      <c r="G510" s="14"/>
      <c r="H510" s="15"/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T510" s="14"/>
      <c r="CW510" s="3"/>
      <c r="DG510" s="4"/>
    </row>
    <row r="511" customFormat="false" ht="11.25" hidden="false" customHeight="true" outlineLevel="0" collapsed="false">
      <c r="A511" s="14"/>
      <c r="B511" s="15"/>
      <c r="C511" s="15"/>
      <c r="D511" s="14"/>
      <c r="E511" s="14"/>
      <c r="F511" s="14"/>
      <c r="G511" s="14"/>
      <c r="H511" s="15"/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T511" s="14"/>
      <c r="CW511" s="3"/>
      <c r="DG511" s="4"/>
    </row>
    <row r="512" customFormat="false" ht="11.25" hidden="false" customHeight="true" outlineLevel="0" collapsed="false">
      <c r="A512" s="14"/>
      <c r="B512" s="15"/>
      <c r="C512" s="15"/>
      <c r="D512" s="14"/>
      <c r="E512" s="14"/>
      <c r="F512" s="14"/>
      <c r="G512" s="14"/>
      <c r="H512" s="15"/>
      <c r="I512" s="1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T512" s="14"/>
      <c r="CW512" s="3"/>
      <c r="DG512" s="4"/>
    </row>
    <row r="513" customFormat="false" ht="11.25" hidden="false" customHeight="true" outlineLevel="0" collapsed="false">
      <c r="A513" s="14"/>
      <c r="B513" s="15"/>
      <c r="C513" s="15"/>
      <c r="D513" s="14"/>
      <c r="E513" s="14"/>
      <c r="F513" s="14"/>
      <c r="G513" s="14"/>
      <c r="H513" s="15"/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T513" s="14"/>
      <c r="CW513" s="3"/>
      <c r="DG513" s="4"/>
    </row>
    <row r="514" customFormat="false" ht="11.25" hidden="false" customHeight="true" outlineLevel="0" collapsed="false">
      <c r="A514" s="14"/>
      <c r="B514" s="15"/>
      <c r="C514" s="15"/>
      <c r="D514" s="14"/>
      <c r="E514" s="14"/>
      <c r="F514" s="14"/>
      <c r="G514" s="14"/>
      <c r="H514" s="15"/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T514" s="14"/>
      <c r="CW514" s="3"/>
      <c r="DG514" s="4"/>
    </row>
    <row r="515" customFormat="false" ht="11.25" hidden="false" customHeight="true" outlineLevel="0" collapsed="false">
      <c r="A515" s="14"/>
      <c r="B515" s="15"/>
      <c r="C515" s="15"/>
      <c r="D515" s="14"/>
      <c r="E515" s="14"/>
      <c r="F515" s="14"/>
      <c r="G515" s="14"/>
      <c r="H515" s="15"/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T515" s="14"/>
      <c r="CW515" s="3"/>
      <c r="DG515" s="4"/>
    </row>
    <row r="516" customFormat="false" ht="11.25" hidden="false" customHeight="true" outlineLevel="0" collapsed="false">
      <c r="A516" s="14"/>
      <c r="B516" s="15"/>
      <c r="C516" s="15"/>
      <c r="D516" s="14"/>
      <c r="E516" s="14"/>
      <c r="F516" s="14"/>
      <c r="G516" s="14"/>
      <c r="H516" s="15"/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T516" s="14"/>
      <c r="CW516" s="3"/>
      <c r="DG516" s="4"/>
    </row>
    <row r="517" customFormat="false" ht="11.25" hidden="false" customHeight="true" outlineLevel="0" collapsed="false">
      <c r="A517" s="14"/>
      <c r="B517" s="15"/>
      <c r="C517" s="15"/>
      <c r="D517" s="14"/>
      <c r="E517" s="14"/>
      <c r="F517" s="14"/>
      <c r="G517" s="14"/>
      <c r="H517" s="15"/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T517" s="14"/>
      <c r="CW517" s="3"/>
      <c r="DG517" s="4"/>
    </row>
    <row r="518" customFormat="false" ht="11.25" hidden="false" customHeight="true" outlineLevel="0" collapsed="false">
      <c r="A518" s="14"/>
      <c r="B518" s="15"/>
      <c r="C518" s="15"/>
      <c r="D518" s="14"/>
      <c r="E518" s="14"/>
      <c r="F518" s="14"/>
      <c r="G518" s="14"/>
      <c r="H518" s="15"/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T518" s="14"/>
      <c r="CW518" s="3"/>
      <c r="DG518" s="4"/>
    </row>
    <row r="519" customFormat="false" ht="11.25" hidden="false" customHeight="true" outlineLevel="0" collapsed="false">
      <c r="A519" s="14"/>
      <c r="B519" s="15"/>
      <c r="C519" s="15"/>
      <c r="D519" s="14"/>
      <c r="E519" s="14"/>
      <c r="F519" s="14"/>
      <c r="G519" s="14"/>
      <c r="H519" s="15"/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T519" s="14"/>
      <c r="CW519" s="3"/>
      <c r="DG519" s="4"/>
    </row>
    <row r="520" customFormat="false" ht="11.25" hidden="false" customHeight="true" outlineLevel="0" collapsed="false">
      <c r="A520" s="14"/>
      <c r="B520" s="15"/>
      <c r="C520" s="15"/>
      <c r="D520" s="14"/>
      <c r="E520" s="14"/>
      <c r="F520" s="14"/>
      <c r="G520" s="14"/>
      <c r="H520" s="15"/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T520" s="14"/>
      <c r="CW520" s="3"/>
      <c r="DG520" s="4"/>
    </row>
    <row r="521" customFormat="false" ht="11.25" hidden="false" customHeight="true" outlineLevel="0" collapsed="false">
      <c r="A521" s="14"/>
      <c r="B521" s="15"/>
      <c r="C521" s="15"/>
      <c r="D521" s="14"/>
      <c r="E521" s="14"/>
      <c r="F521" s="14"/>
      <c r="G521" s="14"/>
      <c r="H521" s="15"/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T521" s="14"/>
      <c r="CW521" s="3"/>
      <c r="DG521" s="4"/>
    </row>
    <row r="522" customFormat="false" ht="11.25" hidden="false" customHeight="true" outlineLevel="0" collapsed="false">
      <c r="A522" s="14"/>
      <c r="B522" s="15"/>
      <c r="C522" s="15"/>
      <c r="D522" s="14"/>
      <c r="E522" s="14"/>
      <c r="F522" s="14"/>
      <c r="G522" s="14"/>
      <c r="H522" s="15"/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T522" s="14"/>
      <c r="CW522" s="3"/>
      <c r="DG522" s="4"/>
    </row>
    <row r="523" customFormat="false" ht="11.25" hidden="false" customHeight="true" outlineLevel="0" collapsed="false">
      <c r="A523" s="14"/>
      <c r="B523" s="15"/>
      <c r="C523" s="15"/>
      <c r="D523" s="14"/>
      <c r="E523" s="14"/>
      <c r="F523" s="14"/>
      <c r="G523" s="14"/>
      <c r="H523" s="15"/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T523" s="14"/>
      <c r="CW523" s="3"/>
      <c r="DG523" s="4"/>
    </row>
    <row r="524" customFormat="false" ht="11.25" hidden="false" customHeight="true" outlineLevel="0" collapsed="false">
      <c r="A524" s="14"/>
      <c r="B524" s="15"/>
      <c r="C524" s="15"/>
      <c r="D524" s="14"/>
      <c r="E524" s="14"/>
      <c r="F524" s="14"/>
      <c r="G524" s="14"/>
      <c r="H524" s="15"/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T524" s="14"/>
      <c r="CW524" s="3"/>
      <c r="DG524" s="4"/>
    </row>
    <row r="525" customFormat="false" ht="11.25" hidden="false" customHeight="true" outlineLevel="0" collapsed="false">
      <c r="A525" s="14"/>
      <c r="B525" s="15"/>
      <c r="C525" s="15"/>
      <c r="D525" s="14"/>
      <c r="E525" s="14"/>
      <c r="F525" s="14"/>
      <c r="G525" s="14"/>
      <c r="H525" s="15"/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T525" s="14"/>
      <c r="CW525" s="3"/>
      <c r="DG525" s="4"/>
    </row>
    <row r="526" customFormat="false" ht="11.25" hidden="false" customHeight="true" outlineLevel="0" collapsed="false">
      <c r="A526" s="14"/>
      <c r="B526" s="15"/>
      <c r="C526" s="15"/>
      <c r="D526" s="14"/>
      <c r="E526" s="14"/>
      <c r="F526" s="14"/>
      <c r="G526" s="14"/>
      <c r="H526" s="15"/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T526" s="14"/>
      <c r="CW526" s="3"/>
      <c r="DG526" s="4"/>
    </row>
    <row r="527" customFormat="false" ht="11.25" hidden="false" customHeight="true" outlineLevel="0" collapsed="false">
      <c r="A527" s="14"/>
      <c r="B527" s="15"/>
      <c r="C527" s="15"/>
      <c r="D527" s="14"/>
      <c r="E527" s="14"/>
      <c r="F527" s="14"/>
      <c r="G527" s="14"/>
      <c r="H527" s="15"/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T527" s="14"/>
      <c r="CW527" s="3"/>
      <c r="DG527" s="4"/>
    </row>
    <row r="528" customFormat="false" ht="11.25" hidden="false" customHeight="true" outlineLevel="0" collapsed="false">
      <c r="A528" s="14"/>
      <c r="B528" s="15"/>
      <c r="C528" s="15"/>
      <c r="D528" s="14"/>
      <c r="E528" s="14"/>
      <c r="F528" s="14"/>
      <c r="G528" s="14"/>
      <c r="H528" s="15"/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T528" s="14"/>
      <c r="CW528" s="3"/>
      <c r="DG528" s="4"/>
    </row>
    <row r="529" customFormat="false" ht="11.25" hidden="false" customHeight="true" outlineLevel="0" collapsed="false">
      <c r="A529" s="14"/>
      <c r="B529" s="15"/>
      <c r="C529" s="15"/>
      <c r="D529" s="14"/>
      <c r="E529" s="14"/>
      <c r="F529" s="14"/>
      <c r="G529" s="14"/>
      <c r="H529" s="15"/>
      <c r="I529" s="1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T529" s="14"/>
      <c r="CW529" s="3"/>
      <c r="DG529" s="4"/>
    </row>
    <row r="530" customFormat="false" ht="11.25" hidden="false" customHeight="true" outlineLevel="0" collapsed="false">
      <c r="A530" s="14"/>
      <c r="B530" s="15"/>
      <c r="C530" s="15"/>
      <c r="D530" s="14"/>
      <c r="E530" s="14"/>
      <c r="F530" s="14"/>
      <c r="G530" s="14"/>
      <c r="H530" s="15"/>
      <c r="I530" s="1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T530" s="14"/>
      <c r="CW530" s="3"/>
      <c r="DG530" s="4"/>
    </row>
    <row r="531" customFormat="false" ht="11.25" hidden="false" customHeight="true" outlineLevel="0" collapsed="false">
      <c r="A531" s="14"/>
      <c r="B531" s="15"/>
      <c r="C531" s="15"/>
      <c r="D531" s="14"/>
      <c r="E531" s="14"/>
      <c r="F531" s="14"/>
      <c r="G531" s="14"/>
      <c r="H531" s="15"/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T531" s="14"/>
      <c r="CW531" s="3"/>
      <c r="DG531" s="4"/>
    </row>
    <row r="532" customFormat="false" ht="11.25" hidden="false" customHeight="true" outlineLevel="0" collapsed="false">
      <c r="A532" s="14"/>
      <c r="B532" s="15"/>
      <c r="C532" s="15"/>
      <c r="D532" s="14"/>
      <c r="E532" s="14"/>
      <c r="F532" s="14"/>
      <c r="G532" s="14"/>
      <c r="H532" s="15"/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T532" s="14"/>
      <c r="CW532" s="3"/>
      <c r="DG532" s="4"/>
    </row>
    <row r="533" customFormat="false" ht="11.25" hidden="false" customHeight="true" outlineLevel="0" collapsed="false">
      <c r="A533" s="14"/>
      <c r="B533" s="15"/>
      <c r="C533" s="15"/>
      <c r="D533" s="14"/>
      <c r="E533" s="14"/>
      <c r="F533" s="14"/>
      <c r="G533" s="14"/>
      <c r="H533" s="15"/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T533" s="14"/>
      <c r="CW533" s="3"/>
      <c r="DG533" s="4"/>
    </row>
    <row r="534" customFormat="false" ht="11.25" hidden="false" customHeight="true" outlineLevel="0" collapsed="false">
      <c r="A534" s="14"/>
      <c r="B534" s="15"/>
      <c r="C534" s="15"/>
      <c r="D534" s="14"/>
      <c r="E534" s="14"/>
      <c r="F534" s="14"/>
      <c r="G534" s="14"/>
      <c r="H534" s="15"/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T534" s="14"/>
      <c r="CW534" s="3"/>
      <c r="DG534" s="4"/>
    </row>
    <row r="535" customFormat="false" ht="11.25" hidden="false" customHeight="true" outlineLevel="0" collapsed="false">
      <c r="A535" s="14"/>
      <c r="B535" s="15"/>
      <c r="C535" s="15"/>
      <c r="D535" s="14"/>
      <c r="E535" s="14"/>
      <c r="F535" s="14"/>
      <c r="G535" s="14"/>
      <c r="H535" s="15"/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T535" s="14"/>
      <c r="CW535" s="3"/>
      <c r="DG535" s="4"/>
    </row>
    <row r="536" customFormat="false" ht="11.25" hidden="false" customHeight="true" outlineLevel="0" collapsed="false">
      <c r="A536" s="14"/>
      <c r="B536" s="15"/>
      <c r="C536" s="15"/>
      <c r="D536" s="14"/>
      <c r="E536" s="14"/>
      <c r="F536" s="14"/>
      <c r="G536" s="14"/>
      <c r="H536" s="15"/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T536" s="14"/>
      <c r="CW536" s="3"/>
      <c r="DG536" s="4"/>
    </row>
    <row r="537" customFormat="false" ht="11.25" hidden="false" customHeight="true" outlineLevel="0" collapsed="false">
      <c r="A537" s="14"/>
      <c r="B537" s="15"/>
      <c r="C537" s="15"/>
      <c r="D537" s="14"/>
      <c r="E537" s="14"/>
      <c r="F537" s="14"/>
      <c r="G537" s="14"/>
      <c r="H537" s="15"/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T537" s="14"/>
      <c r="CW537" s="3"/>
      <c r="DG537" s="4"/>
    </row>
    <row r="538" customFormat="false" ht="11.25" hidden="false" customHeight="true" outlineLevel="0" collapsed="false">
      <c r="A538" s="14"/>
      <c r="B538" s="15"/>
      <c r="C538" s="15"/>
      <c r="D538" s="14"/>
      <c r="E538" s="14"/>
      <c r="F538" s="14"/>
      <c r="G538" s="14"/>
      <c r="H538" s="15"/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T538" s="14"/>
      <c r="CW538" s="3"/>
      <c r="DG538" s="4"/>
    </row>
    <row r="539" customFormat="false" ht="11.25" hidden="false" customHeight="true" outlineLevel="0" collapsed="false">
      <c r="A539" s="14"/>
      <c r="B539" s="15"/>
      <c r="C539" s="15"/>
      <c r="D539" s="14"/>
      <c r="E539" s="14"/>
      <c r="F539" s="14"/>
      <c r="G539" s="14"/>
      <c r="H539" s="15"/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T539" s="14"/>
      <c r="CW539" s="3"/>
      <c r="DG539" s="4"/>
    </row>
    <row r="540" customFormat="false" ht="11.25" hidden="false" customHeight="true" outlineLevel="0" collapsed="false">
      <c r="A540" s="14"/>
      <c r="B540" s="15"/>
      <c r="C540" s="15"/>
      <c r="D540" s="14"/>
      <c r="E540" s="14"/>
      <c r="F540" s="14"/>
      <c r="G540" s="14"/>
      <c r="H540" s="15"/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T540" s="14"/>
      <c r="CW540" s="3"/>
      <c r="DG540" s="4"/>
    </row>
    <row r="541" customFormat="false" ht="11.25" hidden="false" customHeight="true" outlineLevel="0" collapsed="false">
      <c r="A541" s="14"/>
      <c r="B541" s="15"/>
      <c r="C541" s="15"/>
      <c r="D541" s="14"/>
      <c r="E541" s="14"/>
      <c r="F541" s="14"/>
      <c r="G541" s="14"/>
      <c r="H541" s="15"/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T541" s="14"/>
      <c r="CW541" s="3"/>
      <c r="DG541" s="4"/>
    </row>
    <row r="542" customFormat="false" ht="11.25" hidden="false" customHeight="true" outlineLevel="0" collapsed="false">
      <c r="A542" s="14"/>
      <c r="B542" s="15"/>
      <c r="C542" s="15"/>
      <c r="D542" s="14"/>
      <c r="E542" s="14"/>
      <c r="F542" s="14"/>
      <c r="G542" s="14"/>
      <c r="H542" s="15"/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T542" s="14"/>
      <c r="CW542" s="3"/>
      <c r="DG542" s="4"/>
    </row>
    <row r="543" customFormat="false" ht="11.25" hidden="false" customHeight="true" outlineLevel="0" collapsed="false">
      <c r="A543" s="14"/>
      <c r="B543" s="15"/>
      <c r="C543" s="15"/>
      <c r="D543" s="14"/>
      <c r="E543" s="14"/>
      <c r="F543" s="14"/>
      <c r="G543" s="14"/>
      <c r="H543" s="15"/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T543" s="14"/>
      <c r="CW543" s="3"/>
      <c r="DG543" s="4"/>
    </row>
    <row r="544" customFormat="false" ht="11.25" hidden="false" customHeight="true" outlineLevel="0" collapsed="false">
      <c r="A544" s="14"/>
      <c r="B544" s="15"/>
      <c r="C544" s="15"/>
      <c r="D544" s="14"/>
      <c r="E544" s="14"/>
      <c r="F544" s="14"/>
      <c r="G544" s="14"/>
      <c r="H544" s="15"/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T544" s="14"/>
      <c r="CW544" s="3"/>
      <c r="DG544" s="4"/>
    </row>
    <row r="545" customFormat="false" ht="11.25" hidden="false" customHeight="true" outlineLevel="0" collapsed="false">
      <c r="A545" s="14"/>
      <c r="B545" s="15"/>
      <c r="C545" s="15"/>
      <c r="D545" s="14"/>
      <c r="E545" s="14"/>
      <c r="F545" s="14"/>
      <c r="G545" s="14"/>
      <c r="H545" s="15"/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T545" s="14"/>
      <c r="CW545" s="3"/>
      <c r="DG545" s="4"/>
    </row>
    <row r="546" customFormat="false" ht="11.25" hidden="false" customHeight="true" outlineLevel="0" collapsed="false">
      <c r="A546" s="14"/>
      <c r="B546" s="15"/>
      <c r="C546" s="15"/>
      <c r="D546" s="14"/>
      <c r="E546" s="14"/>
      <c r="F546" s="14"/>
      <c r="G546" s="14"/>
      <c r="H546" s="15"/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T546" s="14"/>
      <c r="CW546" s="3"/>
      <c r="DG546" s="4"/>
    </row>
    <row r="547" customFormat="false" ht="11.25" hidden="false" customHeight="true" outlineLevel="0" collapsed="false">
      <c r="A547" s="14"/>
      <c r="B547" s="15"/>
      <c r="C547" s="15"/>
      <c r="D547" s="14"/>
      <c r="E547" s="14"/>
      <c r="F547" s="14"/>
      <c r="G547" s="14"/>
      <c r="H547" s="15"/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T547" s="14"/>
      <c r="CW547" s="3"/>
      <c r="DG547" s="4"/>
    </row>
    <row r="548" customFormat="false" ht="11.25" hidden="false" customHeight="true" outlineLevel="0" collapsed="false">
      <c r="A548" s="14"/>
      <c r="B548" s="15"/>
      <c r="C548" s="15"/>
      <c r="D548" s="14"/>
      <c r="E548" s="14"/>
      <c r="F548" s="14"/>
      <c r="G548" s="14"/>
      <c r="H548" s="15"/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T548" s="14"/>
      <c r="CW548" s="3"/>
      <c r="DG548" s="4"/>
    </row>
    <row r="549" customFormat="false" ht="11.25" hidden="false" customHeight="true" outlineLevel="0" collapsed="false">
      <c r="A549" s="14"/>
      <c r="B549" s="15"/>
      <c r="C549" s="15"/>
      <c r="D549" s="14"/>
      <c r="E549" s="14"/>
      <c r="F549" s="14"/>
      <c r="G549" s="14"/>
      <c r="H549" s="15"/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T549" s="14"/>
      <c r="CW549" s="3"/>
      <c r="DG549" s="4"/>
    </row>
    <row r="550" customFormat="false" ht="11.25" hidden="false" customHeight="true" outlineLevel="0" collapsed="false">
      <c r="A550" s="14"/>
      <c r="B550" s="15"/>
      <c r="C550" s="15"/>
      <c r="D550" s="14"/>
      <c r="E550" s="14"/>
      <c r="F550" s="14"/>
      <c r="G550" s="14"/>
      <c r="H550" s="15"/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T550" s="14"/>
      <c r="CW550" s="3"/>
      <c r="DG550" s="4"/>
    </row>
    <row r="551" customFormat="false" ht="11.25" hidden="false" customHeight="true" outlineLevel="0" collapsed="false">
      <c r="A551" s="14"/>
      <c r="B551" s="15"/>
      <c r="C551" s="15"/>
      <c r="D551" s="14"/>
      <c r="E551" s="14"/>
      <c r="F551" s="14"/>
      <c r="G551" s="14"/>
      <c r="H551" s="15"/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T551" s="14"/>
      <c r="CW551" s="3"/>
      <c r="DG551" s="4"/>
    </row>
    <row r="552" customFormat="false" ht="11.25" hidden="false" customHeight="true" outlineLevel="0" collapsed="false">
      <c r="A552" s="14"/>
      <c r="B552" s="15"/>
      <c r="C552" s="15"/>
      <c r="D552" s="14"/>
      <c r="E552" s="14"/>
      <c r="F552" s="14"/>
      <c r="G552" s="14"/>
      <c r="H552" s="15"/>
      <c r="I552" s="1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T552" s="14"/>
      <c r="CW552" s="3"/>
      <c r="DG552" s="4"/>
    </row>
    <row r="553" customFormat="false" ht="11.25" hidden="false" customHeight="true" outlineLevel="0" collapsed="false">
      <c r="A553" s="14"/>
      <c r="B553" s="15"/>
      <c r="C553" s="15"/>
      <c r="D553" s="14"/>
      <c r="E553" s="14"/>
      <c r="F553" s="14"/>
      <c r="G553" s="14"/>
      <c r="H553" s="15"/>
      <c r="I553" s="1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T553" s="14"/>
      <c r="CW553" s="3"/>
      <c r="DG553" s="4"/>
    </row>
    <row r="554" customFormat="false" ht="11.25" hidden="false" customHeight="true" outlineLevel="0" collapsed="false">
      <c r="A554" s="14"/>
      <c r="B554" s="15"/>
      <c r="C554" s="15"/>
      <c r="D554" s="14"/>
      <c r="E554" s="14"/>
      <c r="F554" s="14"/>
      <c r="G554" s="14"/>
      <c r="H554" s="15"/>
      <c r="I554" s="1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T554" s="14"/>
      <c r="CW554" s="3"/>
      <c r="DG554" s="4"/>
    </row>
    <row r="555" customFormat="false" ht="11.25" hidden="false" customHeight="true" outlineLevel="0" collapsed="false">
      <c r="A555" s="14"/>
      <c r="B555" s="15"/>
      <c r="C555" s="15"/>
      <c r="D555" s="14"/>
      <c r="E555" s="14"/>
      <c r="F555" s="14"/>
      <c r="G555" s="14"/>
      <c r="H555" s="15"/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T555" s="14"/>
      <c r="CW555" s="3"/>
      <c r="DG555" s="4"/>
    </row>
    <row r="556" customFormat="false" ht="11.25" hidden="false" customHeight="true" outlineLevel="0" collapsed="false">
      <c r="A556" s="14"/>
      <c r="B556" s="15"/>
      <c r="C556" s="15"/>
      <c r="D556" s="14"/>
      <c r="E556" s="14"/>
      <c r="F556" s="14"/>
      <c r="G556" s="14"/>
      <c r="H556" s="15"/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T556" s="14"/>
      <c r="CW556" s="3"/>
      <c r="DG556" s="4"/>
    </row>
    <row r="557" customFormat="false" ht="11.25" hidden="false" customHeight="true" outlineLevel="0" collapsed="false">
      <c r="A557" s="14"/>
      <c r="B557" s="15"/>
      <c r="C557" s="15"/>
      <c r="D557" s="14"/>
      <c r="E557" s="14"/>
      <c r="F557" s="14"/>
      <c r="G557" s="14"/>
      <c r="H557" s="15"/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T557" s="14"/>
      <c r="CW557" s="3"/>
      <c r="DG557" s="4"/>
    </row>
    <row r="558" customFormat="false" ht="11.25" hidden="false" customHeight="true" outlineLevel="0" collapsed="false">
      <c r="A558" s="14"/>
      <c r="B558" s="15"/>
      <c r="C558" s="15"/>
      <c r="D558" s="14"/>
      <c r="E558" s="14"/>
      <c r="F558" s="14"/>
      <c r="G558" s="14"/>
      <c r="H558" s="15"/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T558" s="14"/>
      <c r="CW558" s="3"/>
      <c r="DG558" s="4"/>
    </row>
    <row r="559" customFormat="false" ht="11.25" hidden="false" customHeight="true" outlineLevel="0" collapsed="false">
      <c r="A559" s="14"/>
      <c r="B559" s="15"/>
      <c r="C559" s="15"/>
      <c r="D559" s="14"/>
      <c r="E559" s="14"/>
      <c r="F559" s="14"/>
      <c r="G559" s="14"/>
      <c r="H559" s="15"/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T559" s="14"/>
      <c r="CW559" s="3"/>
      <c r="DG559" s="4"/>
    </row>
    <row r="560" customFormat="false" ht="11.25" hidden="false" customHeight="true" outlineLevel="0" collapsed="false">
      <c r="A560" s="14"/>
      <c r="B560" s="15"/>
      <c r="C560" s="15"/>
      <c r="D560" s="14"/>
      <c r="E560" s="14"/>
      <c r="F560" s="14"/>
      <c r="G560" s="14"/>
      <c r="H560" s="15"/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T560" s="14"/>
      <c r="CW560" s="3"/>
      <c r="DG560" s="4"/>
    </row>
    <row r="561" customFormat="false" ht="11.25" hidden="false" customHeight="true" outlineLevel="0" collapsed="false">
      <c r="A561" s="14"/>
      <c r="B561" s="15"/>
      <c r="C561" s="15"/>
      <c r="D561" s="14"/>
      <c r="E561" s="14"/>
      <c r="F561" s="14"/>
      <c r="G561" s="14"/>
      <c r="H561" s="15"/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T561" s="14"/>
      <c r="CW561" s="3"/>
      <c r="DG561" s="4"/>
    </row>
    <row r="562" customFormat="false" ht="11.25" hidden="false" customHeight="true" outlineLevel="0" collapsed="false">
      <c r="A562" s="14"/>
      <c r="B562" s="15"/>
      <c r="C562" s="15"/>
      <c r="D562" s="14"/>
      <c r="E562" s="14"/>
      <c r="F562" s="14"/>
      <c r="G562" s="14"/>
      <c r="H562" s="15"/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T562" s="14"/>
      <c r="CW562" s="3"/>
      <c r="DG562" s="4"/>
    </row>
    <row r="563" customFormat="false" ht="11.25" hidden="false" customHeight="true" outlineLevel="0" collapsed="false">
      <c r="A563" s="14"/>
      <c r="B563" s="15"/>
      <c r="C563" s="15"/>
      <c r="D563" s="14"/>
      <c r="E563" s="14"/>
      <c r="F563" s="14"/>
      <c r="G563" s="14"/>
      <c r="H563" s="15"/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T563" s="14"/>
      <c r="CW563" s="3"/>
      <c r="DG563" s="4"/>
    </row>
    <row r="564" customFormat="false" ht="11.25" hidden="false" customHeight="true" outlineLevel="0" collapsed="false">
      <c r="A564" s="14"/>
      <c r="B564" s="15"/>
      <c r="C564" s="15"/>
      <c r="D564" s="14"/>
      <c r="E564" s="14"/>
      <c r="F564" s="14"/>
      <c r="G564" s="14"/>
      <c r="H564" s="15"/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T564" s="14"/>
      <c r="CW564" s="3"/>
      <c r="DG564" s="4"/>
    </row>
    <row r="565" customFormat="false" ht="11.25" hidden="false" customHeight="true" outlineLevel="0" collapsed="false">
      <c r="A565" s="14"/>
      <c r="B565" s="15"/>
      <c r="C565" s="15"/>
      <c r="D565" s="14"/>
      <c r="E565" s="14"/>
      <c r="F565" s="14"/>
      <c r="G565" s="14"/>
      <c r="H565" s="15"/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T565" s="14"/>
      <c r="CW565" s="3"/>
      <c r="DG565" s="4"/>
    </row>
    <row r="566" customFormat="false" ht="11.25" hidden="false" customHeight="true" outlineLevel="0" collapsed="false">
      <c r="A566" s="14"/>
      <c r="B566" s="15"/>
      <c r="C566" s="15"/>
      <c r="D566" s="14"/>
      <c r="E566" s="14"/>
      <c r="F566" s="14"/>
      <c r="G566" s="14"/>
      <c r="H566" s="15"/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T566" s="14"/>
      <c r="CW566" s="3"/>
      <c r="DG566" s="4"/>
    </row>
    <row r="567" customFormat="false" ht="11.25" hidden="false" customHeight="true" outlineLevel="0" collapsed="false">
      <c r="A567" s="14"/>
      <c r="B567" s="15"/>
      <c r="C567" s="15"/>
      <c r="D567" s="14"/>
      <c r="E567" s="14"/>
      <c r="F567" s="14"/>
      <c r="G567" s="14"/>
      <c r="H567" s="15"/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T567" s="14"/>
      <c r="CW567" s="3"/>
      <c r="DG567" s="4"/>
    </row>
    <row r="568" customFormat="false" ht="11.25" hidden="false" customHeight="true" outlineLevel="0" collapsed="false">
      <c r="A568" s="14"/>
      <c r="B568" s="15"/>
      <c r="C568" s="15"/>
      <c r="D568" s="14"/>
      <c r="E568" s="14"/>
      <c r="F568" s="14"/>
      <c r="G568" s="14"/>
      <c r="H568" s="15"/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T568" s="14"/>
      <c r="CW568" s="3"/>
      <c r="DG568" s="4"/>
    </row>
    <row r="569" customFormat="false" ht="11.25" hidden="false" customHeight="true" outlineLevel="0" collapsed="false">
      <c r="A569" s="14"/>
      <c r="B569" s="15"/>
      <c r="C569" s="15"/>
      <c r="D569" s="14"/>
      <c r="E569" s="14"/>
      <c r="F569" s="14"/>
      <c r="G569" s="14"/>
      <c r="H569" s="15"/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T569" s="14"/>
      <c r="CW569" s="3"/>
      <c r="DG569" s="4"/>
    </row>
    <row r="570" customFormat="false" ht="11.25" hidden="false" customHeight="true" outlineLevel="0" collapsed="false">
      <c r="A570" s="14"/>
      <c r="B570" s="15"/>
      <c r="C570" s="15"/>
      <c r="D570" s="14"/>
      <c r="E570" s="14"/>
      <c r="F570" s="14"/>
      <c r="G570" s="14"/>
      <c r="H570" s="15"/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T570" s="14"/>
      <c r="CW570" s="3"/>
      <c r="DG570" s="4"/>
    </row>
    <row r="571" customFormat="false" ht="11.25" hidden="false" customHeight="true" outlineLevel="0" collapsed="false">
      <c r="A571" s="14"/>
      <c r="B571" s="15"/>
      <c r="C571" s="15"/>
      <c r="D571" s="14"/>
      <c r="E571" s="14"/>
      <c r="F571" s="14"/>
      <c r="G571" s="14"/>
      <c r="H571" s="15"/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T571" s="14"/>
      <c r="CW571" s="3"/>
      <c r="DG571" s="4"/>
    </row>
    <row r="572" customFormat="false" ht="11.25" hidden="false" customHeight="true" outlineLevel="0" collapsed="false">
      <c r="A572" s="14"/>
      <c r="B572" s="15"/>
      <c r="C572" s="15"/>
      <c r="D572" s="14"/>
      <c r="E572" s="14"/>
      <c r="F572" s="14"/>
      <c r="G572" s="14"/>
      <c r="H572" s="15"/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T572" s="14"/>
      <c r="CW572" s="3"/>
      <c r="DG572" s="4"/>
    </row>
    <row r="573" customFormat="false" ht="11.25" hidden="false" customHeight="true" outlineLevel="0" collapsed="false">
      <c r="A573" s="14"/>
      <c r="B573" s="15"/>
      <c r="C573" s="15"/>
      <c r="D573" s="14"/>
      <c r="E573" s="14"/>
      <c r="F573" s="14"/>
      <c r="G573" s="14"/>
      <c r="H573" s="15"/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T573" s="14"/>
      <c r="CW573" s="3"/>
      <c r="DG573" s="4"/>
    </row>
    <row r="574" customFormat="false" ht="11.25" hidden="false" customHeight="true" outlineLevel="0" collapsed="false">
      <c r="A574" s="14"/>
      <c r="B574" s="15"/>
      <c r="C574" s="15"/>
      <c r="D574" s="14"/>
      <c r="E574" s="14"/>
      <c r="F574" s="14"/>
      <c r="G574" s="14"/>
      <c r="H574" s="15"/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T574" s="14"/>
      <c r="CW574" s="3"/>
      <c r="DG574" s="4"/>
    </row>
    <row r="575" customFormat="false" ht="11.25" hidden="false" customHeight="true" outlineLevel="0" collapsed="false">
      <c r="A575" s="14"/>
      <c r="B575" s="15"/>
      <c r="C575" s="15"/>
      <c r="D575" s="14"/>
      <c r="E575" s="14"/>
      <c r="F575" s="14"/>
      <c r="G575" s="14"/>
      <c r="H575" s="15"/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T575" s="14"/>
      <c r="CW575" s="3"/>
      <c r="DG575" s="4"/>
    </row>
    <row r="576" customFormat="false" ht="11.25" hidden="false" customHeight="true" outlineLevel="0" collapsed="false">
      <c r="A576" s="14"/>
      <c r="B576" s="15"/>
      <c r="C576" s="15"/>
      <c r="D576" s="14"/>
      <c r="E576" s="14"/>
      <c r="F576" s="14"/>
      <c r="G576" s="14"/>
      <c r="H576" s="15"/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T576" s="14"/>
      <c r="CW576" s="3"/>
      <c r="DG576" s="4"/>
    </row>
    <row r="577" customFormat="false" ht="11.25" hidden="false" customHeight="true" outlineLevel="0" collapsed="false">
      <c r="A577" s="14"/>
      <c r="B577" s="15"/>
      <c r="C577" s="15"/>
      <c r="D577" s="14"/>
      <c r="E577" s="14"/>
      <c r="F577" s="14"/>
      <c r="G577" s="14"/>
      <c r="H577" s="15"/>
      <c r="I577" s="1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T577" s="14"/>
      <c r="CW577" s="3"/>
      <c r="DG577" s="4"/>
    </row>
    <row r="578" customFormat="false" ht="11.25" hidden="false" customHeight="true" outlineLevel="0" collapsed="false">
      <c r="A578" s="14"/>
      <c r="B578" s="15"/>
      <c r="C578" s="15"/>
      <c r="D578" s="14"/>
      <c r="E578" s="14"/>
      <c r="F578" s="14"/>
      <c r="G578" s="14"/>
      <c r="H578" s="15"/>
      <c r="I578" s="1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T578" s="14"/>
      <c r="CW578" s="3"/>
      <c r="DG578" s="4"/>
    </row>
    <row r="579" customFormat="false" ht="11.25" hidden="false" customHeight="true" outlineLevel="0" collapsed="false">
      <c r="A579" s="14"/>
      <c r="B579" s="15"/>
      <c r="C579" s="15"/>
      <c r="D579" s="14"/>
      <c r="E579" s="14"/>
      <c r="F579" s="14"/>
      <c r="G579" s="14"/>
      <c r="H579" s="15"/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T579" s="14"/>
      <c r="CW579" s="3"/>
      <c r="DG579" s="4"/>
    </row>
    <row r="580" customFormat="false" ht="11.25" hidden="false" customHeight="true" outlineLevel="0" collapsed="false">
      <c r="A580" s="14"/>
      <c r="B580" s="15"/>
      <c r="C580" s="15"/>
      <c r="D580" s="14"/>
      <c r="E580" s="14"/>
      <c r="F580" s="14"/>
      <c r="G580" s="14"/>
      <c r="H580" s="15"/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T580" s="14"/>
      <c r="CW580" s="3"/>
      <c r="DG580" s="4"/>
    </row>
    <row r="581" customFormat="false" ht="11.25" hidden="false" customHeight="true" outlineLevel="0" collapsed="false">
      <c r="A581" s="14"/>
      <c r="B581" s="15"/>
      <c r="C581" s="15"/>
      <c r="D581" s="14"/>
      <c r="E581" s="14"/>
      <c r="F581" s="14"/>
      <c r="G581" s="14"/>
      <c r="H581" s="15"/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T581" s="14"/>
      <c r="CW581" s="3"/>
      <c r="DG581" s="4"/>
    </row>
    <row r="582" customFormat="false" ht="11.25" hidden="false" customHeight="true" outlineLevel="0" collapsed="false">
      <c r="A582" s="14"/>
      <c r="B582" s="15"/>
      <c r="C582" s="15"/>
      <c r="D582" s="14"/>
      <c r="E582" s="14"/>
      <c r="F582" s="14"/>
      <c r="G582" s="14"/>
      <c r="H582" s="15"/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T582" s="14"/>
      <c r="CW582" s="3"/>
      <c r="DG582" s="4"/>
    </row>
    <row r="583" customFormat="false" ht="11.25" hidden="false" customHeight="true" outlineLevel="0" collapsed="false">
      <c r="A583" s="14"/>
      <c r="B583" s="15"/>
      <c r="C583" s="15"/>
      <c r="D583" s="14"/>
      <c r="E583" s="14"/>
      <c r="F583" s="14"/>
      <c r="G583" s="14"/>
      <c r="H583" s="15"/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T583" s="14"/>
      <c r="CW583" s="3"/>
      <c r="DG583" s="4"/>
    </row>
    <row r="584" customFormat="false" ht="11.25" hidden="false" customHeight="true" outlineLevel="0" collapsed="false">
      <c r="A584" s="14"/>
      <c r="B584" s="15"/>
      <c r="C584" s="15"/>
      <c r="D584" s="14"/>
      <c r="E584" s="14"/>
      <c r="F584" s="14"/>
      <c r="G584" s="14"/>
      <c r="H584" s="15"/>
      <c r="I584" s="1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T584" s="14"/>
      <c r="CW584" s="3"/>
      <c r="DG584" s="4"/>
    </row>
    <row r="585" customFormat="false" ht="11.25" hidden="false" customHeight="true" outlineLevel="0" collapsed="false">
      <c r="A585" s="14"/>
      <c r="B585" s="15"/>
      <c r="C585" s="15"/>
      <c r="D585" s="14"/>
      <c r="E585" s="14"/>
      <c r="F585" s="14"/>
      <c r="G585" s="14"/>
      <c r="H585" s="15"/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T585" s="14"/>
      <c r="CW585" s="3"/>
      <c r="DG585" s="4"/>
    </row>
    <row r="586" customFormat="false" ht="11.25" hidden="false" customHeight="true" outlineLevel="0" collapsed="false">
      <c r="A586" s="14"/>
      <c r="B586" s="15"/>
      <c r="C586" s="15"/>
      <c r="D586" s="14"/>
      <c r="E586" s="14"/>
      <c r="F586" s="14"/>
      <c r="G586" s="14"/>
      <c r="H586" s="15"/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T586" s="14"/>
      <c r="CW586" s="3"/>
      <c r="DG586" s="4"/>
    </row>
    <row r="587" customFormat="false" ht="11.25" hidden="false" customHeight="true" outlineLevel="0" collapsed="false">
      <c r="A587" s="14"/>
      <c r="B587" s="15"/>
      <c r="C587" s="15"/>
      <c r="D587" s="14"/>
      <c r="E587" s="14"/>
      <c r="F587" s="14"/>
      <c r="G587" s="14"/>
      <c r="H587" s="15"/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T587" s="14"/>
      <c r="CW587" s="3"/>
      <c r="DG587" s="4"/>
    </row>
    <row r="588" customFormat="false" ht="11.25" hidden="false" customHeight="true" outlineLevel="0" collapsed="false">
      <c r="A588" s="14"/>
      <c r="B588" s="15"/>
      <c r="C588" s="15"/>
      <c r="D588" s="14"/>
      <c r="E588" s="14"/>
      <c r="F588" s="14"/>
      <c r="G588" s="14"/>
      <c r="H588" s="15"/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T588" s="14"/>
      <c r="CW588" s="3"/>
      <c r="DG588" s="4"/>
    </row>
    <row r="589" customFormat="false" ht="11.25" hidden="false" customHeight="true" outlineLevel="0" collapsed="false">
      <c r="A589" s="14"/>
      <c r="B589" s="15"/>
      <c r="C589" s="15"/>
      <c r="D589" s="14"/>
      <c r="E589" s="14"/>
      <c r="F589" s="14"/>
      <c r="G589" s="14"/>
      <c r="H589" s="15"/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T589" s="14"/>
      <c r="CW589" s="3"/>
      <c r="DG589" s="4"/>
    </row>
    <row r="590" customFormat="false" ht="11.25" hidden="false" customHeight="true" outlineLevel="0" collapsed="false">
      <c r="A590" s="14"/>
      <c r="B590" s="15"/>
      <c r="C590" s="15"/>
      <c r="D590" s="14"/>
      <c r="E590" s="14"/>
      <c r="F590" s="14"/>
      <c r="G590" s="14"/>
      <c r="H590" s="15"/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T590" s="14"/>
      <c r="CW590" s="3"/>
      <c r="DG590" s="4"/>
    </row>
    <row r="591" customFormat="false" ht="11.25" hidden="false" customHeight="true" outlineLevel="0" collapsed="false">
      <c r="A591" s="14"/>
      <c r="B591" s="15"/>
      <c r="C591" s="15"/>
      <c r="D591" s="14"/>
      <c r="E591" s="14"/>
      <c r="F591" s="14"/>
      <c r="G591" s="14"/>
      <c r="H591" s="15"/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T591" s="14"/>
      <c r="CW591" s="3"/>
      <c r="DG591" s="4"/>
    </row>
    <row r="592" customFormat="false" ht="11.25" hidden="false" customHeight="true" outlineLevel="0" collapsed="false">
      <c r="A592" s="14"/>
      <c r="B592" s="15"/>
      <c r="C592" s="15"/>
      <c r="D592" s="14"/>
      <c r="E592" s="14"/>
      <c r="F592" s="14"/>
      <c r="G592" s="14"/>
      <c r="H592" s="15"/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T592" s="14"/>
      <c r="CW592" s="3"/>
      <c r="DG592" s="4"/>
    </row>
    <row r="593" customFormat="false" ht="11.25" hidden="false" customHeight="true" outlineLevel="0" collapsed="false">
      <c r="A593" s="14"/>
      <c r="B593" s="15"/>
      <c r="C593" s="15"/>
      <c r="D593" s="14"/>
      <c r="E593" s="14"/>
      <c r="F593" s="14"/>
      <c r="G593" s="14"/>
      <c r="H593" s="15"/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T593" s="14"/>
      <c r="CW593" s="3"/>
      <c r="DG593" s="4"/>
    </row>
    <row r="594" customFormat="false" ht="11.25" hidden="false" customHeight="true" outlineLevel="0" collapsed="false">
      <c r="A594" s="14"/>
      <c r="B594" s="15"/>
      <c r="C594" s="15"/>
      <c r="D594" s="14"/>
      <c r="E594" s="14"/>
      <c r="F594" s="14"/>
      <c r="G594" s="14"/>
      <c r="H594" s="15"/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T594" s="14"/>
      <c r="CW594" s="3"/>
      <c r="DG594" s="4"/>
    </row>
    <row r="595" customFormat="false" ht="11.25" hidden="false" customHeight="true" outlineLevel="0" collapsed="false">
      <c r="A595" s="14"/>
      <c r="B595" s="15"/>
      <c r="C595" s="15"/>
      <c r="D595" s="14"/>
      <c r="E595" s="14"/>
      <c r="F595" s="14"/>
      <c r="G595" s="14"/>
      <c r="H595" s="15"/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T595" s="14"/>
      <c r="CW595" s="3"/>
      <c r="DG595" s="4"/>
    </row>
    <row r="596" customFormat="false" ht="11.25" hidden="false" customHeight="true" outlineLevel="0" collapsed="false">
      <c r="A596" s="14"/>
      <c r="B596" s="15"/>
      <c r="C596" s="15"/>
      <c r="D596" s="14"/>
      <c r="E596" s="14"/>
      <c r="F596" s="14"/>
      <c r="G596" s="14"/>
      <c r="H596" s="15"/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T596" s="14"/>
      <c r="CW596" s="3"/>
      <c r="DG596" s="4"/>
    </row>
    <row r="597" customFormat="false" ht="11.25" hidden="false" customHeight="true" outlineLevel="0" collapsed="false">
      <c r="A597" s="14"/>
      <c r="B597" s="15"/>
      <c r="C597" s="15"/>
      <c r="D597" s="14"/>
      <c r="E597" s="14"/>
      <c r="F597" s="14"/>
      <c r="G597" s="14"/>
      <c r="H597" s="15"/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T597" s="14"/>
      <c r="CW597" s="3"/>
      <c r="DG597" s="4"/>
    </row>
    <row r="598" customFormat="false" ht="11.25" hidden="false" customHeight="true" outlineLevel="0" collapsed="false">
      <c r="A598" s="14"/>
      <c r="B598" s="15"/>
      <c r="C598" s="15"/>
      <c r="D598" s="14"/>
      <c r="E598" s="14"/>
      <c r="F598" s="14"/>
      <c r="G598" s="14"/>
      <c r="H598" s="15"/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T598" s="14"/>
      <c r="CW598" s="3"/>
      <c r="DG598" s="4"/>
    </row>
    <row r="599" customFormat="false" ht="11.25" hidden="false" customHeight="true" outlineLevel="0" collapsed="false">
      <c r="A599" s="14"/>
      <c r="B599" s="15"/>
      <c r="C599" s="15"/>
      <c r="D599" s="14"/>
      <c r="E599" s="14"/>
      <c r="F599" s="14"/>
      <c r="G599" s="14"/>
      <c r="H599" s="15"/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T599" s="14"/>
      <c r="CW599" s="3"/>
      <c r="DG599" s="4"/>
    </row>
    <row r="600" customFormat="false" ht="11.25" hidden="false" customHeight="true" outlineLevel="0" collapsed="false">
      <c r="A600" s="14"/>
      <c r="B600" s="15"/>
      <c r="C600" s="15"/>
      <c r="D600" s="14"/>
      <c r="E600" s="14"/>
      <c r="F600" s="14"/>
      <c r="G600" s="14"/>
      <c r="H600" s="15"/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T600" s="14"/>
      <c r="CW600" s="3"/>
      <c r="DG600" s="4"/>
    </row>
    <row r="601" customFormat="false" ht="11.25" hidden="false" customHeight="true" outlineLevel="0" collapsed="false">
      <c r="A601" s="14"/>
      <c r="B601" s="15"/>
      <c r="C601" s="15"/>
      <c r="D601" s="14"/>
      <c r="E601" s="14"/>
      <c r="F601" s="14"/>
      <c r="G601" s="14"/>
      <c r="H601" s="15"/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T601" s="14"/>
      <c r="CW601" s="3"/>
      <c r="DG601" s="4"/>
    </row>
    <row r="602" customFormat="false" ht="11.25" hidden="false" customHeight="true" outlineLevel="0" collapsed="false">
      <c r="A602" s="14"/>
      <c r="B602" s="15"/>
      <c r="C602" s="15"/>
      <c r="D602" s="14"/>
      <c r="E602" s="14"/>
      <c r="F602" s="14"/>
      <c r="G602" s="14"/>
      <c r="H602" s="15"/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T602" s="14"/>
      <c r="CW602" s="3"/>
      <c r="DG602" s="4"/>
    </row>
    <row r="603" customFormat="false" ht="11.25" hidden="false" customHeight="true" outlineLevel="0" collapsed="false">
      <c r="A603" s="14"/>
      <c r="B603" s="15"/>
      <c r="C603" s="15"/>
      <c r="D603" s="14"/>
      <c r="E603" s="14"/>
      <c r="F603" s="14"/>
      <c r="G603" s="14"/>
      <c r="H603" s="15"/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T603" s="14"/>
      <c r="CW603" s="3"/>
      <c r="DG603" s="4"/>
    </row>
    <row r="604" customFormat="false" ht="11.25" hidden="false" customHeight="true" outlineLevel="0" collapsed="false">
      <c r="A604" s="14"/>
      <c r="B604" s="15"/>
      <c r="C604" s="15"/>
      <c r="D604" s="14"/>
      <c r="E604" s="14"/>
      <c r="F604" s="14"/>
      <c r="G604" s="14"/>
      <c r="H604" s="15"/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T604" s="14"/>
      <c r="CW604" s="3"/>
      <c r="DG604" s="4"/>
    </row>
    <row r="605" customFormat="false" ht="11.25" hidden="false" customHeight="true" outlineLevel="0" collapsed="false">
      <c r="A605" s="14"/>
      <c r="B605" s="15"/>
      <c r="C605" s="15"/>
      <c r="D605" s="14"/>
      <c r="E605" s="14"/>
      <c r="F605" s="14"/>
      <c r="G605" s="14"/>
      <c r="H605" s="15"/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T605" s="14"/>
      <c r="CW605" s="3"/>
      <c r="DG605" s="4"/>
    </row>
    <row r="606" customFormat="false" ht="11.25" hidden="false" customHeight="true" outlineLevel="0" collapsed="false">
      <c r="A606" s="14"/>
      <c r="B606" s="15"/>
      <c r="C606" s="15"/>
      <c r="D606" s="14"/>
      <c r="E606" s="14"/>
      <c r="F606" s="14"/>
      <c r="G606" s="14"/>
      <c r="H606" s="15"/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T606" s="14"/>
      <c r="CW606" s="3"/>
      <c r="DG606" s="4"/>
    </row>
    <row r="607" customFormat="false" ht="11.25" hidden="false" customHeight="true" outlineLevel="0" collapsed="false">
      <c r="A607" s="14"/>
      <c r="B607" s="15"/>
      <c r="C607" s="15"/>
      <c r="D607" s="14"/>
      <c r="E607" s="14"/>
      <c r="F607" s="14"/>
      <c r="G607" s="14"/>
      <c r="H607" s="15"/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T607" s="14"/>
      <c r="CW607" s="3"/>
      <c r="DG607" s="4"/>
    </row>
    <row r="608" customFormat="false" ht="11.25" hidden="false" customHeight="true" outlineLevel="0" collapsed="false">
      <c r="A608" s="14"/>
      <c r="B608" s="15"/>
      <c r="C608" s="15"/>
      <c r="D608" s="14"/>
      <c r="E608" s="14"/>
      <c r="F608" s="14"/>
      <c r="G608" s="14"/>
      <c r="H608" s="15"/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T608" s="14"/>
      <c r="CW608" s="3"/>
      <c r="DG608" s="4"/>
    </row>
    <row r="609" customFormat="false" ht="11.25" hidden="false" customHeight="true" outlineLevel="0" collapsed="false">
      <c r="A609" s="14"/>
      <c r="B609" s="15"/>
      <c r="C609" s="15"/>
      <c r="D609" s="14"/>
      <c r="E609" s="14"/>
      <c r="F609" s="14"/>
      <c r="G609" s="14"/>
      <c r="H609" s="15"/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T609" s="14"/>
      <c r="CW609" s="3"/>
      <c r="DG609" s="4"/>
    </row>
    <row r="610" customFormat="false" ht="11.25" hidden="false" customHeight="true" outlineLevel="0" collapsed="false">
      <c r="A610" s="14"/>
      <c r="B610" s="15"/>
      <c r="C610" s="15"/>
      <c r="D610" s="14"/>
      <c r="E610" s="14"/>
      <c r="F610" s="14"/>
      <c r="G610" s="14"/>
      <c r="H610" s="15"/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T610" s="14"/>
      <c r="CW610" s="3"/>
      <c r="DG610" s="4"/>
    </row>
    <row r="611" customFormat="false" ht="11.25" hidden="false" customHeight="true" outlineLevel="0" collapsed="false">
      <c r="A611" s="14"/>
      <c r="B611" s="15"/>
      <c r="C611" s="15"/>
      <c r="D611" s="14"/>
      <c r="E611" s="14"/>
      <c r="F611" s="14"/>
      <c r="G611" s="14"/>
      <c r="H611" s="15"/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T611" s="14"/>
      <c r="CW611" s="3"/>
      <c r="DG611" s="4"/>
    </row>
    <row r="612" customFormat="false" ht="11.25" hidden="false" customHeight="true" outlineLevel="0" collapsed="false">
      <c r="A612" s="14"/>
      <c r="B612" s="15"/>
      <c r="C612" s="15"/>
      <c r="D612" s="14"/>
      <c r="E612" s="14"/>
      <c r="F612" s="14"/>
      <c r="G612" s="14"/>
      <c r="H612" s="15"/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T612" s="14"/>
      <c r="CW612" s="3"/>
      <c r="DG612" s="4"/>
    </row>
    <row r="613" customFormat="false" ht="11.25" hidden="false" customHeight="true" outlineLevel="0" collapsed="false">
      <c r="A613" s="14"/>
      <c r="B613" s="15"/>
      <c r="C613" s="15"/>
      <c r="D613" s="14"/>
      <c r="E613" s="14"/>
      <c r="F613" s="14"/>
      <c r="G613" s="14"/>
      <c r="H613" s="15"/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T613" s="14"/>
      <c r="CW613" s="3"/>
      <c r="DG613" s="4"/>
    </row>
    <row r="614" customFormat="false" ht="11.25" hidden="false" customHeight="true" outlineLevel="0" collapsed="false">
      <c r="A614" s="14"/>
      <c r="B614" s="15"/>
      <c r="C614" s="15"/>
      <c r="D614" s="14"/>
      <c r="E614" s="14"/>
      <c r="F614" s="14"/>
      <c r="G614" s="14"/>
      <c r="H614" s="15"/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T614" s="14"/>
      <c r="CW614" s="3"/>
      <c r="DG614" s="4"/>
    </row>
    <row r="615" customFormat="false" ht="11.25" hidden="false" customHeight="true" outlineLevel="0" collapsed="false">
      <c r="A615" s="14"/>
      <c r="B615" s="15"/>
      <c r="C615" s="15"/>
      <c r="D615" s="14"/>
      <c r="E615" s="14"/>
      <c r="F615" s="14"/>
      <c r="G615" s="14"/>
      <c r="H615" s="15"/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T615" s="14"/>
      <c r="CW615" s="3"/>
      <c r="DG615" s="4"/>
    </row>
    <row r="616" customFormat="false" ht="11.25" hidden="false" customHeight="true" outlineLevel="0" collapsed="false">
      <c r="A616" s="14"/>
      <c r="B616" s="15"/>
      <c r="C616" s="15"/>
      <c r="D616" s="14"/>
      <c r="E616" s="14"/>
      <c r="F616" s="14"/>
      <c r="G616" s="14"/>
      <c r="H616" s="15"/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T616" s="14"/>
      <c r="CW616" s="3"/>
      <c r="DG616" s="4"/>
    </row>
    <row r="617" customFormat="false" ht="11.25" hidden="false" customHeight="true" outlineLevel="0" collapsed="false">
      <c r="A617" s="14"/>
      <c r="B617" s="15"/>
      <c r="C617" s="15"/>
      <c r="D617" s="14"/>
      <c r="E617" s="14"/>
      <c r="F617" s="14"/>
      <c r="G617" s="14"/>
      <c r="H617" s="15"/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T617" s="14"/>
      <c r="CW617" s="3"/>
      <c r="DG617" s="4"/>
    </row>
    <row r="618" customFormat="false" ht="11.25" hidden="false" customHeight="true" outlineLevel="0" collapsed="false">
      <c r="A618" s="14"/>
      <c r="B618" s="15"/>
      <c r="C618" s="15"/>
      <c r="D618" s="14"/>
      <c r="E618" s="14"/>
      <c r="F618" s="14"/>
      <c r="G618" s="14"/>
      <c r="H618" s="15"/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T618" s="14"/>
      <c r="CW618" s="3"/>
      <c r="DG618" s="4"/>
    </row>
    <row r="619" customFormat="false" ht="11.25" hidden="false" customHeight="true" outlineLevel="0" collapsed="false">
      <c r="A619" s="14"/>
      <c r="B619" s="15"/>
      <c r="C619" s="15"/>
      <c r="D619" s="14"/>
      <c r="E619" s="14"/>
      <c r="F619" s="14"/>
      <c r="G619" s="14"/>
      <c r="H619" s="15"/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T619" s="14"/>
      <c r="CW619" s="3"/>
      <c r="DG619" s="4"/>
    </row>
    <row r="620" customFormat="false" ht="11.25" hidden="false" customHeight="true" outlineLevel="0" collapsed="false">
      <c r="A620" s="14"/>
      <c r="B620" s="15"/>
      <c r="C620" s="15"/>
      <c r="D620" s="14"/>
      <c r="E620" s="14"/>
      <c r="F620" s="14"/>
      <c r="G620" s="14"/>
      <c r="H620" s="15"/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T620" s="14"/>
      <c r="CW620" s="3"/>
      <c r="DG620" s="4"/>
    </row>
    <row r="621" customFormat="false" ht="11.25" hidden="false" customHeight="true" outlineLevel="0" collapsed="false">
      <c r="A621" s="14"/>
      <c r="B621" s="15"/>
      <c r="C621" s="15"/>
      <c r="D621" s="14"/>
      <c r="E621" s="14"/>
      <c r="F621" s="14"/>
      <c r="G621" s="14"/>
      <c r="H621" s="15"/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T621" s="14"/>
      <c r="CW621" s="3"/>
      <c r="DG621" s="4"/>
    </row>
    <row r="622" customFormat="false" ht="11.25" hidden="false" customHeight="true" outlineLevel="0" collapsed="false">
      <c r="A622" s="14"/>
      <c r="B622" s="15"/>
      <c r="C622" s="15"/>
      <c r="D622" s="14"/>
      <c r="E622" s="14"/>
      <c r="F622" s="14"/>
      <c r="G622" s="14"/>
      <c r="H622" s="15"/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T622" s="14"/>
      <c r="CW622" s="3"/>
      <c r="DG622" s="4"/>
    </row>
    <row r="623" customFormat="false" ht="11.25" hidden="false" customHeight="true" outlineLevel="0" collapsed="false">
      <c r="A623" s="14"/>
      <c r="B623" s="15"/>
      <c r="C623" s="15"/>
      <c r="D623" s="14"/>
      <c r="E623" s="14"/>
      <c r="F623" s="14"/>
      <c r="G623" s="14"/>
      <c r="H623" s="15"/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T623" s="14"/>
      <c r="CW623" s="3"/>
      <c r="DG623" s="4"/>
    </row>
    <row r="624" customFormat="false" ht="11.25" hidden="false" customHeight="true" outlineLevel="0" collapsed="false">
      <c r="A624" s="14"/>
      <c r="B624" s="15"/>
      <c r="C624" s="15"/>
      <c r="D624" s="14"/>
      <c r="E624" s="14"/>
      <c r="F624" s="14"/>
      <c r="G624" s="14"/>
      <c r="H624" s="15"/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T624" s="14"/>
      <c r="CW624" s="3"/>
      <c r="DG624" s="4"/>
    </row>
    <row r="625" customFormat="false" ht="11.25" hidden="false" customHeight="true" outlineLevel="0" collapsed="false">
      <c r="A625" s="14"/>
      <c r="B625" s="15"/>
      <c r="C625" s="15"/>
      <c r="D625" s="14"/>
      <c r="E625" s="14"/>
      <c r="F625" s="14"/>
      <c r="G625" s="14"/>
      <c r="H625" s="15"/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T625" s="14"/>
      <c r="CW625" s="3"/>
      <c r="DG625" s="4"/>
    </row>
    <row r="626" customFormat="false" ht="11.25" hidden="false" customHeight="true" outlineLevel="0" collapsed="false">
      <c r="A626" s="14"/>
      <c r="B626" s="15"/>
      <c r="C626" s="15"/>
      <c r="D626" s="14"/>
      <c r="E626" s="14"/>
      <c r="F626" s="14"/>
      <c r="G626" s="14"/>
      <c r="H626" s="15"/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T626" s="14"/>
      <c r="CW626" s="3"/>
      <c r="DG626" s="4"/>
    </row>
    <row r="627" customFormat="false" ht="11.25" hidden="false" customHeight="true" outlineLevel="0" collapsed="false">
      <c r="A627" s="14"/>
      <c r="B627" s="15"/>
      <c r="C627" s="15"/>
      <c r="D627" s="14"/>
      <c r="E627" s="14"/>
      <c r="F627" s="14"/>
      <c r="G627" s="14"/>
      <c r="H627" s="15"/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T627" s="14"/>
      <c r="CW627" s="3"/>
      <c r="DG627" s="4"/>
    </row>
    <row r="628" customFormat="false" ht="11.25" hidden="false" customHeight="true" outlineLevel="0" collapsed="false">
      <c r="A628" s="14"/>
      <c r="B628" s="15"/>
      <c r="C628" s="15"/>
      <c r="D628" s="14"/>
      <c r="E628" s="14"/>
      <c r="F628" s="14"/>
      <c r="G628" s="14"/>
      <c r="H628" s="15"/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T628" s="14"/>
      <c r="CW628" s="3"/>
      <c r="DG628" s="4"/>
    </row>
    <row r="629" customFormat="false" ht="11.25" hidden="false" customHeight="true" outlineLevel="0" collapsed="false">
      <c r="A629" s="14"/>
      <c r="B629" s="15"/>
      <c r="C629" s="15"/>
      <c r="D629" s="14"/>
      <c r="E629" s="14"/>
      <c r="F629" s="14"/>
      <c r="G629" s="14"/>
      <c r="H629" s="15"/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T629" s="14"/>
      <c r="CW629" s="3"/>
      <c r="DG629" s="4"/>
    </row>
    <row r="630" customFormat="false" ht="11.25" hidden="false" customHeight="true" outlineLevel="0" collapsed="false">
      <c r="A630" s="14"/>
      <c r="B630" s="15"/>
      <c r="C630" s="15"/>
      <c r="D630" s="14"/>
      <c r="E630" s="14"/>
      <c r="F630" s="14"/>
      <c r="G630" s="14"/>
      <c r="H630" s="15"/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T630" s="14"/>
      <c r="CW630" s="3"/>
      <c r="DG630" s="4"/>
    </row>
    <row r="631" customFormat="false" ht="11.25" hidden="false" customHeight="true" outlineLevel="0" collapsed="false">
      <c r="A631" s="14"/>
      <c r="B631" s="15"/>
      <c r="C631" s="15"/>
      <c r="D631" s="14"/>
      <c r="E631" s="14"/>
      <c r="F631" s="14"/>
      <c r="G631" s="14"/>
      <c r="H631" s="15"/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T631" s="14"/>
      <c r="CW631" s="3"/>
      <c r="DG631" s="4"/>
    </row>
    <row r="632" customFormat="false" ht="11.25" hidden="false" customHeight="true" outlineLevel="0" collapsed="false">
      <c r="A632" s="14"/>
      <c r="B632" s="15"/>
      <c r="C632" s="15"/>
      <c r="D632" s="14"/>
      <c r="E632" s="14"/>
      <c r="F632" s="14"/>
      <c r="G632" s="14"/>
      <c r="H632" s="15"/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T632" s="14"/>
      <c r="CW632" s="3"/>
      <c r="DG632" s="4"/>
    </row>
    <row r="633" customFormat="false" ht="11.25" hidden="false" customHeight="true" outlineLevel="0" collapsed="false">
      <c r="A633" s="14"/>
      <c r="B633" s="15"/>
      <c r="C633" s="15"/>
      <c r="D633" s="14"/>
      <c r="E633" s="14"/>
      <c r="F633" s="14"/>
      <c r="G633" s="14"/>
      <c r="H633" s="15"/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T633" s="14"/>
      <c r="CW633" s="3"/>
      <c r="DG633" s="4"/>
    </row>
    <row r="634" customFormat="false" ht="11.25" hidden="false" customHeight="true" outlineLevel="0" collapsed="false">
      <c r="A634" s="14"/>
      <c r="B634" s="15"/>
      <c r="C634" s="15"/>
      <c r="D634" s="14"/>
      <c r="E634" s="14"/>
      <c r="F634" s="14"/>
      <c r="G634" s="14"/>
      <c r="H634" s="15"/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T634" s="14"/>
      <c r="CW634" s="3"/>
      <c r="DG634" s="4"/>
    </row>
    <row r="635" customFormat="false" ht="11.25" hidden="false" customHeight="true" outlineLevel="0" collapsed="false">
      <c r="A635" s="14"/>
      <c r="B635" s="15"/>
      <c r="C635" s="15"/>
      <c r="D635" s="14"/>
      <c r="E635" s="14"/>
      <c r="F635" s="14"/>
      <c r="G635" s="14"/>
      <c r="H635" s="15"/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T635" s="14"/>
      <c r="CW635" s="3"/>
      <c r="DG635" s="4"/>
    </row>
    <row r="636" customFormat="false" ht="11.25" hidden="false" customHeight="true" outlineLevel="0" collapsed="false">
      <c r="A636" s="14"/>
      <c r="B636" s="15"/>
      <c r="C636" s="15"/>
      <c r="D636" s="14"/>
      <c r="E636" s="14"/>
      <c r="F636" s="14"/>
      <c r="G636" s="14"/>
      <c r="H636" s="15"/>
      <c r="I636" s="1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T636" s="14"/>
      <c r="CW636" s="3"/>
      <c r="DG636" s="4"/>
    </row>
    <row r="637" customFormat="false" ht="11.25" hidden="false" customHeight="true" outlineLevel="0" collapsed="false">
      <c r="A637" s="14"/>
      <c r="B637" s="15"/>
      <c r="C637" s="15"/>
      <c r="D637" s="14"/>
      <c r="E637" s="14"/>
      <c r="F637" s="14"/>
      <c r="G637" s="14"/>
      <c r="H637" s="15"/>
      <c r="I637" s="1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T637" s="14"/>
      <c r="CW637" s="3"/>
      <c r="DG637" s="4"/>
    </row>
    <row r="638" customFormat="false" ht="11.25" hidden="false" customHeight="true" outlineLevel="0" collapsed="false">
      <c r="A638" s="14"/>
      <c r="B638" s="15"/>
      <c r="C638" s="15"/>
      <c r="D638" s="14"/>
      <c r="E638" s="14"/>
      <c r="F638" s="14"/>
      <c r="G638" s="14"/>
      <c r="H638" s="15"/>
      <c r="I638" s="1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T638" s="14"/>
      <c r="CW638" s="3"/>
      <c r="DG638" s="4"/>
    </row>
    <row r="639" customFormat="false" ht="11.25" hidden="false" customHeight="true" outlineLevel="0" collapsed="false">
      <c r="A639" s="14"/>
      <c r="B639" s="15"/>
      <c r="C639" s="15"/>
      <c r="D639" s="14"/>
      <c r="E639" s="14"/>
      <c r="F639" s="14"/>
      <c r="G639" s="14"/>
      <c r="H639" s="15"/>
      <c r="I639" s="1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T639" s="14"/>
      <c r="CW639" s="3"/>
      <c r="DG639" s="4"/>
    </row>
    <row r="640" customFormat="false" ht="11.25" hidden="false" customHeight="true" outlineLevel="0" collapsed="false">
      <c r="A640" s="14"/>
      <c r="B640" s="15"/>
      <c r="C640" s="15"/>
      <c r="D640" s="14"/>
      <c r="E640" s="14"/>
      <c r="F640" s="14"/>
      <c r="G640" s="14"/>
      <c r="H640" s="15"/>
      <c r="I640" s="1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T640" s="14"/>
      <c r="CW640" s="3"/>
      <c r="DG640" s="4"/>
    </row>
    <row r="641" customFormat="false" ht="11.25" hidden="false" customHeight="true" outlineLevel="0" collapsed="false">
      <c r="A641" s="14"/>
      <c r="B641" s="15"/>
      <c r="C641" s="15"/>
      <c r="D641" s="14"/>
      <c r="E641" s="14"/>
      <c r="F641" s="14"/>
      <c r="G641" s="14"/>
      <c r="H641" s="15"/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T641" s="14"/>
      <c r="CW641" s="3"/>
      <c r="DG641" s="4"/>
    </row>
    <row r="642" customFormat="false" ht="11.25" hidden="false" customHeight="true" outlineLevel="0" collapsed="false">
      <c r="A642" s="14"/>
      <c r="B642" s="15"/>
      <c r="C642" s="15"/>
      <c r="D642" s="14"/>
      <c r="E642" s="14"/>
      <c r="F642" s="14"/>
      <c r="G642" s="14"/>
      <c r="H642" s="15"/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T642" s="14"/>
      <c r="CW642" s="3"/>
      <c r="DG642" s="4"/>
    </row>
    <row r="643" customFormat="false" ht="11.25" hidden="false" customHeight="true" outlineLevel="0" collapsed="false">
      <c r="A643" s="14"/>
      <c r="B643" s="15"/>
      <c r="C643" s="15"/>
      <c r="D643" s="14"/>
      <c r="E643" s="14"/>
      <c r="F643" s="14"/>
      <c r="G643" s="14"/>
      <c r="H643" s="15"/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T643" s="14"/>
      <c r="CW643" s="3"/>
      <c r="DG643" s="4"/>
    </row>
    <row r="644" customFormat="false" ht="11.25" hidden="false" customHeight="true" outlineLevel="0" collapsed="false">
      <c r="A644" s="14"/>
      <c r="B644" s="15"/>
      <c r="C644" s="15"/>
      <c r="D644" s="14"/>
      <c r="E644" s="14"/>
      <c r="F644" s="14"/>
      <c r="G644" s="14"/>
      <c r="H644" s="15"/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T644" s="14"/>
      <c r="CW644" s="3"/>
      <c r="DG644" s="4"/>
    </row>
    <row r="645" customFormat="false" ht="11.25" hidden="false" customHeight="true" outlineLevel="0" collapsed="false">
      <c r="A645" s="14"/>
      <c r="B645" s="15"/>
      <c r="C645" s="15"/>
      <c r="D645" s="14"/>
      <c r="E645" s="14"/>
      <c r="F645" s="14"/>
      <c r="G645" s="14"/>
      <c r="H645" s="15"/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T645" s="14"/>
      <c r="CW645" s="3"/>
      <c r="DG645" s="4"/>
    </row>
    <row r="646" customFormat="false" ht="11.25" hidden="false" customHeight="true" outlineLevel="0" collapsed="false">
      <c r="A646" s="14"/>
      <c r="B646" s="15"/>
      <c r="C646" s="15"/>
      <c r="D646" s="14"/>
      <c r="E646" s="14"/>
      <c r="F646" s="14"/>
      <c r="G646" s="14"/>
      <c r="H646" s="15"/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T646" s="14"/>
      <c r="CW646" s="3"/>
      <c r="DG646" s="4"/>
    </row>
    <row r="647" customFormat="false" ht="11.25" hidden="false" customHeight="true" outlineLevel="0" collapsed="false">
      <c r="A647" s="14"/>
      <c r="B647" s="15"/>
      <c r="C647" s="15"/>
      <c r="D647" s="14"/>
      <c r="E647" s="14"/>
      <c r="F647" s="14"/>
      <c r="G647" s="14"/>
      <c r="H647" s="15"/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T647" s="14"/>
      <c r="CW647" s="3"/>
      <c r="DG647" s="4"/>
    </row>
    <row r="648" customFormat="false" ht="11.25" hidden="false" customHeight="true" outlineLevel="0" collapsed="false">
      <c r="A648" s="14"/>
      <c r="B648" s="15"/>
      <c r="C648" s="15"/>
      <c r="D648" s="14"/>
      <c r="E648" s="14"/>
      <c r="F648" s="14"/>
      <c r="G648" s="14"/>
      <c r="H648" s="15"/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T648" s="14"/>
      <c r="CW648" s="3"/>
      <c r="DG648" s="4"/>
    </row>
    <row r="649" customFormat="false" ht="11.25" hidden="false" customHeight="true" outlineLevel="0" collapsed="false">
      <c r="A649" s="14"/>
      <c r="B649" s="15"/>
      <c r="C649" s="15"/>
      <c r="D649" s="14"/>
      <c r="E649" s="14"/>
      <c r="F649" s="14"/>
      <c r="G649" s="14"/>
      <c r="H649" s="15"/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T649" s="14"/>
      <c r="CW649" s="3"/>
      <c r="DG649" s="4"/>
    </row>
    <row r="650" customFormat="false" ht="11.25" hidden="false" customHeight="true" outlineLevel="0" collapsed="false">
      <c r="A650" s="14"/>
      <c r="B650" s="15"/>
      <c r="C650" s="15"/>
      <c r="D650" s="14"/>
      <c r="E650" s="14"/>
      <c r="F650" s="14"/>
      <c r="G650" s="14"/>
      <c r="H650" s="15"/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T650" s="14"/>
      <c r="CW650" s="3"/>
      <c r="DG650" s="4"/>
    </row>
    <row r="651" customFormat="false" ht="11.25" hidden="false" customHeight="true" outlineLevel="0" collapsed="false">
      <c r="A651" s="14"/>
      <c r="B651" s="15"/>
      <c r="C651" s="15"/>
      <c r="D651" s="14"/>
      <c r="E651" s="14"/>
      <c r="F651" s="14"/>
      <c r="G651" s="14"/>
      <c r="H651" s="15"/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T651" s="14"/>
      <c r="CW651" s="3"/>
      <c r="DG651" s="4"/>
    </row>
    <row r="652" customFormat="false" ht="11.25" hidden="false" customHeight="true" outlineLevel="0" collapsed="false">
      <c r="A652" s="14"/>
      <c r="B652" s="15"/>
      <c r="C652" s="15"/>
      <c r="D652" s="14"/>
      <c r="E652" s="14"/>
      <c r="F652" s="14"/>
      <c r="G652" s="14"/>
      <c r="H652" s="15"/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T652" s="14"/>
      <c r="CW652" s="3"/>
      <c r="DG652" s="4"/>
    </row>
    <row r="653" customFormat="false" ht="11.25" hidden="false" customHeight="true" outlineLevel="0" collapsed="false">
      <c r="A653" s="14"/>
      <c r="B653" s="15"/>
      <c r="C653" s="15"/>
      <c r="D653" s="14"/>
      <c r="E653" s="14"/>
      <c r="F653" s="14"/>
      <c r="G653" s="14"/>
      <c r="H653" s="15"/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T653" s="14"/>
      <c r="CW653" s="3"/>
      <c r="DG653" s="4"/>
    </row>
    <row r="654" customFormat="false" ht="11.25" hidden="false" customHeight="true" outlineLevel="0" collapsed="false">
      <c r="A654" s="14"/>
      <c r="B654" s="15"/>
      <c r="C654" s="15"/>
      <c r="D654" s="14"/>
      <c r="E654" s="14"/>
      <c r="F654" s="14"/>
      <c r="G654" s="14"/>
      <c r="H654" s="15"/>
      <c r="I654" s="1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T654" s="14"/>
      <c r="CW654" s="3"/>
      <c r="DG654" s="4"/>
    </row>
    <row r="655" customFormat="false" ht="11.25" hidden="false" customHeight="true" outlineLevel="0" collapsed="false">
      <c r="A655" s="14"/>
      <c r="B655" s="15"/>
      <c r="C655" s="15"/>
      <c r="D655" s="14"/>
      <c r="E655" s="14"/>
      <c r="F655" s="14"/>
      <c r="G655" s="14"/>
      <c r="H655" s="15"/>
      <c r="I655" s="1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T655" s="14"/>
      <c r="CW655" s="3"/>
      <c r="DG655" s="4"/>
    </row>
    <row r="656" customFormat="false" ht="11.25" hidden="false" customHeight="true" outlineLevel="0" collapsed="false">
      <c r="A656" s="14"/>
      <c r="B656" s="15"/>
      <c r="C656" s="15"/>
      <c r="D656" s="14"/>
      <c r="E656" s="14"/>
      <c r="F656" s="14"/>
      <c r="G656" s="14"/>
      <c r="H656" s="15"/>
      <c r="I656" s="1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T656" s="14"/>
      <c r="CW656" s="3"/>
      <c r="DG656" s="4"/>
    </row>
    <row r="657" customFormat="false" ht="11.25" hidden="false" customHeight="true" outlineLevel="0" collapsed="false">
      <c r="A657" s="14"/>
      <c r="B657" s="15"/>
      <c r="C657" s="15"/>
      <c r="D657" s="14"/>
      <c r="E657" s="14"/>
      <c r="F657" s="14"/>
      <c r="G657" s="14"/>
      <c r="H657" s="15"/>
      <c r="I657" s="1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T657" s="14"/>
      <c r="CW657" s="3"/>
      <c r="DG657" s="4"/>
    </row>
    <row r="658" customFormat="false" ht="11.25" hidden="false" customHeight="true" outlineLevel="0" collapsed="false">
      <c r="A658" s="14"/>
      <c r="B658" s="15"/>
      <c r="C658" s="15"/>
      <c r="D658" s="14"/>
      <c r="E658" s="14"/>
      <c r="F658" s="14"/>
      <c r="G658" s="14"/>
      <c r="H658" s="15"/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T658" s="14"/>
      <c r="CW658" s="3"/>
      <c r="DG658" s="4"/>
    </row>
    <row r="659" customFormat="false" ht="11.25" hidden="false" customHeight="true" outlineLevel="0" collapsed="false">
      <c r="A659" s="14"/>
      <c r="B659" s="15"/>
      <c r="C659" s="15"/>
      <c r="D659" s="14"/>
      <c r="E659" s="14"/>
      <c r="F659" s="14"/>
      <c r="G659" s="14"/>
      <c r="H659" s="15"/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T659" s="14"/>
      <c r="CW659" s="3"/>
      <c r="DG659" s="4"/>
    </row>
    <row r="660" customFormat="false" ht="11.25" hidden="false" customHeight="true" outlineLevel="0" collapsed="false">
      <c r="A660" s="14"/>
      <c r="B660" s="15"/>
      <c r="C660" s="15"/>
      <c r="D660" s="14"/>
      <c r="E660" s="14"/>
      <c r="F660" s="14"/>
      <c r="G660" s="14"/>
      <c r="H660" s="15"/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T660" s="14"/>
      <c r="CW660" s="3"/>
      <c r="DG660" s="4"/>
    </row>
    <row r="661" customFormat="false" ht="11.25" hidden="false" customHeight="true" outlineLevel="0" collapsed="false">
      <c r="A661" s="14"/>
      <c r="B661" s="15"/>
      <c r="C661" s="15"/>
      <c r="D661" s="14"/>
      <c r="E661" s="14"/>
      <c r="F661" s="14"/>
      <c r="G661" s="14"/>
      <c r="H661" s="15"/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T661" s="14"/>
      <c r="CW661" s="3"/>
      <c r="DG661" s="4"/>
    </row>
    <row r="662" customFormat="false" ht="11.25" hidden="false" customHeight="true" outlineLevel="0" collapsed="false">
      <c r="A662" s="14"/>
      <c r="B662" s="15"/>
      <c r="C662" s="15"/>
      <c r="D662" s="14"/>
      <c r="E662" s="14"/>
      <c r="F662" s="14"/>
      <c r="G662" s="14"/>
      <c r="H662" s="15"/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T662" s="14"/>
      <c r="CW662" s="3"/>
      <c r="DG662" s="4"/>
    </row>
    <row r="663" customFormat="false" ht="11.25" hidden="false" customHeight="true" outlineLevel="0" collapsed="false">
      <c r="A663" s="14"/>
      <c r="B663" s="15"/>
      <c r="C663" s="15"/>
      <c r="D663" s="14"/>
      <c r="E663" s="14"/>
      <c r="F663" s="14"/>
      <c r="G663" s="14"/>
      <c r="H663" s="15"/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T663" s="14"/>
      <c r="CW663" s="3"/>
      <c r="DG663" s="4"/>
    </row>
    <row r="664" customFormat="false" ht="11.25" hidden="false" customHeight="true" outlineLevel="0" collapsed="false">
      <c r="A664" s="14"/>
      <c r="B664" s="15"/>
      <c r="C664" s="15"/>
      <c r="D664" s="14"/>
      <c r="E664" s="14"/>
      <c r="F664" s="14"/>
      <c r="G664" s="14"/>
      <c r="H664" s="15"/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T664" s="14"/>
      <c r="CW664" s="3"/>
      <c r="DG664" s="4"/>
    </row>
    <row r="665" customFormat="false" ht="11.25" hidden="false" customHeight="true" outlineLevel="0" collapsed="false">
      <c r="A665" s="14"/>
      <c r="B665" s="15"/>
      <c r="C665" s="15"/>
      <c r="D665" s="14"/>
      <c r="E665" s="14"/>
      <c r="F665" s="14"/>
      <c r="G665" s="14"/>
      <c r="H665" s="15"/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T665" s="14"/>
      <c r="CW665" s="3"/>
      <c r="DG665" s="4"/>
    </row>
    <row r="666" customFormat="false" ht="11.25" hidden="false" customHeight="true" outlineLevel="0" collapsed="false">
      <c r="A666" s="14"/>
      <c r="B666" s="15"/>
      <c r="C666" s="15"/>
      <c r="D666" s="14"/>
      <c r="E666" s="14"/>
      <c r="F666" s="14"/>
      <c r="G666" s="14"/>
      <c r="H666" s="15"/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T666" s="14"/>
      <c r="CW666" s="3"/>
      <c r="DG666" s="4"/>
    </row>
    <row r="667" customFormat="false" ht="11.25" hidden="false" customHeight="true" outlineLevel="0" collapsed="false">
      <c r="A667" s="14"/>
      <c r="B667" s="15"/>
      <c r="C667" s="15"/>
      <c r="D667" s="14"/>
      <c r="E667" s="14"/>
      <c r="F667" s="14"/>
      <c r="G667" s="14"/>
      <c r="H667" s="15"/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T667" s="14"/>
      <c r="CW667" s="3"/>
      <c r="DG667" s="4"/>
    </row>
    <row r="668" customFormat="false" ht="11.25" hidden="false" customHeight="true" outlineLevel="0" collapsed="false">
      <c r="A668" s="14"/>
      <c r="B668" s="15"/>
      <c r="C668" s="15"/>
      <c r="D668" s="14"/>
      <c r="E668" s="14"/>
      <c r="F668" s="14"/>
      <c r="G668" s="14"/>
      <c r="H668" s="15"/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T668" s="14"/>
      <c r="CW668" s="3"/>
      <c r="DG668" s="4"/>
    </row>
    <row r="669" customFormat="false" ht="11.25" hidden="false" customHeight="true" outlineLevel="0" collapsed="false">
      <c r="A669" s="14"/>
      <c r="B669" s="15"/>
      <c r="C669" s="15"/>
      <c r="D669" s="14"/>
      <c r="E669" s="14"/>
      <c r="F669" s="14"/>
      <c r="G669" s="14"/>
      <c r="H669" s="15"/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T669" s="14"/>
      <c r="CW669" s="3"/>
      <c r="DG669" s="4"/>
    </row>
    <row r="670" customFormat="false" ht="11.25" hidden="false" customHeight="true" outlineLevel="0" collapsed="false">
      <c r="A670" s="14"/>
      <c r="B670" s="15"/>
      <c r="C670" s="15"/>
      <c r="D670" s="14"/>
      <c r="E670" s="14"/>
      <c r="F670" s="14"/>
      <c r="G670" s="14"/>
      <c r="H670" s="15"/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T670" s="14"/>
      <c r="CW670" s="3"/>
      <c r="DG670" s="4"/>
    </row>
    <row r="671" customFormat="false" ht="11.25" hidden="false" customHeight="true" outlineLevel="0" collapsed="false">
      <c r="A671" s="14"/>
      <c r="B671" s="15"/>
      <c r="C671" s="15"/>
      <c r="D671" s="14"/>
      <c r="E671" s="14"/>
      <c r="F671" s="14"/>
      <c r="G671" s="14"/>
      <c r="H671" s="15"/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T671" s="14"/>
      <c r="CW671" s="3"/>
      <c r="DG671" s="4"/>
    </row>
    <row r="672" customFormat="false" ht="11.25" hidden="false" customHeight="true" outlineLevel="0" collapsed="false">
      <c r="A672" s="14"/>
      <c r="B672" s="15"/>
      <c r="C672" s="15"/>
      <c r="D672" s="14"/>
      <c r="E672" s="14"/>
      <c r="F672" s="14"/>
      <c r="G672" s="14"/>
      <c r="H672" s="15"/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T672" s="14"/>
      <c r="CW672" s="3"/>
      <c r="DG672" s="4"/>
    </row>
    <row r="673" customFormat="false" ht="11.25" hidden="false" customHeight="true" outlineLevel="0" collapsed="false">
      <c r="A673" s="14"/>
      <c r="B673" s="15"/>
      <c r="C673" s="15"/>
      <c r="D673" s="14"/>
      <c r="E673" s="14"/>
      <c r="F673" s="14"/>
      <c r="G673" s="14"/>
      <c r="H673" s="15"/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T673" s="14"/>
      <c r="CW673" s="3"/>
      <c r="DG673" s="4"/>
    </row>
    <row r="674" customFormat="false" ht="11.25" hidden="false" customHeight="true" outlineLevel="0" collapsed="false">
      <c r="A674" s="14"/>
      <c r="B674" s="15"/>
      <c r="C674" s="15"/>
      <c r="D674" s="14"/>
      <c r="E674" s="14"/>
      <c r="F674" s="14"/>
      <c r="G674" s="14"/>
      <c r="H674" s="15"/>
      <c r="I674" s="1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T674" s="14"/>
      <c r="CW674" s="3"/>
      <c r="DG674" s="4"/>
    </row>
    <row r="675" customFormat="false" ht="11.25" hidden="false" customHeight="true" outlineLevel="0" collapsed="false">
      <c r="A675" s="14"/>
      <c r="B675" s="15"/>
      <c r="C675" s="15"/>
      <c r="D675" s="14"/>
      <c r="E675" s="14"/>
      <c r="F675" s="14"/>
      <c r="G675" s="14"/>
      <c r="H675" s="15"/>
      <c r="I675" s="1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T675" s="14"/>
      <c r="CW675" s="3"/>
      <c r="DG675" s="4"/>
    </row>
    <row r="676" customFormat="false" ht="11.25" hidden="false" customHeight="true" outlineLevel="0" collapsed="false">
      <c r="A676" s="14"/>
      <c r="B676" s="15"/>
      <c r="C676" s="15"/>
      <c r="D676" s="14"/>
      <c r="E676" s="14"/>
      <c r="F676" s="14"/>
      <c r="G676" s="14"/>
      <c r="H676" s="15"/>
      <c r="I676" s="1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T676" s="14"/>
      <c r="CW676" s="3"/>
      <c r="DG676" s="4"/>
    </row>
    <row r="677" customFormat="false" ht="11.25" hidden="false" customHeight="true" outlineLevel="0" collapsed="false">
      <c r="A677" s="14"/>
      <c r="B677" s="15"/>
      <c r="C677" s="15"/>
      <c r="D677" s="14"/>
      <c r="E677" s="14"/>
      <c r="F677" s="14"/>
      <c r="G677" s="14"/>
      <c r="H677" s="15"/>
      <c r="I677" s="1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T677" s="14"/>
      <c r="CW677" s="3"/>
      <c r="DG677" s="4"/>
    </row>
    <row r="678" customFormat="false" ht="11.25" hidden="false" customHeight="true" outlineLevel="0" collapsed="false">
      <c r="A678" s="14"/>
      <c r="B678" s="15"/>
      <c r="C678" s="15"/>
      <c r="D678" s="14"/>
      <c r="E678" s="14"/>
      <c r="F678" s="14"/>
      <c r="G678" s="14"/>
      <c r="H678" s="15"/>
      <c r="I678" s="1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T678" s="14"/>
      <c r="CW678" s="3"/>
      <c r="DG678" s="4"/>
    </row>
    <row r="679" customFormat="false" ht="11.25" hidden="false" customHeight="true" outlineLevel="0" collapsed="false">
      <c r="A679" s="14"/>
      <c r="B679" s="15"/>
      <c r="C679" s="15"/>
      <c r="D679" s="14"/>
      <c r="E679" s="14"/>
      <c r="F679" s="14"/>
      <c r="G679" s="14"/>
      <c r="H679" s="15"/>
      <c r="I679" s="1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T679" s="14"/>
      <c r="CW679" s="3"/>
      <c r="DG679" s="4"/>
    </row>
    <row r="680" customFormat="false" ht="11.25" hidden="false" customHeight="true" outlineLevel="0" collapsed="false">
      <c r="A680" s="14"/>
      <c r="B680" s="15"/>
      <c r="C680" s="15"/>
      <c r="D680" s="14"/>
      <c r="E680" s="14"/>
      <c r="F680" s="14"/>
      <c r="G680" s="14"/>
      <c r="H680" s="15"/>
      <c r="I680" s="1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T680" s="14"/>
      <c r="CW680" s="3"/>
      <c r="DG680" s="4"/>
    </row>
    <row r="681" customFormat="false" ht="11.25" hidden="false" customHeight="true" outlineLevel="0" collapsed="false">
      <c r="A681" s="14"/>
      <c r="B681" s="15"/>
      <c r="C681" s="15"/>
      <c r="D681" s="14"/>
      <c r="E681" s="14"/>
      <c r="F681" s="14"/>
      <c r="G681" s="14"/>
      <c r="H681" s="15"/>
      <c r="I681" s="1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T681" s="14"/>
      <c r="CW681" s="3"/>
      <c r="DG681" s="4"/>
    </row>
    <row r="682" customFormat="false" ht="11.25" hidden="false" customHeight="true" outlineLevel="0" collapsed="false">
      <c r="A682" s="14"/>
      <c r="B682" s="15"/>
      <c r="C682" s="15"/>
      <c r="D682" s="14"/>
      <c r="E682" s="14"/>
      <c r="F682" s="14"/>
      <c r="G682" s="14"/>
      <c r="H682" s="15"/>
      <c r="I682" s="1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T682" s="14"/>
      <c r="CW682" s="3"/>
      <c r="DG682" s="4"/>
    </row>
    <row r="683" customFormat="false" ht="11.25" hidden="false" customHeight="true" outlineLevel="0" collapsed="false">
      <c r="A683" s="14"/>
      <c r="B683" s="15"/>
      <c r="C683" s="15"/>
      <c r="D683" s="14"/>
      <c r="E683" s="14"/>
      <c r="F683" s="14"/>
      <c r="G683" s="14"/>
      <c r="H683" s="15"/>
      <c r="I683" s="1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T683" s="14"/>
      <c r="CW683" s="3"/>
      <c r="DG683" s="4"/>
    </row>
    <row r="684" customFormat="false" ht="11.25" hidden="false" customHeight="true" outlineLevel="0" collapsed="false">
      <c r="A684" s="14"/>
      <c r="B684" s="15"/>
      <c r="C684" s="15"/>
      <c r="D684" s="14"/>
      <c r="E684" s="14"/>
      <c r="F684" s="14"/>
      <c r="G684" s="14"/>
      <c r="H684" s="15"/>
      <c r="I684" s="1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T684" s="14"/>
      <c r="CW684" s="3"/>
      <c r="DG684" s="4"/>
    </row>
    <row r="685" customFormat="false" ht="11.25" hidden="false" customHeight="true" outlineLevel="0" collapsed="false">
      <c r="A685" s="14"/>
      <c r="B685" s="15"/>
      <c r="C685" s="15"/>
      <c r="D685" s="14"/>
      <c r="E685" s="14"/>
      <c r="F685" s="14"/>
      <c r="G685" s="14"/>
      <c r="H685" s="15"/>
      <c r="I685" s="1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T685" s="14"/>
      <c r="CW685" s="3"/>
      <c r="DG685" s="4"/>
    </row>
    <row r="686" customFormat="false" ht="11.25" hidden="false" customHeight="true" outlineLevel="0" collapsed="false">
      <c r="A686" s="14"/>
      <c r="B686" s="15"/>
      <c r="C686" s="15"/>
      <c r="D686" s="14"/>
      <c r="E686" s="14"/>
      <c r="F686" s="14"/>
      <c r="G686" s="14"/>
      <c r="H686" s="15"/>
      <c r="I686" s="1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T686" s="14"/>
      <c r="CW686" s="3"/>
      <c r="DG686" s="4"/>
    </row>
    <row r="687" customFormat="false" ht="11.25" hidden="false" customHeight="true" outlineLevel="0" collapsed="false">
      <c r="A687" s="14"/>
      <c r="B687" s="15"/>
      <c r="C687" s="15"/>
      <c r="D687" s="14"/>
      <c r="E687" s="14"/>
      <c r="F687" s="14"/>
      <c r="G687" s="14"/>
      <c r="H687" s="15"/>
      <c r="I687" s="1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T687" s="14"/>
      <c r="CW687" s="3"/>
      <c r="DG687" s="4"/>
    </row>
    <row r="688" customFormat="false" ht="11.25" hidden="false" customHeight="true" outlineLevel="0" collapsed="false">
      <c r="A688" s="14"/>
      <c r="B688" s="15"/>
      <c r="C688" s="15"/>
      <c r="D688" s="14"/>
      <c r="E688" s="14"/>
      <c r="F688" s="14"/>
      <c r="G688" s="14"/>
      <c r="H688" s="15"/>
      <c r="I688" s="1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T688" s="14"/>
      <c r="CW688" s="3"/>
      <c r="DG688" s="4"/>
    </row>
    <row r="689" customFormat="false" ht="11.25" hidden="false" customHeight="true" outlineLevel="0" collapsed="false">
      <c r="A689" s="14"/>
      <c r="B689" s="15"/>
      <c r="C689" s="15"/>
      <c r="D689" s="14"/>
      <c r="E689" s="14"/>
      <c r="F689" s="14"/>
      <c r="G689" s="14"/>
      <c r="H689" s="15"/>
      <c r="I689" s="1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T689" s="14"/>
      <c r="CW689" s="3"/>
      <c r="DG689" s="4"/>
    </row>
    <row r="690" customFormat="false" ht="11.25" hidden="false" customHeight="true" outlineLevel="0" collapsed="false">
      <c r="A690" s="14"/>
      <c r="B690" s="15"/>
      <c r="C690" s="15"/>
      <c r="D690" s="14"/>
      <c r="E690" s="14"/>
      <c r="F690" s="14"/>
      <c r="G690" s="14"/>
      <c r="H690" s="15"/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T690" s="14"/>
      <c r="CW690" s="3"/>
      <c r="DG690" s="4"/>
    </row>
    <row r="691" customFormat="false" ht="11.25" hidden="false" customHeight="true" outlineLevel="0" collapsed="false">
      <c r="A691" s="14"/>
      <c r="B691" s="15"/>
      <c r="C691" s="15"/>
      <c r="D691" s="14"/>
      <c r="E691" s="14"/>
      <c r="F691" s="14"/>
      <c r="G691" s="14"/>
      <c r="H691" s="15"/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T691" s="14"/>
      <c r="CW691" s="3"/>
      <c r="DG691" s="4"/>
    </row>
    <row r="692" customFormat="false" ht="11.25" hidden="false" customHeight="true" outlineLevel="0" collapsed="false">
      <c r="A692" s="14"/>
      <c r="B692" s="15"/>
      <c r="C692" s="15"/>
      <c r="D692" s="14"/>
      <c r="E692" s="14"/>
      <c r="F692" s="14"/>
      <c r="G692" s="14"/>
      <c r="H692" s="15"/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T692" s="14"/>
      <c r="CW692" s="3"/>
      <c r="DG692" s="4"/>
    </row>
    <row r="693" customFormat="false" ht="11.25" hidden="false" customHeight="true" outlineLevel="0" collapsed="false">
      <c r="A693" s="14"/>
      <c r="B693" s="15"/>
      <c r="C693" s="15"/>
      <c r="D693" s="14"/>
      <c r="E693" s="14"/>
      <c r="F693" s="14"/>
      <c r="G693" s="14"/>
      <c r="H693" s="15"/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T693" s="14"/>
      <c r="CW693" s="3"/>
      <c r="DG693" s="4"/>
    </row>
    <row r="694" customFormat="false" ht="11.25" hidden="false" customHeight="true" outlineLevel="0" collapsed="false">
      <c r="A694" s="14"/>
      <c r="B694" s="15"/>
      <c r="C694" s="15"/>
      <c r="D694" s="14"/>
      <c r="E694" s="14"/>
      <c r="F694" s="14"/>
      <c r="G694" s="14"/>
      <c r="H694" s="15"/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T694" s="14"/>
      <c r="CW694" s="3"/>
      <c r="DG694" s="4"/>
    </row>
    <row r="695" customFormat="false" ht="11.25" hidden="false" customHeight="true" outlineLevel="0" collapsed="false">
      <c r="A695" s="14"/>
      <c r="B695" s="15"/>
      <c r="C695" s="15"/>
      <c r="D695" s="14"/>
      <c r="E695" s="14"/>
      <c r="F695" s="14"/>
      <c r="G695" s="14"/>
      <c r="H695" s="15"/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T695" s="14"/>
      <c r="CW695" s="3"/>
      <c r="DG695" s="4"/>
    </row>
    <row r="696" customFormat="false" ht="11.25" hidden="false" customHeight="true" outlineLevel="0" collapsed="false">
      <c r="A696" s="14"/>
      <c r="B696" s="15"/>
      <c r="C696" s="15"/>
      <c r="D696" s="14"/>
      <c r="E696" s="14"/>
      <c r="F696" s="14"/>
      <c r="G696" s="14"/>
      <c r="H696" s="15"/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T696" s="14"/>
      <c r="CW696" s="3"/>
      <c r="DG696" s="4"/>
    </row>
    <row r="697" customFormat="false" ht="11.25" hidden="false" customHeight="true" outlineLevel="0" collapsed="false">
      <c r="A697" s="14"/>
      <c r="B697" s="15"/>
      <c r="C697" s="15"/>
      <c r="D697" s="14"/>
      <c r="E697" s="14"/>
      <c r="F697" s="14"/>
      <c r="G697" s="14"/>
      <c r="H697" s="15"/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T697" s="14"/>
      <c r="CW697" s="3"/>
      <c r="DG697" s="4"/>
    </row>
    <row r="698" customFormat="false" ht="11.25" hidden="false" customHeight="true" outlineLevel="0" collapsed="false">
      <c r="A698" s="14"/>
      <c r="B698" s="15"/>
      <c r="C698" s="15"/>
      <c r="D698" s="14"/>
      <c r="E698" s="14"/>
      <c r="F698" s="14"/>
      <c r="G698" s="14"/>
      <c r="H698" s="15"/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T698" s="14"/>
      <c r="CW698" s="3"/>
      <c r="DG698" s="4"/>
    </row>
    <row r="699" customFormat="false" ht="11.25" hidden="false" customHeight="true" outlineLevel="0" collapsed="false">
      <c r="A699" s="14"/>
      <c r="B699" s="15"/>
      <c r="C699" s="15"/>
      <c r="D699" s="14"/>
      <c r="E699" s="14"/>
      <c r="F699" s="14"/>
      <c r="G699" s="14"/>
      <c r="H699" s="15"/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T699" s="14"/>
      <c r="CW699" s="3"/>
      <c r="DG699" s="4"/>
    </row>
    <row r="700" customFormat="false" ht="11.25" hidden="false" customHeight="true" outlineLevel="0" collapsed="false">
      <c r="A700" s="14"/>
      <c r="B700" s="15"/>
      <c r="C700" s="15"/>
      <c r="D700" s="14"/>
      <c r="E700" s="14"/>
      <c r="F700" s="14"/>
      <c r="G700" s="14"/>
      <c r="H700" s="15"/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T700" s="14"/>
      <c r="CW700" s="3"/>
      <c r="DG700" s="4"/>
    </row>
    <row r="701" customFormat="false" ht="11.25" hidden="false" customHeight="true" outlineLevel="0" collapsed="false">
      <c r="A701" s="14"/>
      <c r="B701" s="15"/>
      <c r="C701" s="15"/>
      <c r="D701" s="14"/>
      <c r="E701" s="14"/>
      <c r="F701" s="14"/>
      <c r="G701" s="14"/>
      <c r="H701" s="15"/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T701" s="14"/>
      <c r="CW701" s="3"/>
      <c r="DG701" s="4"/>
    </row>
    <row r="702" customFormat="false" ht="11.25" hidden="false" customHeight="true" outlineLevel="0" collapsed="false">
      <c r="A702" s="14"/>
      <c r="B702" s="15"/>
      <c r="C702" s="15"/>
      <c r="D702" s="14"/>
      <c r="E702" s="14"/>
      <c r="F702" s="14"/>
      <c r="G702" s="14"/>
      <c r="H702" s="15"/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T702" s="14"/>
      <c r="CW702" s="3"/>
      <c r="DG702" s="4"/>
    </row>
    <row r="703" customFormat="false" ht="11.25" hidden="false" customHeight="true" outlineLevel="0" collapsed="false">
      <c r="A703" s="14"/>
      <c r="B703" s="15"/>
      <c r="C703" s="15"/>
      <c r="D703" s="14"/>
      <c r="E703" s="14"/>
      <c r="F703" s="14"/>
      <c r="G703" s="14"/>
      <c r="H703" s="15"/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T703" s="14"/>
      <c r="CW703" s="3"/>
      <c r="DG703" s="4"/>
    </row>
    <row r="704" customFormat="false" ht="11.25" hidden="false" customHeight="true" outlineLevel="0" collapsed="false">
      <c r="A704" s="14"/>
      <c r="B704" s="15"/>
      <c r="C704" s="15"/>
      <c r="D704" s="14"/>
      <c r="E704" s="14"/>
      <c r="F704" s="14"/>
      <c r="G704" s="14"/>
      <c r="H704" s="15"/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T704" s="14"/>
      <c r="CW704" s="3"/>
      <c r="DG704" s="4"/>
    </row>
    <row r="705" customFormat="false" ht="11.25" hidden="false" customHeight="true" outlineLevel="0" collapsed="false">
      <c r="A705" s="14"/>
      <c r="B705" s="15"/>
      <c r="C705" s="15"/>
      <c r="D705" s="14"/>
      <c r="E705" s="14"/>
      <c r="F705" s="14"/>
      <c r="G705" s="14"/>
      <c r="H705" s="15"/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T705" s="14"/>
      <c r="CW705" s="3"/>
      <c r="DG705" s="4"/>
    </row>
    <row r="706" customFormat="false" ht="11.25" hidden="false" customHeight="true" outlineLevel="0" collapsed="false">
      <c r="A706" s="14"/>
      <c r="B706" s="15"/>
      <c r="C706" s="15"/>
      <c r="D706" s="14"/>
      <c r="E706" s="14"/>
      <c r="F706" s="14"/>
      <c r="G706" s="14"/>
      <c r="H706" s="15"/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T706" s="14"/>
      <c r="CW706" s="3"/>
      <c r="DG706" s="4"/>
    </row>
    <row r="707" customFormat="false" ht="11.25" hidden="false" customHeight="true" outlineLevel="0" collapsed="false">
      <c r="A707" s="14"/>
      <c r="B707" s="15"/>
      <c r="C707" s="15"/>
      <c r="D707" s="14"/>
      <c r="E707" s="14"/>
      <c r="F707" s="14"/>
      <c r="G707" s="14"/>
      <c r="H707" s="15"/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T707" s="14"/>
      <c r="CW707" s="3"/>
      <c r="DG707" s="4"/>
    </row>
    <row r="708" customFormat="false" ht="11.25" hidden="false" customHeight="true" outlineLevel="0" collapsed="false">
      <c r="A708" s="14"/>
      <c r="B708" s="15"/>
      <c r="C708" s="15"/>
      <c r="D708" s="14"/>
      <c r="E708" s="14"/>
      <c r="F708" s="14"/>
      <c r="G708" s="14"/>
      <c r="H708" s="15"/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T708" s="14"/>
      <c r="CW708" s="3"/>
      <c r="DG708" s="4"/>
    </row>
    <row r="709" customFormat="false" ht="11.25" hidden="false" customHeight="true" outlineLevel="0" collapsed="false">
      <c r="A709" s="14"/>
      <c r="B709" s="15"/>
      <c r="C709" s="15"/>
      <c r="D709" s="14"/>
      <c r="E709" s="14"/>
      <c r="F709" s="14"/>
      <c r="G709" s="14"/>
      <c r="H709" s="15"/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T709" s="14"/>
      <c r="CW709" s="3"/>
      <c r="DG709" s="4"/>
    </row>
    <row r="710" customFormat="false" ht="11.25" hidden="false" customHeight="true" outlineLevel="0" collapsed="false">
      <c r="A710" s="14"/>
      <c r="B710" s="15"/>
      <c r="C710" s="15"/>
      <c r="D710" s="14"/>
      <c r="E710" s="14"/>
      <c r="F710" s="14"/>
      <c r="G710" s="14"/>
      <c r="H710" s="15"/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T710" s="14"/>
      <c r="CW710" s="3"/>
      <c r="DG710" s="4"/>
    </row>
    <row r="711" customFormat="false" ht="11.25" hidden="false" customHeight="true" outlineLevel="0" collapsed="false">
      <c r="A711" s="14"/>
      <c r="B711" s="15"/>
      <c r="C711" s="15"/>
      <c r="D711" s="14"/>
      <c r="E711" s="14"/>
      <c r="F711" s="14"/>
      <c r="G711" s="14"/>
      <c r="H711" s="15"/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T711" s="14"/>
      <c r="CW711" s="3"/>
      <c r="DG711" s="4"/>
    </row>
    <row r="712" customFormat="false" ht="11.25" hidden="false" customHeight="true" outlineLevel="0" collapsed="false">
      <c r="A712" s="14"/>
      <c r="B712" s="15"/>
      <c r="C712" s="15"/>
      <c r="D712" s="14"/>
      <c r="E712" s="14"/>
      <c r="F712" s="14"/>
      <c r="G712" s="14"/>
      <c r="H712" s="15"/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T712" s="14"/>
      <c r="CW712" s="3"/>
      <c r="DG712" s="4"/>
    </row>
    <row r="713" customFormat="false" ht="11.25" hidden="false" customHeight="true" outlineLevel="0" collapsed="false">
      <c r="A713" s="14"/>
      <c r="B713" s="15"/>
      <c r="C713" s="15"/>
      <c r="D713" s="14"/>
      <c r="E713" s="14"/>
      <c r="F713" s="14"/>
      <c r="G713" s="14"/>
      <c r="H713" s="15"/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T713" s="14"/>
      <c r="CW713" s="3"/>
      <c r="DG713" s="4"/>
    </row>
    <row r="714" customFormat="false" ht="11.25" hidden="false" customHeight="true" outlineLevel="0" collapsed="false">
      <c r="A714" s="14"/>
      <c r="B714" s="15"/>
      <c r="C714" s="15"/>
      <c r="D714" s="14"/>
      <c r="E714" s="14"/>
      <c r="F714" s="14"/>
      <c r="G714" s="14"/>
      <c r="H714" s="15"/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T714" s="14"/>
      <c r="CW714" s="3"/>
      <c r="DG714" s="4"/>
    </row>
    <row r="715" customFormat="false" ht="11.25" hidden="false" customHeight="true" outlineLevel="0" collapsed="false">
      <c r="A715" s="14"/>
      <c r="B715" s="15"/>
      <c r="C715" s="15"/>
      <c r="D715" s="14"/>
      <c r="E715" s="14"/>
      <c r="F715" s="14"/>
      <c r="G715" s="14"/>
      <c r="H715" s="15"/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T715" s="14"/>
      <c r="CW715" s="3"/>
      <c r="DG715" s="4"/>
    </row>
    <row r="716" customFormat="false" ht="11.25" hidden="false" customHeight="true" outlineLevel="0" collapsed="false">
      <c r="A716" s="14"/>
      <c r="B716" s="15"/>
      <c r="C716" s="15"/>
      <c r="D716" s="14"/>
      <c r="E716" s="14"/>
      <c r="F716" s="14"/>
      <c r="G716" s="14"/>
      <c r="H716" s="15"/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T716" s="14"/>
      <c r="CW716" s="3"/>
      <c r="DG716" s="4"/>
    </row>
    <row r="717" customFormat="false" ht="11.25" hidden="false" customHeight="true" outlineLevel="0" collapsed="false">
      <c r="A717" s="14"/>
      <c r="B717" s="15"/>
      <c r="C717" s="15"/>
      <c r="D717" s="14"/>
      <c r="E717" s="14"/>
      <c r="F717" s="14"/>
      <c r="G717" s="14"/>
      <c r="H717" s="15"/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T717" s="14"/>
      <c r="CW717" s="3"/>
      <c r="DG717" s="4"/>
    </row>
    <row r="718" customFormat="false" ht="11.25" hidden="false" customHeight="true" outlineLevel="0" collapsed="false">
      <c r="A718" s="14"/>
      <c r="B718" s="15"/>
      <c r="C718" s="15"/>
      <c r="D718" s="14"/>
      <c r="E718" s="14"/>
      <c r="F718" s="14"/>
      <c r="G718" s="14"/>
      <c r="H718" s="15"/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T718" s="14"/>
      <c r="CW718" s="3"/>
      <c r="DG718" s="4"/>
    </row>
    <row r="719" customFormat="false" ht="11.25" hidden="false" customHeight="true" outlineLevel="0" collapsed="false">
      <c r="A719" s="14"/>
      <c r="B719" s="15"/>
      <c r="C719" s="15"/>
      <c r="D719" s="14"/>
      <c r="E719" s="14"/>
      <c r="F719" s="14"/>
      <c r="G719" s="14"/>
      <c r="H719" s="15"/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T719" s="14"/>
      <c r="CW719" s="3"/>
      <c r="DG719" s="4"/>
    </row>
    <row r="720" customFormat="false" ht="11.25" hidden="false" customHeight="true" outlineLevel="0" collapsed="false">
      <c r="A720" s="14"/>
      <c r="B720" s="15"/>
      <c r="C720" s="15"/>
      <c r="D720" s="14"/>
      <c r="E720" s="14"/>
      <c r="F720" s="14"/>
      <c r="G720" s="14"/>
      <c r="H720" s="15"/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T720" s="14"/>
      <c r="CW720" s="3"/>
      <c r="DG720" s="4"/>
    </row>
    <row r="721" customFormat="false" ht="11.25" hidden="false" customHeight="true" outlineLevel="0" collapsed="false">
      <c r="A721" s="14"/>
      <c r="B721" s="15"/>
      <c r="C721" s="15"/>
      <c r="D721" s="14"/>
      <c r="E721" s="14"/>
      <c r="F721" s="14"/>
      <c r="G721" s="14"/>
      <c r="H721" s="15"/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T721" s="14"/>
      <c r="CW721" s="3"/>
      <c r="DG721" s="4"/>
    </row>
    <row r="722" customFormat="false" ht="11.25" hidden="false" customHeight="true" outlineLevel="0" collapsed="false">
      <c r="A722" s="14"/>
      <c r="B722" s="15"/>
      <c r="C722" s="15"/>
      <c r="D722" s="14"/>
      <c r="E722" s="14"/>
      <c r="F722" s="14"/>
      <c r="G722" s="14"/>
      <c r="H722" s="15"/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T722" s="14"/>
      <c r="CW722" s="3"/>
      <c r="DG722" s="4"/>
    </row>
    <row r="723" customFormat="false" ht="11.25" hidden="false" customHeight="true" outlineLevel="0" collapsed="false">
      <c r="A723" s="14"/>
      <c r="B723" s="15"/>
      <c r="C723" s="15"/>
      <c r="D723" s="14"/>
      <c r="E723" s="14"/>
      <c r="F723" s="14"/>
      <c r="G723" s="14"/>
      <c r="H723" s="15"/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T723" s="14"/>
      <c r="CW723" s="3"/>
      <c r="DG723" s="4"/>
    </row>
    <row r="724" customFormat="false" ht="11.25" hidden="false" customHeight="true" outlineLevel="0" collapsed="false">
      <c r="A724" s="14"/>
      <c r="B724" s="15"/>
      <c r="C724" s="15"/>
      <c r="D724" s="14"/>
      <c r="E724" s="14"/>
      <c r="F724" s="14"/>
      <c r="G724" s="14"/>
      <c r="H724" s="15"/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T724" s="14"/>
      <c r="CW724" s="3"/>
      <c r="DG724" s="4"/>
    </row>
    <row r="725" customFormat="false" ht="11.25" hidden="false" customHeight="true" outlineLevel="0" collapsed="false">
      <c r="A725" s="14"/>
      <c r="B725" s="15"/>
      <c r="C725" s="15"/>
      <c r="D725" s="14"/>
      <c r="E725" s="14"/>
      <c r="F725" s="14"/>
      <c r="G725" s="14"/>
      <c r="H725" s="15"/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T725" s="14"/>
      <c r="CW725" s="3"/>
      <c r="DG725" s="4"/>
    </row>
    <row r="726" customFormat="false" ht="11.25" hidden="false" customHeight="true" outlineLevel="0" collapsed="false">
      <c r="A726" s="14"/>
      <c r="B726" s="15"/>
      <c r="C726" s="15"/>
      <c r="D726" s="14"/>
      <c r="E726" s="14"/>
      <c r="F726" s="14"/>
      <c r="G726" s="14"/>
      <c r="H726" s="15"/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T726" s="14"/>
      <c r="CW726" s="3"/>
      <c r="DG726" s="4"/>
    </row>
    <row r="727" customFormat="false" ht="11.25" hidden="false" customHeight="true" outlineLevel="0" collapsed="false">
      <c r="A727" s="14"/>
      <c r="B727" s="15"/>
      <c r="C727" s="15"/>
      <c r="D727" s="14"/>
      <c r="E727" s="14"/>
      <c r="F727" s="14"/>
      <c r="G727" s="14"/>
      <c r="H727" s="15"/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T727" s="14"/>
      <c r="CW727" s="3"/>
      <c r="DG727" s="4"/>
    </row>
    <row r="728" customFormat="false" ht="11.25" hidden="false" customHeight="true" outlineLevel="0" collapsed="false">
      <c r="A728" s="14"/>
      <c r="B728" s="15"/>
      <c r="C728" s="15"/>
      <c r="D728" s="14"/>
      <c r="E728" s="14"/>
      <c r="F728" s="14"/>
      <c r="G728" s="14"/>
      <c r="H728" s="15"/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T728" s="14"/>
      <c r="CW728" s="3"/>
      <c r="DG728" s="4"/>
    </row>
    <row r="729" customFormat="false" ht="11.25" hidden="false" customHeight="true" outlineLevel="0" collapsed="false">
      <c r="A729" s="14"/>
      <c r="B729" s="15"/>
      <c r="C729" s="15"/>
      <c r="D729" s="14"/>
      <c r="E729" s="14"/>
      <c r="F729" s="14"/>
      <c r="G729" s="14"/>
      <c r="H729" s="15"/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T729" s="14"/>
      <c r="CW729" s="3"/>
      <c r="DG729" s="4"/>
    </row>
    <row r="730" customFormat="false" ht="11.25" hidden="false" customHeight="true" outlineLevel="0" collapsed="false">
      <c r="A730" s="14"/>
      <c r="B730" s="15"/>
      <c r="C730" s="15"/>
      <c r="D730" s="14"/>
      <c r="E730" s="14"/>
      <c r="F730" s="14"/>
      <c r="G730" s="14"/>
      <c r="H730" s="15"/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T730" s="14"/>
      <c r="CW730" s="3"/>
      <c r="DG730" s="4"/>
    </row>
    <row r="731" customFormat="false" ht="11.25" hidden="false" customHeight="true" outlineLevel="0" collapsed="false">
      <c r="A731" s="14"/>
      <c r="B731" s="15"/>
      <c r="C731" s="15"/>
      <c r="D731" s="14"/>
      <c r="E731" s="14"/>
      <c r="F731" s="14"/>
      <c r="G731" s="14"/>
      <c r="H731" s="15"/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T731" s="14"/>
      <c r="CW731" s="3"/>
      <c r="DG731" s="4"/>
    </row>
    <row r="732" customFormat="false" ht="11.25" hidden="false" customHeight="true" outlineLevel="0" collapsed="false">
      <c r="A732" s="14"/>
      <c r="B732" s="15"/>
      <c r="C732" s="15"/>
      <c r="D732" s="14"/>
      <c r="E732" s="14"/>
      <c r="F732" s="14"/>
      <c r="G732" s="14"/>
      <c r="H732" s="15"/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T732" s="14"/>
      <c r="CW732" s="3"/>
      <c r="DG732" s="4"/>
    </row>
    <row r="733" customFormat="false" ht="11.25" hidden="false" customHeight="true" outlineLevel="0" collapsed="false">
      <c r="A733" s="14"/>
      <c r="B733" s="15"/>
      <c r="C733" s="15"/>
      <c r="D733" s="14"/>
      <c r="E733" s="14"/>
      <c r="F733" s="14"/>
      <c r="G733" s="14"/>
      <c r="H733" s="15"/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T733" s="14"/>
      <c r="CW733" s="3"/>
      <c r="DG733" s="4"/>
    </row>
    <row r="734" customFormat="false" ht="11.25" hidden="false" customHeight="true" outlineLevel="0" collapsed="false">
      <c r="A734" s="14"/>
      <c r="B734" s="15"/>
      <c r="C734" s="15"/>
      <c r="D734" s="14"/>
      <c r="E734" s="14"/>
      <c r="F734" s="14"/>
      <c r="G734" s="14"/>
      <c r="H734" s="15"/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T734" s="14"/>
      <c r="CW734" s="3"/>
      <c r="DG734" s="4"/>
    </row>
    <row r="735" customFormat="false" ht="11.25" hidden="false" customHeight="true" outlineLevel="0" collapsed="false">
      <c r="A735" s="14"/>
      <c r="B735" s="15"/>
      <c r="C735" s="15"/>
      <c r="D735" s="14"/>
      <c r="E735" s="14"/>
      <c r="F735" s="14"/>
      <c r="G735" s="14"/>
      <c r="H735" s="15"/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T735" s="14"/>
      <c r="CW735" s="3"/>
      <c r="DG735" s="4"/>
    </row>
    <row r="736" customFormat="false" ht="11.25" hidden="false" customHeight="true" outlineLevel="0" collapsed="false">
      <c r="A736" s="14"/>
      <c r="B736" s="15"/>
      <c r="C736" s="15"/>
      <c r="D736" s="14"/>
      <c r="E736" s="14"/>
      <c r="F736" s="14"/>
      <c r="G736" s="14"/>
      <c r="H736" s="15"/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T736" s="14"/>
      <c r="CW736" s="3"/>
      <c r="DG736" s="4"/>
    </row>
    <row r="737" customFormat="false" ht="11.25" hidden="false" customHeight="true" outlineLevel="0" collapsed="false">
      <c r="A737" s="14"/>
      <c r="B737" s="15"/>
      <c r="C737" s="15"/>
      <c r="D737" s="14"/>
      <c r="E737" s="14"/>
      <c r="F737" s="14"/>
      <c r="G737" s="14"/>
      <c r="H737" s="15"/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T737" s="14"/>
      <c r="CW737" s="3"/>
      <c r="DG737" s="4"/>
    </row>
    <row r="738" customFormat="false" ht="11.25" hidden="false" customHeight="true" outlineLevel="0" collapsed="false">
      <c r="A738" s="14"/>
      <c r="B738" s="15"/>
      <c r="C738" s="15"/>
      <c r="D738" s="14"/>
      <c r="E738" s="14"/>
      <c r="F738" s="14"/>
      <c r="G738" s="14"/>
      <c r="H738" s="15"/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T738" s="14"/>
      <c r="CW738" s="3"/>
      <c r="DG738" s="4"/>
    </row>
    <row r="739" customFormat="false" ht="11.25" hidden="false" customHeight="true" outlineLevel="0" collapsed="false">
      <c r="A739" s="14"/>
      <c r="B739" s="15"/>
      <c r="C739" s="15"/>
      <c r="D739" s="14"/>
      <c r="E739" s="14"/>
      <c r="F739" s="14"/>
      <c r="G739" s="14"/>
      <c r="H739" s="15"/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T739" s="14"/>
      <c r="CW739" s="3"/>
      <c r="DG739" s="4"/>
    </row>
    <row r="740" customFormat="false" ht="11.25" hidden="false" customHeight="true" outlineLevel="0" collapsed="false">
      <c r="A740" s="14"/>
      <c r="B740" s="15"/>
      <c r="C740" s="15"/>
      <c r="D740" s="14"/>
      <c r="E740" s="14"/>
      <c r="F740" s="14"/>
      <c r="G740" s="14"/>
      <c r="H740" s="15"/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T740" s="14"/>
      <c r="CW740" s="3"/>
      <c r="DG740" s="4"/>
    </row>
    <row r="741" customFormat="false" ht="11.25" hidden="false" customHeight="true" outlineLevel="0" collapsed="false">
      <c r="A741" s="14"/>
      <c r="B741" s="15"/>
      <c r="C741" s="15"/>
      <c r="D741" s="14"/>
      <c r="E741" s="14"/>
      <c r="F741" s="14"/>
      <c r="G741" s="14"/>
      <c r="H741" s="15"/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T741" s="14"/>
      <c r="CW741" s="3"/>
      <c r="DG741" s="4"/>
    </row>
    <row r="742" customFormat="false" ht="11.25" hidden="false" customHeight="true" outlineLevel="0" collapsed="false">
      <c r="A742" s="14"/>
      <c r="B742" s="15"/>
      <c r="C742" s="15"/>
      <c r="D742" s="14"/>
      <c r="E742" s="14"/>
      <c r="F742" s="14"/>
      <c r="G742" s="14"/>
      <c r="H742" s="15"/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T742" s="14"/>
      <c r="CW742" s="3"/>
      <c r="DG742" s="4"/>
    </row>
    <row r="743" customFormat="false" ht="11.25" hidden="false" customHeight="true" outlineLevel="0" collapsed="false">
      <c r="A743" s="14"/>
      <c r="B743" s="15"/>
      <c r="C743" s="15"/>
      <c r="D743" s="14"/>
      <c r="E743" s="14"/>
      <c r="F743" s="14"/>
      <c r="G743" s="14"/>
      <c r="H743" s="15"/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T743" s="14"/>
      <c r="CW743" s="3"/>
      <c r="DG743" s="4"/>
    </row>
    <row r="744" customFormat="false" ht="11.25" hidden="false" customHeight="true" outlineLevel="0" collapsed="false">
      <c r="A744" s="14"/>
      <c r="B744" s="15"/>
      <c r="C744" s="15"/>
      <c r="D744" s="14"/>
      <c r="E744" s="14"/>
      <c r="F744" s="14"/>
      <c r="G744" s="14"/>
      <c r="H744" s="15"/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T744" s="14"/>
      <c r="CW744" s="3"/>
      <c r="DG744" s="4"/>
    </row>
    <row r="745" customFormat="false" ht="11.25" hidden="false" customHeight="true" outlineLevel="0" collapsed="false">
      <c r="A745" s="14"/>
      <c r="B745" s="15"/>
      <c r="C745" s="15"/>
      <c r="D745" s="14"/>
      <c r="E745" s="14"/>
      <c r="F745" s="14"/>
      <c r="G745" s="14"/>
      <c r="H745" s="15"/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T745" s="14"/>
      <c r="CW745" s="3"/>
      <c r="DG745" s="4"/>
    </row>
    <row r="746" customFormat="false" ht="11.25" hidden="false" customHeight="true" outlineLevel="0" collapsed="false">
      <c r="A746" s="14"/>
      <c r="B746" s="15"/>
      <c r="C746" s="15"/>
      <c r="D746" s="14"/>
      <c r="E746" s="14"/>
      <c r="F746" s="14"/>
      <c r="G746" s="14"/>
      <c r="H746" s="15"/>
      <c r="I746" s="1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T746" s="14"/>
      <c r="CW746" s="3"/>
      <c r="DG746" s="4"/>
    </row>
    <row r="747" customFormat="false" ht="11.25" hidden="false" customHeight="true" outlineLevel="0" collapsed="false">
      <c r="A747" s="14"/>
      <c r="B747" s="15"/>
      <c r="C747" s="15"/>
      <c r="D747" s="14"/>
      <c r="E747" s="14"/>
      <c r="F747" s="14"/>
      <c r="G747" s="14"/>
      <c r="H747" s="15"/>
      <c r="I747" s="1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T747" s="14"/>
      <c r="CW747" s="3"/>
      <c r="DG747" s="4"/>
    </row>
    <row r="748" customFormat="false" ht="11.25" hidden="false" customHeight="true" outlineLevel="0" collapsed="false">
      <c r="A748" s="14"/>
      <c r="B748" s="15"/>
      <c r="C748" s="15"/>
      <c r="D748" s="14"/>
      <c r="E748" s="14"/>
      <c r="F748" s="14"/>
      <c r="G748" s="14"/>
      <c r="H748" s="15"/>
      <c r="I748" s="1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T748" s="14"/>
      <c r="CW748" s="3"/>
      <c r="DG748" s="4"/>
    </row>
    <row r="749" customFormat="false" ht="11.25" hidden="false" customHeight="true" outlineLevel="0" collapsed="false">
      <c r="A749" s="14"/>
      <c r="B749" s="15"/>
      <c r="C749" s="15"/>
      <c r="D749" s="14"/>
      <c r="E749" s="14"/>
      <c r="F749" s="14"/>
      <c r="G749" s="14"/>
      <c r="H749" s="15"/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T749" s="14"/>
      <c r="CW749" s="3"/>
      <c r="DG749" s="4"/>
    </row>
    <row r="750" customFormat="false" ht="11.25" hidden="false" customHeight="true" outlineLevel="0" collapsed="false">
      <c r="A750" s="14"/>
      <c r="B750" s="15"/>
      <c r="C750" s="15"/>
      <c r="D750" s="14"/>
      <c r="E750" s="14"/>
      <c r="F750" s="14"/>
      <c r="G750" s="14"/>
      <c r="H750" s="15"/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T750" s="14"/>
      <c r="CW750" s="3"/>
      <c r="DG750" s="4"/>
    </row>
    <row r="751" customFormat="false" ht="11.25" hidden="false" customHeight="true" outlineLevel="0" collapsed="false">
      <c r="A751" s="14"/>
      <c r="B751" s="15"/>
      <c r="C751" s="15"/>
      <c r="D751" s="14"/>
      <c r="E751" s="14"/>
      <c r="F751" s="14"/>
      <c r="G751" s="14"/>
      <c r="H751" s="15"/>
      <c r="I751" s="1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T751" s="14"/>
      <c r="CW751" s="3"/>
      <c r="DG751" s="4"/>
    </row>
    <row r="752" customFormat="false" ht="11.25" hidden="false" customHeight="true" outlineLevel="0" collapsed="false">
      <c r="A752" s="14"/>
      <c r="B752" s="15"/>
      <c r="C752" s="15"/>
      <c r="D752" s="14"/>
      <c r="E752" s="14"/>
      <c r="F752" s="14"/>
      <c r="G752" s="14"/>
      <c r="H752" s="15"/>
      <c r="I752" s="1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T752" s="14"/>
      <c r="CW752" s="3"/>
      <c r="DG752" s="4"/>
    </row>
    <row r="753" customFormat="false" ht="11.25" hidden="false" customHeight="true" outlineLevel="0" collapsed="false">
      <c r="A753" s="14"/>
      <c r="B753" s="15"/>
      <c r="C753" s="15"/>
      <c r="D753" s="14"/>
      <c r="E753" s="14"/>
      <c r="F753" s="14"/>
      <c r="G753" s="14"/>
      <c r="H753" s="15"/>
      <c r="I753" s="1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T753" s="14"/>
      <c r="CW753" s="3"/>
      <c r="DG753" s="4"/>
    </row>
    <row r="754" customFormat="false" ht="11.25" hidden="false" customHeight="true" outlineLevel="0" collapsed="false">
      <c r="A754" s="14"/>
      <c r="B754" s="15"/>
      <c r="C754" s="15"/>
      <c r="D754" s="14"/>
      <c r="E754" s="14"/>
      <c r="F754" s="14"/>
      <c r="G754" s="14"/>
      <c r="H754" s="15"/>
      <c r="I754" s="1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T754" s="14"/>
      <c r="CW754" s="3"/>
      <c r="DG754" s="4"/>
    </row>
    <row r="755" customFormat="false" ht="11.25" hidden="false" customHeight="true" outlineLevel="0" collapsed="false">
      <c r="A755" s="14"/>
      <c r="B755" s="15"/>
      <c r="C755" s="15"/>
      <c r="D755" s="14"/>
      <c r="E755" s="14"/>
      <c r="F755" s="14"/>
      <c r="G755" s="14"/>
      <c r="H755" s="15"/>
      <c r="I755" s="1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T755" s="14"/>
      <c r="CW755" s="3"/>
      <c r="DG755" s="4"/>
    </row>
    <row r="756" customFormat="false" ht="11.25" hidden="false" customHeight="true" outlineLevel="0" collapsed="false">
      <c r="A756" s="14"/>
      <c r="B756" s="15"/>
      <c r="C756" s="15"/>
      <c r="D756" s="14"/>
      <c r="E756" s="14"/>
      <c r="F756" s="14"/>
      <c r="G756" s="14"/>
      <c r="H756" s="15"/>
      <c r="I756" s="1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T756" s="14"/>
      <c r="CW756" s="3"/>
      <c r="DG756" s="4"/>
    </row>
    <row r="757" customFormat="false" ht="11.25" hidden="false" customHeight="true" outlineLevel="0" collapsed="false">
      <c r="A757" s="14"/>
      <c r="B757" s="15"/>
      <c r="C757" s="15"/>
      <c r="D757" s="14"/>
      <c r="E757" s="14"/>
      <c r="F757" s="14"/>
      <c r="G757" s="14"/>
      <c r="H757" s="15"/>
      <c r="I757" s="1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T757" s="14"/>
      <c r="CW757" s="3"/>
      <c r="DG757" s="4"/>
    </row>
    <row r="758" customFormat="false" ht="11.25" hidden="false" customHeight="true" outlineLevel="0" collapsed="false">
      <c r="A758" s="14"/>
      <c r="B758" s="15"/>
      <c r="C758" s="15"/>
      <c r="D758" s="14"/>
      <c r="E758" s="14"/>
      <c r="F758" s="14"/>
      <c r="G758" s="14"/>
      <c r="H758" s="15"/>
      <c r="I758" s="1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T758" s="14"/>
      <c r="CW758" s="3"/>
      <c r="DG758" s="4"/>
    </row>
    <row r="759" customFormat="false" ht="11.25" hidden="false" customHeight="true" outlineLevel="0" collapsed="false">
      <c r="A759" s="14"/>
      <c r="B759" s="15"/>
      <c r="C759" s="15"/>
      <c r="D759" s="14"/>
      <c r="E759" s="14"/>
      <c r="F759" s="14"/>
      <c r="G759" s="14"/>
      <c r="H759" s="15"/>
      <c r="I759" s="1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T759" s="14"/>
      <c r="CW759" s="3"/>
      <c r="DG759" s="4"/>
    </row>
    <row r="760" customFormat="false" ht="11.25" hidden="false" customHeight="true" outlineLevel="0" collapsed="false">
      <c r="A760" s="14"/>
      <c r="B760" s="15"/>
      <c r="C760" s="15"/>
      <c r="D760" s="14"/>
      <c r="E760" s="14"/>
      <c r="F760" s="14"/>
      <c r="G760" s="14"/>
      <c r="H760" s="15"/>
      <c r="I760" s="1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T760" s="14"/>
      <c r="CW760" s="3"/>
      <c r="DG760" s="4"/>
    </row>
    <row r="761" customFormat="false" ht="11.25" hidden="false" customHeight="true" outlineLevel="0" collapsed="false">
      <c r="A761" s="14"/>
      <c r="B761" s="15"/>
      <c r="C761" s="15"/>
      <c r="D761" s="14"/>
      <c r="E761" s="14"/>
      <c r="F761" s="14"/>
      <c r="G761" s="14"/>
      <c r="H761" s="15"/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T761" s="14"/>
      <c r="CW761" s="3"/>
      <c r="DG761" s="4"/>
    </row>
    <row r="762" customFormat="false" ht="11.25" hidden="false" customHeight="true" outlineLevel="0" collapsed="false">
      <c r="A762" s="14"/>
      <c r="B762" s="15"/>
      <c r="C762" s="15"/>
      <c r="D762" s="14"/>
      <c r="E762" s="14"/>
      <c r="F762" s="14"/>
      <c r="G762" s="14"/>
      <c r="H762" s="15"/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T762" s="14"/>
      <c r="CW762" s="3"/>
      <c r="DG762" s="4"/>
    </row>
    <row r="763" customFormat="false" ht="11.25" hidden="false" customHeight="true" outlineLevel="0" collapsed="false">
      <c r="A763" s="14"/>
      <c r="B763" s="15"/>
      <c r="C763" s="15"/>
      <c r="D763" s="14"/>
      <c r="E763" s="14"/>
      <c r="F763" s="14"/>
      <c r="G763" s="14"/>
      <c r="H763" s="15"/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T763" s="14"/>
      <c r="CW763" s="3"/>
      <c r="DG763" s="4"/>
    </row>
    <row r="764" customFormat="false" ht="11.25" hidden="false" customHeight="true" outlineLevel="0" collapsed="false">
      <c r="A764" s="14"/>
      <c r="B764" s="15"/>
      <c r="C764" s="15"/>
      <c r="D764" s="14"/>
      <c r="E764" s="14"/>
      <c r="F764" s="14"/>
      <c r="G764" s="14"/>
      <c r="H764" s="15"/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T764" s="14"/>
      <c r="CW764" s="3"/>
      <c r="DG764" s="4"/>
    </row>
    <row r="765" customFormat="false" ht="11.25" hidden="false" customHeight="true" outlineLevel="0" collapsed="false">
      <c r="A765" s="14"/>
      <c r="B765" s="15"/>
      <c r="C765" s="15"/>
      <c r="D765" s="14"/>
      <c r="E765" s="14"/>
      <c r="F765" s="14"/>
      <c r="G765" s="14"/>
      <c r="H765" s="15"/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T765" s="14"/>
      <c r="CW765" s="3"/>
      <c r="DG765" s="4"/>
    </row>
    <row r="766" customFormat="false" ht="11.25" hidden="false" customHeight="true" outlineLevel="0" collapsed="false">
      <c r="A766" s="14"/>
      <c r="B766" s="15"/>
      <c r="C766" s="15"/>
      <c r="D766" s="14"/>
      <c r="E766" s="14"/>
      <c r="F766" s="14"/>
      <c r="G766" s="14"/>
      <c r="H766" s="15"/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T766" s="14"/>
      <c r="CW766" s="3"/>
      <c r="DG766" s="4"/>
    </row>
    <row r="767" customFormat="false" ht="11.25" hidden="false" customHeight="true" outlineLevel="0" collapsed="false">
      <c r="A767" s="14"/>
      <c r="B767" s="15"/>
      <c r="C767" s="15"/>
      <c r="D767" s="14"/>
      <c r="E767" s="14"/>
      <c r="F767" s="14"/>
      <c r="G767" s="14"/>
      <c r="H767" s="15"/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T767" s="14"/>
      <c r="CW767" s="3"/>
      <c r="DG767" s="4"/>
    </row>
    <row r="768" customFormat="false" ht="11.25" hidden="false" customHeight="true" outlineLevel="0" collapsed="false">
      <c r="A768" s="14"/>
      <c r="B768" s="15"/>
      <c r="C768" s="15"/>
      <c r="D768" s="14"/>
      <c r="E768" s="14"/>
      <c r="F768" s="14"/>
      <c r="G768" s="14"/>
      <c r="H768" s="15"/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T768" s="14"/>
      <c r="CW768" s="3"/>
      <c r="DG768" s="4"/>
    </row>
    <row r="769" customFormat="false" ht="11.25" hidden="false" customHeight="true" outlineLevel="0" collapsed="false">
      <c r="A769" s="14"/>
      <c r="B769" s="15"/>
      <c r="C769" s="15"/>
      <c r="D769" s="14"/>
      <c r="E769" s="14"/>
      <c r="F769" s="14"/>
      <c r="G769" s="14"/>
      <c r="H769" s="15"/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T769" s="14"/>
      <c r="CW769" s="3"/>
      <c r="DG769" s="4"/>
    </row>
    <row r="770" customFormat="false" ht="11.25" hidden="false" customHeight="true" outlineLevel="0" collapsed="false">
      <c r="A770" s="14"/>
      <c r="B770" s="15"/>
      <c r="C770" s="15"/>
      <c r="D770" s="14"/>
      <c r="E770" s="14"/>
      <c r="F770" s="14"/>
      <c r="G770" s="14"/>
      <c r="H770" s="15"/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T770" s="14"/>
      <c r="CW770" s="3"/>
      <c r="DG770" s="4"/>
    </row>
    <row r="771" customFormat="false" ht="11.25" hidden="false" customHeight="true" outlineLevel="0" collapsed="false">
      <c r="A771" s="14"/>
      <c r="B771" s="15"/>
      <c r="C771" s="15"/>
      <c r="D771" s="14"/>
      <c r="E771" s="14"/>
      <c r="F771" s="14"/>
      <c r="G771" s="14"/>
      <c r="H771" s="15"/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T771" s="14"/>
      <c r="CW771" s="3"/>
      <c r="DG771" s="4"/>
    </row>
    <row r="772" customFormat="false" ht="11.25" hidden="false" customHeight="true" outlineLevel="0" collapsed="false">
      <c r="A772" s="14"/>
      <c r="B772" s="15"/>
      <c r="C772" s="15"/>
      <c r="D772" s="14"/>
      <c r="E772" s="14"/>
      <c r="F772" s="14"/>
      <c r="G772" s="14"/>
      <c r="H772" s="15"/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T772" s="14"/>
      <c r="CW772" s="3"/>
      <c r="DG772" s="4"/>
    </row>
    <row r="773" customFormat="false" ht="11.25" hidden="false" customHeight="true" outlineLevel="0" collapsed="false">
      <c r="A773" s="14"/>
      <c r="B773" s="15"/>
      <c r="C773" s="15"/>
      <c r="D773" s="14"/>
      <c r="E773" s="14"/>
      <c r="F773" s="14"/>
      <c r="G773" s="14"/>
      <c r="H773" s="15"/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T773" s="14"/>
      <c r="CW773" s="3"/>
      <c r="DG773" s="4"/>
    </row>
    <row r="774" customFormat="false" ht="11.25" hidden="false" customHeight="true" outlineLevel="0" collapsed="false">
      <c r="A774" s="14"/>
      <c r="B774" s="15"/>
      <c r="C774" s="15"/>
      <c r="D774" s="14"/>
      <c r="E774" s="14"/>
      <c r="F774" s="14"/>
      <c r="G774" s="14"/>
      <c r="H774" s="15"/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T774" s="14"/>
      <c r="CW774" s="3"/>
      <c r="DG774" s="4"/>
    </row>
    <row r="775" customFormat="false" ht="11.25" hidden="false" customHeight="true" outlineLevel="0" collapsed="false">
      <c r="A775" s="14"/>
      <c r="B775" s="15"/>
      <c r="C775" s="15"/>
      <c r="D775" s="14"/>
      <c r="E775" s="14"/>
      <c r="F775" s="14"/>
      <c r="G775" s="14"/>
      <c r="H775" s="15"/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T775" s="14"/>
      <c r="CW775" s="3"/>
      <c r="DG775" s="4"/>
    </row>
    <row r="776" customFormat="false" ht="11.25" hidden="false" customHeight="true" outlineLevel="0" collapsed="false">
      <c r="A776" s="14"/>
      <c r="B776" s="15"/>
      <c r="C776" s="15"/>
      <c r="D776" s="14"/>
      <c r="E776" s="14"/>
      <c r="F776" s="14"/>
      <c r="G776" s="14"/>
      <c r="H776" s="15"/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T776" s="14"/>
      <c r="CW776" s="3"/>
      <c r="DG776" s="4"/>
    </row>
    <row r="777" customFormat="false" ht="11.25" hidden="false" customHeight="true" outlineLevel="0" collapsed="false">
      <c r="A777" s="14"/>
      <c r="B777" s="15"/>
      <c r="C777" s="15"/>
      <c r="D777" s="14"/>
      <c r="E777" s="14"/>
      <c r="F777" s="14"/>
      <c r="G777" s="14"/>
      <c r="H777" s="15"/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T777" s="14"/>
      <c r="CW777" s="3"/>
      <c r="DG777" s="4"/>
    </row>
    <row r="778" customFormat="false" ht="11.25" hidden="false" customHeight="true" outlineLevel="0" collapsed="false">
      <c r="A778" s="14"/>
      <c r="B778" s="15"/>
      <c r="C778" s="15"/>
      <c r="D778" s="14"/>
      <c r="E778" s="14"/>
      <c r="F778" s="14"/>
      <c r="G778" s="14"/>
      <c r="H778" s="15"/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T778" s="14"/>
      <c r="CW778" s="3"/>
      <c r="DG778" s="4"/>
    </row>
    <row r="779" customFormat="false" ht="11.25" hidden="false" customHeight="true" outlineLevel="0" collapsed="false">
      <c r="A779" s="14"/>
      <c r="B779" s="15"/>
      <c r="C779" s="15"/>
      <c r="D779" s="14"/>
      <c r="E779" s="14"/>
      <c r="F779" s="14"/>
      <c r="G779" s="14"/>
      <c r="H779" s="15"/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T779" s="14"/>
      <c r="CW779" s="3"/>
      <c r="DG779" s="4"/>
    </row>
    <row r="780" customFormat="false" ht="11.25" hidden="false" customHeight="true" outlineLevel="0" collapsed="false">
      <c r="A780" s="14"/>
      <c r="B780" s="15"/>
      <c r="C780" s="15"/>
      <c r="D780" s="14"/>
      <c r="E780" s="14"/>
      <c r="F780" s="14"/>
      <c r="G780" s="14"/>
      <c r="H780" s="15"/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T780" s="14"/>
      <c r="CW780" s="3"/>
      <c r="DG780" s="4"/>
    </row>
    <row r="781" customFormat="false" ht="11.25" hidden="false" customHeight="true" outlineLevel="0" collapsed="false">
      <c r="A781" s="14"/>
      <c r="B781" s="15"/>
      <c r="C781" s="15"/>
      <c r="D781" s="14"/>
      <c r="E781" s="14"/>
      <c r="F781" s="14"/>
      <c r="G781" s="14"/>
      <c r="H781" s="15"/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T781" s="14"/>
      <c r="CW781" s="3"/>
      <c r="DG781" s="4"/>
    </row>
    <row r="782" customFormat="false" ht="11.25" hidden="false" customHeight="true" outlineLevel="0" collapsed="false">
      <c r="A782" s="14"/>
      <c r="B782" s="15"/>
      <c r="C782" s="15"/>
      <c r="D782" s="14"/>
      <c r="E782" s="14"/>
      <c r="F782" s="14"/>
      <c r="G782" s="14"/>
      <c r="H782" s="15"/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T782" s="14"/>
      <c r="CW782" s="3"/>
      <c r="DG782" s="4"/>
    </row>
    <row r="783" customFormat="false" ht="11.25" hidden="false" customHeight="true" outlineLevel="0" collapsed="false">
      <c r="A783" s="14"/>
      <c r="B783" s="15"/>
      <c r="C783" s="15"/>
      <c r="D783" s="14"/>
      <c r="E783" s="14"/>
      <c r="F783" s="14"/>
      <c r="G783" s="14"/>
      <c r="H783" s="15"/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T783" s="14"/>
      <c r="CW783" s="3"/>
      <c r="DG783" s="4"/>
    </row>
    <row r="784" customFormat="false" ht="11.25" hidden="false" customHeight="true" outlineLevel="0" collapsed="false">
      <c r="A784" s="14"/>
      <c r="B784" s="15"/>
      <c r="C784" s="15"/>
      <c r="D784" s="14"/>
      <c r="E784" s="14"/>
      <c r="F784" s="14"/>
      <c r="G784" s="14"/>
      <c r="H784" s="15"/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T784" s="14"/>
      <c r="CW784" s="3"/>
      <c r="DG784" s="4"/>
    </row>
    <row r="785" customFormat="false" ht="11.25" hidden="false" customHeight="true" outlineLevel="0" collapsed="false">
      <c r="A785" s="14"/>
      <c r="B785" s="15"/>
      <c r="C785" s="15"/>
      <c r="D785" s="14"/>
      <c r="E785" s="14"/>
      <c r="F785" s="14"/>
      <c r="G785" s="14"/>
      <c r="H785" s="15"/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T785" s="14"/>
      <c r="CW785" s="3"/>
      <c r="DG785" s="4"/>
    </row>
    <row r="786" customFormat="false" ht="11.25" hidden="false" customHeight="true" outlineLevel="0" collapsed="false">
      <c r="A786" s="14"/>
      <c r="B786" s="15"/>
      <c r="C786" s="15"/>
      <c r="D786" s="14"/>
      <c r="E786" s="14"/>
      <c r="F786" s="14"/>
      <c r="G786" s="14"/>
      <c r="H786" s="15"/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T786" s="14"/>
      <c r="CW786" s="3"/>
      <c r="DG786" s="4"/>
    </row>
    <row r="787" customFormat="false" ht="11.25" hidden="false" customHeight="true" outlineLevel="0" collapsed="false">
      <c r="A787" s="14"/>
      <c r="B787" s="15"/>
      <c r="C787" s="15"/>
      <c r="D787" s="14"/>
      <c r="E787" s="14"/>
      <c r="F787" s="14"/>
      <c r="G787" s="14"/>
      <c r="H787" s="15"/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T787" s="14"/>
      <c r="CW787" s="3"/>
      <c r="DG787" s="4"/>
    </row>
    <row r="788" customFormat="false" ht="11.25" hidden="false" customHeight="true" outlineLevel="0" collapsed="false">
      <c r="A788" s="14"/>
      <c r="B788" s="15"/>
      <c r="C788" s="15"/>
      <c r="D788" s="14"/>
      <c r="E788" s="14"/>
      <c r="F788" s="14"/>
      <c r="G788" s="14"/>
      <c r="H788" s="15"/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T788" s="14"/>
      <c r="CW788" s="3"/>
      <c r="DG788" s="4"/>
    </row>
    <row r="789" customFormat="false" ht="11.25" hidden="false" customHeight="true" outlineLevel="0" collapsed="false">
      <c r="A789" s="14"/>
      <c r="B789" s="15"/>
      <c r="C789" s="15"/>
      <c r="D789" s="14"/>
      <c r="E789" s="14"/>
      <c r="F789" s="14"/>
      <c r="G789" s="14"/>
      <c r="H789" s="15"/>
      <c r="I789" s="1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T789" s="14"/>
      <c r="CW789" s="3"/>
      <c r="DG789" s="4"/>
    </row>
    <row r="790" customFormat="false" ht="11.25" hidden="false" customHeight="true" outlineLevel="0" collapsed="false">
      <c r="A790" s="14"/>
      <c r="B790" s="15"/>
      <c r="C790" s="15"/>
      <c r="D790" s="14"/>
      <c r="E790" s="14"/>
      <c r="F790" s="14"/>
      <c r="G790" s="14"/>
      <c r="H790" s="15"/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T790" s="14"/>
      <c r="CW790" s="3"/>
      <c r="DG790" s="4"/>
    </row>
    <row r="791" customFormat="false" ht="11.25" hidden="false" customHeight="true" outlineLevel="0" collapsed="false">
      <c r="A791" s="14"/>
      <c r="B791" s="15"/>
      <c r="C791" s="15"/>
      <c r="D791" s="14"/>
      <c r="E791" s="14"/>
      <c r="F791" s="14"/>
      <c r="G791" s="14"/>
      <c r="H791" s="15"/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T791" s="14"/>
      <c r="CW791" s="3"/>
      <c r="DG791" s="4"/>
    </row>
    <row r="792" customFormat="false" ht="11.25" hidden="false" customHeight="true" outlineLevel="0" collapsed="false">
      <c r="A792" s="14"/>
      <c r="B792" s="15"/>
      <c r="C792" s="15"/>
      <c r="D792" s="14"/>
      <c r="E792" s="14"/>
      <c r="F792" s="14"/>
      <c r="G792" s="14"/>
      <c r="H792" s="15"/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T792" s="14"/>
      <c r="CW792" s="3"/>
      <c r="DG792" s="4"/>
    </row>
    <row r="793" customFormat="false" ht="11.25" hidden="false" customHeight="true" outlineLevel="0" collapsed="false">
      <c r="A793" s="14"/>
      <c r="B793" s="15"/>
      <c r="C793" s="15"/>
      <c r="D793" s="14"/>
      <c r="E793" s="14"/>
      <c r="F793" s="14"/>
      <c r="G793" s="14"/>
      <c r="H793" s="15"/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T793" s="14"/>
      <c r="CW793" s="3"/>
      <c r="DG793" s="4"/>
    </row>
    <row r="794" customFormat="false" ht="11.25" hidden="false" customHeight="true" outlineLevel="0" collapsed="false">
      <c r="A794" s="14"/>
      <c r="B794" s="15"/>
      <c r="C794" s="15"/>
      <c r="D794" s="14"/>
      <c r="E794" s="14"/>
      <c r="F794" s="14"/>
      <c r="G794" s="14"/>
      <c r="H794" s="15"/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T794" s="14"/>
      <c r="CW794" s="3"/>
      <c r="DG794" s="4"/>
    </row>
    <row r="795" customFormat="false" ht="11.25" hidden="false" customHeight="true" outlineLevel="0" collapsed="false">
      <c r="A795" s="14"/>
      <c r="B795" s="15"/>
      <c r="C795" s="15"/>
      <c r="D795" s="14"/>
      <c r="E795" s="14"/>
      <c r="F795" s="14"/>
      <c r="G795" s="14"/>
      <c r="H795" s="15"/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T795" s="14"/>
      <c r="CW795" s="3"/>
      <c r="DG795" s="4"/>
    </row>
    <row r="796" customFormat="false" ht="11.25" hidden="false" customHeight="true" outlineLevel="0" collapsed="false">
      <c r="A796" s="14"/>
      <c r="B796" s="15"/>
      <c r="C796" s="15"/>
      <c r="D796" s="14"/>
      <c r="E796" s="14"/>
      <c r="F796" s="14"/>
      <c r="G796" s="14"/>
      <c r="H796" s="15"/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T796" s="14"/>
      <c r="CW796" s="3"/>
      <c r="DG796" s="4"/>
    </row>
    <row r="797" customFormat="false" ht="11.25" hidden="false" customHeight="true" outlineLevel="0" collapsed="false">
      <c r="A797" s="14"/>
      <c r="B797" s="15"/>
      <c r="C797" s="15"/>
      <c r="D797" s="14"/>
      <c r="E797" s="14"/>
      <c r="F797" s="14"/>
      <c r="G797" s="14"/>
      <c r="H797" s="15"/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T797" s="14"/>
      <c r="CW797" s="3"/>
      <c r="DG797" s="4"/>
    </row>
    <row r="798" customFormat="false" ht="11.25" hidden="false" customHeight="true" outlineLevel="0" collapsed="false">
      <c r="A798" s="14"/>
      <c r="B798" s="15"/>
      <c r="C798" s="15"/>
      <c r="D798" s="14"/>
      <c r="E798" s="14"/>
      <c r="F798" s="14"/>
      <c r="G798" s="14"/>
      <c r="H798" s="15"/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T798" s="14"/>
      <c r="CW798" s="3"/>
      <c r="DG798" s="4"/>
    </row>
    <row r="799" customFormat="false" ht="11.25" hidden="false" customHeight="true" outlineLevel="0" collapsed="false">
      <c r="A799" s="14"/>
      <c r="B799" s="15"/>
      <c r="C799" s="15"/>
      <c r="D799" s="14"/>
      <c r="E799" s="14"/>
      <c r="F799" s="14"/>
      <c r="G799" s="14"/>
      <c r="H799" s="15"/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T799" s="14"/>
      <c r="CW799" s="3"/>
      <c r="DG799" s="4"/>
    </row>
    <row r="800" customFormat="false" ht="11.25" hidden="false" customHeight="true" outlineLevel="0" collapsed="false">
      <c r="A800" s="14"/>
      <c r="B800" s="15"/>
      <c r="C800" s="15"/>
      <c r="D800" s="14"/>
      <c r="E800" s="14"/>
      <c r="F800" s="14"/>
      <c r="G800" s="14"/>
      <c r="H800" s="15"/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T800" s="14"/>
      <c r="CW800" s="3"/>
      <c r="DG800" s="4"/>
    </row>
    <row r="801" customFormat="false" ht="11.25" hidden="false" customHeight="true" outlineLevel="0" collapsed="false">
      <c r="A801" s="14"/>
      <c r="B801" s="15"/>
      <c r="C801" s="15"/>
      <c r="D801" s="14"/>
      <c r="E801" s="14"/>
      <c r="F801" s="14"/>
      <c r="G801" s="14"/>
      <c r="H801" s="15"/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T801" s="14"/>
      <c r="CW801" s="3"/>
      <c r="DG801" s="4"/>
    </row>
    <row r="802" customFormat="false" ht="11.25" hidden="false" customHeight="true" outlineLevel="0" collapsed="false">
      <c r="A802" s="14"/>
      <c r="B802" s="15"/>
      <c r="C802" s="15"/>
      <c r="D802" s="14"/>
      <c r="E802" s="14"/>
      <c r="F802" s="14"/>
      <c r="G802" s="14"/>
      <c r="H802" s="15"/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T802" s="14"/>
      <c r="CW802" s="3"/>
      <c r="DG802" s="4"/>
    </row>
    <row r="803" customFormat="false" ht="11.25" hidden="false" customHeight="true" outlineLevel="0" collapsed="false">
      <c r="A803" s="14"/>
      <c r="B803" s="15"/>
      <c r="C803" s="15"/>
      <c r="D803" s="14"/>
      <c r="E803" s="14"/>
      <c r="F803" s="14"/>
      <c r="G803" s="14"/>
      <c r="H803" s="15"/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T803" s="14"/>
      <c r="CW803" s="3"/>
      <c r="DG803" s="4"/>
    </row>
    <row r="804" customFormat="false" ht="11.25" hidden="false" customHeight="true" outlineLevel="0" collapsed="false">
      <c r="A804" s="14"/>
      <c r="B804" s="15"/>
      <c r="C804" s="15"/>
      <c r="D804" s="14"/>
      <c r="E804" s="14"/>
      <c r="F804" s="14"/>
      <c r="G804" s="14"/>
      <c r="H804" s="15"/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T804" s="14"/>
      <c r="CW804" s="3"/>
      <c r="DG804" s="4"/>
    </row>
    <row r="805" customFormat="false" ht="11.25" hidden="false" customHeight="true" outlineLevel="0" collapsed="false">
      <c r="A805" s="14"/>
      <c r="B805" s="15"/>
      <c r="C805" s="15"/>
      <c r="D805" s="14"/>
      <c r="E805" s="14"/>
      <c r="F805" s="14"/>
      <c r="G805" s="14"/>
      <c r="H805" s="15"/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T805" s="14"/>
      <c r="CW805" s="3"/>
      <c r="DG805" s="4"/>
    </row>
    <row r="806" customFormat="false" ht="11.25" hidden="false" customHeight="true" outlineLevel="0" collapsed="false">
      <c r="A806" s="14"/>
      <c r="B806" s="15"/>
      <c r="C806" s="15"/>
      <c r="D806" s="14"/>
      <c r="E806" s="14"/>
      <c r="F806" s="14"/>
      <c r="G806" s="14"/>
      <c r="H806" s="15"/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T806" s="14"/>
      <c r="CW806" s="3"/>
      <c r="DG806" s="4"/>
    </row>
    <row r="807" customFormat="false" ht="11.25" hidden="false" customHeight="true" outlineLevel="0" collapsed="false">
      <c r="A807" s="14"/>
      <c r="B807" s="15"/>
      <c r="C807" s="15"/>
      <c r="D807" s="14"/>
      <c r="E807" s="14"/>
      <c r="F807" s="14"/>
      <c r="G807" s="14"/>
      <c r="H807" s="15"/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T807" s="14"/>
      <c r="CW807" s="3"/>
      <c r="DG807" s="4"/>
    </row>
    <row r="808" customFormat="false" ht="11.25" hidden="false" customHeight="true" outlineLevel="0" collapsed="false">
      <c r="A808" s="14"/>
      <c r="B808" s="15"/>
      <c r="C808" s="15"/>
      <c r="D808" s="14"/>
      <c r="E808" s="14"/>
      <c r="F808" s="14"/>
      <c r="G808" s="14"/>
      <c r="H808" s="15"/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T808" s="14"/>
      <c r="CW808" s="3"/>
      <c r="DG808" s="4"/>
    </row>
    <row r="809" customFormat="false" ht="11.25" hidden="false" customHeight="true" outlineLevel="0" collapsed="false">
      <c r="A809" s="14"/>
      <c r="B809" s="15"/>
      <c r="C809" s="15"/>
      <c r="D809" s="14"/>
      <c r="E809" s="14"/>
      <c r="F809" s="14"/>
      <c r="G809" s="14"/>
      <c r="H809" s="15"/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T809" s="14"/>
      <c r="CW809" s="3"/>
      <c r="DG809" s="4"/>
    </row>
    <row r="810" customFormat="false" ht="11.25" hidden="false" customHeight="true" outlineLevel="0" collapsed="false">
      <c r="A810" s="14"/>
      <c r="B810" s="15"/>
      <c r="C810" s="15"/>
      <c r="D810" s="14"/>
      <c r="E810" s="14"/>
      <c r="F810" s="14"/>
      <c r="G810" s="14"/>
      <c r="H810" s="15"/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T810" s="14"/>
      <c r="CW810" s="3"/>
      <c r="DG810" s="4"/>
    </row>
    <row r="811" customFormat="false" ht="11.25" hidden="false" customHeight="true" outlineLevel="0" collapsed="false">
      <c r="A811" s="14"/>
      <c r="B811" s="15"/>
      <c r="C811" s="15"/>
      <c r="D811" s="14"/>
      <c r="E811" s="14"/>
      <c r="F811" s="14"/>
      <c r="G811" s="14"/>
      <c r="H811" s="15"/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T811" s="14"/>
      <c r="CW811" s="3"/>
      <c r="DG811" s="4"/>
    </row>
    <row r="812" customFormat="false" ht="11.25" hidden="false" customHeight="true" outlineLevel="0" collapsed="false">
      <c r="A812" s="14"/>
      <c r="B812" s="15"/>
      <c r="C812" s="15"/>
      <c r="D812" s="14"/>
      <c r="E812" s="14"/>
      <c r="F812" s="14"/>
      <c r="G812" s="14"/>
      <c r="H812" s="15"/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T812" s="14"/>
      <c r="CW812" s="3"/>
      <c r="DG812" s="4"/>
    </row>
    <row r="813" customFormat="false" ht="11.25" hidden="false" customHeight="true" outlineLevel="0" collapsed="false">
      <c r="A813" s="14"/>
      <c r="B813" s="15"/>
      <c r="C813" s="15"/>
      <c r="D813" s="14"/>
      <c r="E813" s="14"/>
      <c r="F813" s="14"/>
      <c r="G813" s="14"/>
      <c r="H813" s="15"/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T813" s="14"/>
      <c r="CW813" s="3"/>
      <c r="DG813" s="4"/>
    </row>
    <row r="814" customFormat="false" ht="11.25" hidden="false" customHeight="true" outlineLevel="0" collapsed="false">
      <c r="A814" s="14"/>
      <c r="B814" s="15"/>
      <c r="C814" s="15"/>
      <c r="D814" s="14"/>
      <c r="E814" s="14"/>
      <c r="F814" s="14"/>
      <c r="G814" s="14"/>
      <c r="H814" s="15"/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T814" s="14"/>
      <c r="CW814" s="3"/>
      <c r="DG814" s="4"/>
    </row>
    <row r="815" customFormat="false" ht="11.25" hidden="false" customHeight="true" outlineLevel="0" collapsed="false">
      <c r="A815" s="14"/>
      <c r="B815" s="15"/>
      <c r="C815" s="15"/>
      <c r="D815" s="14"/>
      <c r="E815" s="14"/>
      <c r="F815" s="14"/>
      <c r="G815" s="14"/>
      <c r="H815" s="15"/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T815" s="14"/>
      <c r="CW815" s="3"/>
      <c r="DG815" s="4"/>
    </row>
    <row r="816" customFormat="false" ht="11.25" hidden="false" customHeight="true" outlineLevel="0" collapsed="false">
      <c r="A816" s="14"/>
      <c r="B816" s="15"/>
      <c r="C816" s="15"/>
      <c r="D816" s="14"/>
      <c r="E816" s="14"/>
      <c r="F816" s="14"/>
      <c r="G816" s="14"/>
      <c r="H816" s="15"/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T816" s="14"/>
      <c r="CW816" s="3"/>
      <c r="DG816" s="4"/>
    </row>
    <row r="817" customFormat="false" ht="11.25" hidden="false" customHeight="true" outlineLevel="0" collapsed="false">
      <c r="A817" s="14"/>
      <c r="B817" s="15"/>
      <c r="C817" s="15"/>
      <c r="D817" s="14"/>
      <c r="E817" s="14"/>
      <c r="F817" s="14"/>
      <c r="G817" s="14"/>
      <c r="H817" s="15"/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T817" s="14"/>
      <c r="CW817" s="3"/>
      <c r="DG817" s="4"/>
    </row>
    <row r="818" customFormat="false" ht="11.25" hidden="false" customHeight="true" outlineLevel="0" collapsed="false">
      <c r="A818" s="14"/>
      <c r="B818" s="15"/>
      <c r="C818" s="15"/>
      <c r="D818" s="14"/>
      <c r="E818" s="14"/>
      <c r="F818" s="14"/>
      <c r="G818" s="14"/>
      <c r="H818" s="15"/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T818" s="14"/>
      <c r="CW818" s="3"/>
      <c r="DG818" s="4"/>
    </row>
    <row r="819" customFormat="false" ht="11.25" hidden="false" customHeight="true" outlineLevel="0" collapsed="false">
      <c r="A819" s="14"/>
      <c r="B819" s="15"/>
      <c r="C819" s="15"/>
      <c r="D819" s="14"/>
      <c r="E819" s="14"/>
      <c r="F819" s="14"/>
      <c r="G819" s="14"/>
      <c r="H819" s="15"/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T819" s="14"/>
      <c r="CW819" s="3"/>
      <c r="DG819" s="4"/>
    </row>
    <row r="820" customFormat="false" ht="11.25" hidden="false" customHeight="true" outlineLevel="0" collapsed="false">
      <c r="A820" s="14"/>
      <c r="B820" s="15"/>
      <c r="C820" s="15"/>
      <c r="D820" s="14"/>
      <c r="E820" s="14"/>
      <c r="F820" s="14"/>
      <c r="G820" s="14"/>
      <c r="H820" s="15"/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T820" s="14"/>
      <c r="CW820" s="3"/>
      <c r="DG820" s="4"/>
    </row>
    <row r="821" customFormat="false" ht="11.25" hidden="false" customHeight="true" outlineLevel="0" collapsed="false">
      <c r="A821" s="14"/>
      <c r="B821" s="15"/>
      <c r="C821" s="15"/>
      <c r="D821" s="14"/>
      <c r="E821" s="14"/>
      <c r="F821" s="14"/>
      <c r="G821" s="14"/>
      <c r="H821" s="15"/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T821" s="14"/>
      <c r="CW821" s="3"/>
      <c r="DG821" s="4"/>
    </row>
    <row r="822" customFormat="false" ht="11.25" hidden="false" customHeight="true" outlineLevel="0" collapsed="false">
      <c r="A822" s="14"/>
      <c r="B822" s="15"/>
      <c r="C822" s="15"/>
      <c r="D822" s="14"/>
      <c r="E822" s="14"/>
      <c r="F822" s="14"/>
      <c r="G822" s="14"/>
      <c r="H822" s="15"/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T822" s="14"/>
      <c r="CW822" s="3"/>
      <c r="DG822" s="4"/>
    </row>
    <row r="823" customFormat="false" ht="11.25" hidden="false" customHeight="true" outlineLevel="0" collapsed="false">
      <c r="A823" s="14"/>
      <c r="B823" s="15"/>
      <c r="C823" s="15"/>
      <c r="D823" s="14"/>
      <c r="E823" s="14"/>
      <c r="F823" s="14"/>
      <c r="G823" s="14"/>
      <c r="H823" s="15"/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T823" s="14"/>
      <c r="CW823" s="3"/>
      <c r="DG823" s="4"/>
    </row>
    <row r="824" customFormat="false" ht="11.25" hidden="false" customHeight="true" outlineLevel="0" collapsed="false">
      <c r="A824" s="14"/>
      <c r="B824" s="15"/>
      <c r="C824" s="15"/>
      <c r="D824" s="14"/>
      <c r="E824" s="14"/>
      <c r="F824" s="14"/>
      <c r="G824" s="14"/>
      <c r="H824" s="15"/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T824" s="14"/>
      <c r="CW824" s="3"/>
      <c r="DG824" s="4"/>
    </row>
    <row r="825" customFormat="false" ht="11.25" hidden="false" customHeight="true" outlineLevel="0" collapsed="false">
      <c r="A825" s="14"/>
      <c r="B825" s="15"/>
      <c r="C825" s="15"/>
      <c r="D825" s="14"/>
      <c r="E825" s="14"/>
      <c r="F825" s="14"/>
      <c r="G825" s="14"/>
      <c r="H825" s="15"/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T825" s="14"/>
      <c r="CW825" s="3"/>
      <c r="DG825" s="4"/>
    </row>
    <row r="826" customFormat="false" ht="11.25" hidden="false" customHeight="true" outlineLevel="0" collapsed="false">
      <c r="A826" s="14"/>
      <c r="B826" s="15"/>
      <c r="C826" s="15"/>
      <c r="D826" s="14"/>
      <c r="E826" s="14"/>
      <c r="F826" s="14"/>
      <c r="G826" s="14"/>
      <c r="H826" s="15"/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T826" s="14"/>
      <c r="CW826" s="3"/>
      <c r="DG826" s="4"/>
    </row>
    <row r="827" customFormat="false" ht="11.25" hidden="false" customHeight="true" outlineLevel="0" collapsed="false">
      <c r="A827" s="14"/>
      <c r="B827" s="15"/>
      <c r="C827" s="15"/>
      <c r="D827" s="14"/>
      <c r="E827" s="14"/>
      <c r="F827" s="14"/>
      <c r="G827" s="14"/>
      <c r="H827" s="15"/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T827" s="14"/>
      <c r="CW827" s="3"/>
      <c r="DG827" s="4"/>
    </row>
    <row r="828" customFormat="false" ht="11.25" hidden="false" customHeight="true" outlineLevel="0" collapsed="false">
      <c r="A828" s="14"/>
      <c r="B828" s="15"/>
      <c r="C828" s="15"/>
      <c r="D828" s="14"/>
      <c r="E828" s="14"/>
      <c r="F828" s="14"/>
      <c r="G828" s="14"/>
      <c r="H828" s="15"/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T828" s="14"/>
      <c r="CW828" s="3"/>
      <c r="DG828" s="4"/>
    </row>
    <row r="829" customFormat="false" ht="11.25" hidden="false" customHeight="true" outlineLevel="0" collapsed="false">
      <c r="A829" s="14"/>
      <c r="B829" s="15"/>
      <c r="C829" s="15"/>
      <c r="D829" s="14"/>
      <c r="E829" s="14"/>
      <c r="F829" s="14"/>
      <c r="G829" s="14"/>
      <c r="H829" s="15"/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T829" s="14"/>
      <c r="CW829" s="3"/>
      <c r="DG829" s="4"/>
    </row>
    <row r="830" customFormat="false" ht="11.25" hidden="false" customHeight="true" outlineLevel="0" collapsed="false">
      <c r="A830" s="14"/>
      <c r="B830" s="15"/>
      <c r="C830" s="15"/>
      <c r="D830" s="14"/>
      <c r="E830" s="14"/>
      <c r="F830" s="14"/>
      <c r="G830" s="14"/>
      <c r="H830" s="15"/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T830" s="14"/>
      <c r="CW830" s="3"/>
      <c r="DG830" s="4"/>
    </row>
    <row r="831" customFormat="false" ht="11.25" hidden="false" customHeight="true" outlineLevel="0" collapsed="false">
      <c r="A831" s="14"/>
      <c r="B831" s="15"/>
      <c r="C831" s="15"/>
      <c r="D831" s="14"/>
      <c r="E831" s="14"/>
      <c r="F831" s="14"/>
      <c r="G831" s="14"/>
      <c r="H831" s="15"/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T831" s="14"/>
      <c r="CW831" s="3"/>
      <c r="DG831" s="4"/>
    </row>
    <row r="832" customFormat="false" ht="11.25" hidden="false" customHeight="true" outlineLevel="0" collapsed="false">
      <c r="A832" s="14"/>
      <c r="B832" s="15"/>
      <c r="C832" s="15"/>
      <c r="D832" s="14"/>
      <c r="E832" s="14"/>
      <c r="F832" s="14"/>
      <c r="G832" s="14"/>
      <c r="H832" s="15"/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T832" s="14"/>
      <c r="CW832" s="3"/>
      <c r="DG832" s="4"/>
    </row>
    <row r="833" customFormat="false" ht="11.25" hidden="false" customHeight="true" outlineLevel="0" collapsed="false">
      <c r="A833" s="14"/>
      <c r="B833" s="15"/>
      <c r="C833" s="15"/>
      <c r="D833" s="14"/>
      <c r="E833" s="14"/>
      <c r="F833" s="14"/>
      <c r="G833" s="14"/>
      <c r="H833" s="15"/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T833" s="14"/>
      <c r="CW833" s="3"/>
      <c r="DG833" s="4"/>
    </row>
    <row r="834" customFormat="false" ht="11.25" hidden="false" customHeight="true" outlineLevel="0" collapsed="false">
      <c r="A834" s="14"/>
      <c r="B834" s="15"/>
      <c r="C834" s="15"/>
      <c r="D834" s="14"/>
      <c r="E834" s="14"/>
      <c r="F834" s="14"/>
      <c r="G834" s="14"/>
      <c r="H834" s="15"/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T834" s="14"/>
      <c r="CW834" s="3"/>
      <c r="DG834" s="4"/>
    </row>
    <row r="835" customFormat="false" ht="11.25" hidden="false" customHeight="true" outlineLevel="0" collapsed="false">
      <c r="A835" s="14"/>
      <c r="B835" s="15"/>
      <c r="C835" s="15"/>
      <c r="D835" s="14"/>
      <c r="E835" s="14"/>
      <c r="F835" s="14"/>
      <c r="G835" s="14"/>
      <c r="H835" s="15"/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T835" s="14"/>
      <c r="CW835" s="3"/>
      <c r="DG835" s="4"/>
    </row>
    <row r="836" customFormat="false" ht="11.25" hidden="false" customHeight="true" outlineLevel="0" collapsed="false">
      <c r="A836" s="14"/>
      <c r="B836" s="15"/>
      <c r="C836" s="15"/>
      <c r="D836" s="14"/>
      <c r="E836" s="14"/>
      <c r="F836" s="14"/>
      <c r="G836" s="14"/>
      <c r="H836" s="15"/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T836" s="14"/>
      <c r="CW836" s="3"/>
      <c r="DG836" s="4"/>
    </row>
    <row r="837" customFormat="false" ht="11.25" hidden="false" customHeight="true" outlineLevel="0" collapsed="false">
      <c r="A837" s="14"/>
      <c r="B837" s="15"/>
      <c r="C837" s="15"/>
      <c r="D837" s="14"/>
      <c r="E837" s="14"/>
      <c r="F837" s="14"/>
      <c r="G837" s="14"/>
      <c r="H837" s="15"/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T837" s="14"/>
      <c r="CW837" s="3"/>
      <c r="DG837" s="4"/>
    </row>
    <row r="838" customFormat="false" ht="11.25" hidden="false" customHeight="true" outlineLevel="0" collapsed="false">
      <c r="A838" s="14"/>
      <c r="B838" s="15"/>
      <c r="C838" s="15"/>
      <c r="D838" s="14"/>
      <c r="E838" s="14"/>
      <c r="F838" s="14"/>
      <c r="G838" s="14"/>
      <c r="H838" s="15"/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T838" s="14"/>
      <c r="CW838" s="3"/>
      <c r="DG838" s="4"/>
    </row>
    <row r="839" customFormat="false" ht="11.25" hidden="false" customHeight="true" outlineLevel="0" collapsed="false">
      <c r="A839" s="14"/>
      <c r="B839" s="15"/>
      <c r="C839" s="15"/>
      <c r="D839" s="14"/>
      <c r="E839" s="14"/>
      <c r="F839" s="14"/>
      <c r="G839" s="14"/>
      <c r="H839" s="15"/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T839" s="14"/>
      <c r="CW839" s="3"/>
      <c r="DG839" s="4"/>
    </row>
    <row r="840" customFormat="false" ht="11.25" hidden="false" customHeight="true" outlineLevel="0" collapsed="false">
      <c r="A840" s="14"/>
      <c r="B840" s="15"/>
      <c r="C840" s="15"/>
      <c r="D840" s="14"/>
      <c r="E840" s="14"/>
      <c r="F840" s="14"/>
      <c r="G840" s="14"/>
      <c r="H840" s="15"/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T840" s="14"/>
      <c r="CW840" s="3"/>
      <c r="DG840" s="4"/>
    </row>
    <row r="841" customFormat="false" ht="11.25" hidden="false" customHeight="true" outlineLevel="0" collapsed="false">
      <c r="A841" s="14"/>
      <c r="B841" s="15"/>
      <c r="C841" s="15"/>
      <c r="D841" s="14"/>
      <c r="E841" s="14"/>
      <c r="F841" s="14"/>
      <c r="G841" s="14"/>
      <c r="H841" s="15"/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T841" s="14"/>
      <c r="CW841" s="3"/>
      <c r="DG841" s="4"/>
    </row>
    <row r="842" customFormat="false" ht="11.25" hidden="false" customHeight="true" outlineLevel="0" collapsed="false">
      <c r="A842" s="14"/>
      <c r="B842" s="15"/>
      <c r="C842" s="15"/>
      <c r="D842" s="14"/>
      <c r="E842" s="14"/>
      <c r="F842" s="14"/>
      <c r="G842" s="14"/>
      <c r="H842" s="15"/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T842" s="14"/>
      <c r="CW842" s="3"/>
      <c r="DG842" s="4"/>
    </row>
    <row r="843" customFormat="false" ht="11.25" hidden="false" customHeight="true" outlineLevel="0" collapsed="false">
      <c r="A843" s="14"/>
      <c r="B843" s="15"/>
      <c r="C843" s="15"/>
      <c r="D843" s="14"/>
      <c r="E843" s="14"/>
      <c r="F843" s="14"/>
      <c r="G843" s="14"/>
      <c r="H843" s="15"/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T843" s="14"/>
      <c r="CW843" s="3"/>
      <c r="DG843" s="4"/>
    </row>
    <row r="844" customFormat="false" ht="11.25" hidden="false" customHeight="true" outlineLevel="0" collapsed="false">
      <c r="A844" s="14"/>
      <c r="B844" s="15"/>
      <c r="C844" s="15"/>
      <c r="D844" s="14"/>
      <c r="E844" s="14"/>
      <c r="F844" s="14"/>
      <c r="G844" s="14"/>
      <c r="H844" s="15"/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T844" s="14"/>
      <c r="CW844" s="3"/>
      <c r="DG844" s="4"/>
    </row>
    <row r="845" customFormat="false" ht="11.25" hidden="false" customHeight="true" outlineLevel="0" collapsed="false">
      <c r="A845" s="14"/>
      <c r="B845" s="15"/>
      <c r="C845" s="15"/>
      <c r="D845" s="14"/>
      <c r="E845" s="14"/>
      <c r="F845" s="14"/>
      <c r="G845" s="14"/>
      <c r="H845" s="15"/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T845" s="14"/>
      <c r="CW845" s="3"/>
      <c r="DG845" s="4"/>
    </row>
    <row r="846" customFormat="false" ht="11.25" hidden="false" customHeight="true" outlineLevel="0" collapsed="false">
      <c r="A846" s="14"/>
      <c r="B846" s="15"/>
      <c r="C846" s="15"/>
      <c r="D846" s="14"/>
      <c r="E846" s="14"/>
      <c r="F846" s="14"/>
      <c r="G846" s="14"/>
      <c r="H846" s="15"/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T846" s="14"/>
      <c r="CW846" s="3"/>
      <c r="DG846" s="4"/>
    </row>
    <row r="847" customFormat="false" ht="11.25" hidden="false" customHeight="true" outlineLevel="0" collapsed="false">
      <c r="A847" s="14"/>
      <c r="B847" s="15"/>
      <c r="C847" s="15"/>
      <c r="D847" s="14"/>
      <c r="E847" s="14"/>
      <c r="F847" s="14"/>
      <c r="G847" s="14"/>
      <c r="H847" s="15"/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T847" s="14"/>
      <c r="CW847" s="3"/>
      <c r="DG847" s="4"/>
    </row>
    <row r="848" customFormat="false" ht="11.25" hidden="false" customHeight="true" outlineLevel="0" collapsed="false">
      <c r="A848" s="14"/>
      <c r="B848" s="15"/>
      <c r="C848" s="15"/>
      <c r="D848" s="14"/>
      <c r="E848" s="14"/>
      <c r="F848" s="14"/>
      <c r="G848" s="14"/>
      <c r="H848" s="15"/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T848" s="14"/>
      <c r="CW848" s="3"/>
      <c r="DG848" s="4"/>
    </row>
    <row r="849" customFormat="false" ht="11.25" hidden="false" customHeight="true" outlineLevel="0" collapsed="false">
      <c r="A849" s="14"/>
      <c r="B849" s="15"/>
      <c r="C849" s="15"/>
      <c r="D849" s="14"/>
      <c r="E849" s="14"/>
      <c r="F849" s="14"/>
      <c r="G849" s="14"/>
      <c r="H849" s="15"/>
      <c r="I849" s="1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T849" s="14"/>
      <c r="CW849" s="3"/>
      <c r="DG849" s="4"/>
    </row>
    <row r="850" customFormat="false" ht="11.25" hidden="false" customHeight="true" outlineLevel="0" collapsed="false">
      <c r="A850" s="14"/>
      <c r="B850" s="15"/>
      <c r="C850" s="15"/>
      <c r="D850" s="14"/>
      <c r="E850" s="14"/>
      <c r="F850" s="14"/>
      <c r="G850" s="14"/>
      <c r="H850" s="15"/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T850" s="14"/>
      <c r="CW850" s="3"/>
      <c r="DG850" s="4"/>
    </row>
    <row r="851" customFormat="false" ht="11.25" hidden="false" customHeight="true" outlineLevel="0" collapsed="false">
      <c r="A851" s="14"/>
      <c r="B851" s="15"/>
      <c r="C851" s="15"/>
      <c r="D851" s="14"/>
      <c r="E851" s="14"/>
      <c r="F851" s="14"/>
      <c r="G851" s="14"/>
      <c r="H851" s="15"/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T851" s="14"/>
      <c r="CW851" s="3"/>
      <c r="DG851" s="4"/>
    </row>
    <row r="852" customFormat="false" ht="11.25" hidden="false" customHeight="true" outlineLevel="0" collapsed="false">
      <c r="A852" s="14"/>
      <c r="B852" s="15"/>
      <c r="C852" s="15"/>
      <c r="D852" s="14"/>
      <c r="E852" s="14"/>
      <c r="F852" s="14"/>
      <c r="G852" s="14"/>
      <c r="H852" s="15"/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T852" s="14"/>
      <c r="CW852" s="3"/>
      <c r="DG852" s="4"/>
    </row>
    <row r="853" customFormat="false" ht="11.25" hidden="false" customHeight="true" outlineLevel="0" collapsed="false">
      <c r="A853" s="14"/>
      <c r="B853" s="15"/>
      <c r="C853" s="15"/>
      <c r="D853" s="14"/>
      <c r="E853" s="14"/>
      <c r="F853" s="14"/>
      <c r="G853" s="14"/>
      <c r="H853" s="15"/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T853" s="14"/>
      <c r="CW853" s="3"/>
      <c r="DG853" s="4"/>
    </row>
    <row r="854" customFormat="false" ht="11.25" hidden="false" customHeight="true" outlineLevel="0" collapsed="false">
      <c r="A854" s="14"/>
      <c r="B854" s="15"/>
      <c r="C854" s="15"/>
      <c r="D854" s="14"/>
      <c r="E854" s="14"/>
      <c r="F854" s="14"/>
      <c r="G854" s="14"/>
      <c r="H854" s="15"/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T854" s="14"/>
      <c r="CW854" s="3"/>
      <c r="DG854" s="4"/>
    </row>
    <row r="855" customFormat="false" ht="11.25" hidden="false" customHeight="true" outlineLevel="0" collapsed="false">
      <c r="A855" s="14"/>
      <c r="B855" s="15"/>
      <c r="C855" s="15"/>
      <c r="D855" s="14"/>
      <c r="E855" s="14"/>
      <c r="F855" s="14"/>
      <c r="G855" s="14"/>
      <c r="H855" s="15"/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T855" s="14"/>
      <c r="CW855" s="3"/>
      <c r="DG855" s="4"/>
    </row>
    <row r="856" customFormat="false" ht="11.25" hidden="false" customHeight="true" outlineLevel="0" collapsed="false">
      <c r="A856" s="14"/>
      <c r="B856" s="15"/>
      <c r="C856" s="15"/>
      <c r="D856" s="14"/>
      <c r="E856" s="14"/>
      <c r="F856" s="14"/>
      <c r="G856" s="14"/>
      <c r="H856" s="15"/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T856" s="14"/>
      <c r="CW856" s="3"/>
      <c r="DG856" s="4"/>
    </row>
    <row r="857" customFormat="false" ht="11.25" hidden="false" customHeight="true" outlineLevel="0" collapsed="false">
      <c r="A857" s="14"/>
      <c r="B857" s="15"/>
      <c r="C857" s="15"/>
      <c r="D857" s="14"/>
      <c r="E857" s="14"/>
      <c r="F857" s="14"/>
      <c r="G857" s="14"/>
      <c r="H857" s="15"/>
      <c r="I857" s="1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T857" s="14"/>
      <c r="CW857" s="3"/>
      <c r="DG857" s="4"/>
    </row>
    <row r="858" customFormat="false" ht="11.25" hidden="false" customHeight="true" outlineLevel="0" collapsed="false">
      <c r="A858" s="14"/>
      <c r="B858" s="15"/>
      <c r="C858" s="15"/>
      <c r="D858" s="14"/>
      <c r="E858" s="14"/>
      <c r="F858" s="14"/>
      <c r="G858" s="14"/>
      <c r="H858" s="15"/>
      <c r="I858" s="1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T858" s="14"/>
      <c r="CW858" s="3"/>
      <c r="DG858" s="4"/>
    </row>
    <row r="859" customFormat="false" ht="11.25" hidden="false" customHeight="true" outlineLevel="0" collapsed="false">
      <c r="A859" s="14"/>
      <c r="B859" s="15"/>
      <c r="C859" s="15"/>
      <c r="D859" s="14"/>
      <c r="E859" s="14"/>
      <c r="F859" s="14"/>
      <c r="G859" s="14"/>
      <c r="H859" s="15"/>
      <c r="I859" s="1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T859" s="14"/>
      <c r="CW859" s="3"/>
      <c r="DG859" s="4"/>
    </row>
    <row r="860" customFormat="false" ht="11.25" hidden="false" customHeight="true" outlineLevel="0" collapsed="false">
      <c r="A860" s="14"/>
      <c r="B860" s="15"/>
      <c r="C860" s="15"/>
      <c r="D860" s="14"/>
      <c r="E860" s="14"/>
      <c r="F860" s="14"/>
      <c r="G860" s="14"/>
      <c r="H860" s="15"/>
      <c r="I860" s="1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T860" s="14"/>
      <c r="CW860" s="3"/>
      <c r="DG860" s="4"/>
    </row>
    <row r="861" customFormat="false" ht="11.25" hidden="false" customHeight="true" outlineLevel="0" collapsed="false">
      <c r="A861" s="14"/>
      <c r="B861" s="15"/>
      <c r="C861" s="15"/>
      <c r="D861" s="14"/>
      <c r="E861" s="14"/>
      <c r="F861" s="14"/>
      <c r="G861" s="14"/>
      <c r="H861" s="15"/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T861" s="14"/>
      <c r="CW861" s="3"/>
      <c r="DG861" s="4"/>
    </row>
    <row r="862" customFormat="false" ht="11.25" hidden="false" customHeight="true" outlineLevel="0" collapsed="false">
      <c r="A862" s="14"/>
      <c r="B862" s="15"/>
      <c r="C862" s="15"/>
      <c r="D862" s="14"/>
      <c r="E862" s="14"/>
      <c r="F862" s="14"/>
      <c r="G862" s="14"/>
      <c r="H862" s="15"/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T862" s="14"/>
      <c r="CW862" s="3"/>
      <c r="DG862" s="4"/>
    </row>
    <row r="863" customFormat="false" ht="11.25" hidden="false" customHeight="true" outlineLevel="0" collapsed="false">
      <c r="A863" s="14"/>
      <c r="B863" s="15"/>
      <c r="C863" s="15"/>
      <c r="D863" s="14"/>
      <c r="E863" s="14"/>
      <c r="F863" s="14"/>
      <c r="G863" s="14"/>
      <c r="H863" s="15"/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T863" s="14"/>
      <c r="CW863" s="3"/>
      <c r="DG863" s="4"/>
    </row>
    <row r="864" customFormat="false" ht="11.25" hidden="false" customHeight="true" outlineLevel="0" collapsed="false">
      <c r="A864" s="14"/>
      <c r="B864" s="15"/>
      <c r="C864" s="15"/>
      <c r="D864" s="14"/>
      <c r="E864" s="14"/>
      <c r="F864" s="14"/>
      <c r="G864" s="14"/>
      <c r="H864" s="15"/>
      <c r="I864" s="1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T864" s="14"/>
      <c r="CW864" s="3"/>
      <c r="DG864" s="4"/>
    </row>
    <row r="865" customFormat="false" ht="11.25" hidden="false" customHeight="true" outlineLevel="0" collapsed="false">
      <c r="A865" s="14"/>
      <c r="B865" s="15"/>
      <c r="C865" s="15"/>
      <c r="D865" s="14"/>
      <c r="E865" s="14"/>
      <c r="F865" s="14"/>
      <c r="G865" s="14"/>
      <c r="H865" s="15"/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T865" s="14"/>
      <c r="CW865" s="3"/>
      <c r="DG865" s="4"/>
    </row>
    <row r="866" customFormat="false" ht="11.25" hidden="false" customHeight="true" outlineLevel="0" collapsed="false">
      <c r="A866" s="14"/>
      <c r="B866" s="15"/>
      <c r="C866" s="15"/>
      <c r="D866" s="14"/>
      <c r="E866" s="14"/>
      <c r="F866" s="14"/>
      <c r="G866" s="14"/>
      <c r="H866" s="15"/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T866" s="14"/>
      <c r="CW866" s="3"/>
      <c r="DG866" s="4"/>
    </row>
    <row r="867" customFormat="false" ht="11.25" hidden="false" customHeight="true" outlineLevel="0" collapsed="false">
      <c r="A867" s="14"/>
      <c r="B867" s="15"/>
      <c r="C867" s="15"/>
      <c r="D867" s="14"/>
      <c r="E867" s="14"/>
      <c r="F867" s="14"/>
      <c r="G867" s="14"/>
      <c r="H867" s="15"/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T867" s="14"/>
      <c r="CW867" s="3"/>
      <c r="DG867" s="4"/>
    </row>
    <row r="868" customFormat="false" ht="11.25" hidden="false" customHeight="true" outlineLevel="0" collapsed="false">
      <c r="A868" s="14"/>
      <c r="B868" s="15"/>
      <c r="C868" s="15"/>
      <c r="D868" s="14"/>
      <c r="E868" s="14"/>
      <c r="F868" s="14"/>
      <c r="G868" s="14"/>
      <c r="H868" s="15"/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T868" s="14"/>
      <c r="CW868" s="3"/>
      <c r="DG868" s="4"/>
    </row>
    <row r="869" customFormat="false" ht="11.25" hidden="false" customHeight="true" outlineLevel="0" collapsed="false">
      <c r="A869" s="14"/>
      <c r="B869" s="15"/>
      <c r="C869" s="15"/>
      <c r="D869" s="14"/>
      <c r="E869" s="14"/>
      <c r="F869" s="14"/>
      <c r="G869" s="14"/>
      <c r="H869" s="15"/>
      <c r="I869" s="1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T869" s="14"/>
      <c r="CW869" s="3"/>
      <c r="DG869" s="4"/>
    </row>
    <row r="870" customFormat="false" ht="11.25" hidden="false" customHeight="true" outlineLevel="0" collapsed="false">
      <c r="A870" s="14"/>
      <c r="B870" s="15"/>
      <c r="C870" s="15"/>
      <c r="D870" s="14"/>
      <c r="E870" s="14"/>
      <c r="F870" s="14"/>
      <c r="G870" s="14"/>
      <c r="H870" s="15"/>
      <c r="I870" s="1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T870" s="14"/>
      <c r="CW870" s="3"/>
      <c r="DG870" s="4"/>
    </row>
    <row r="871" customFormat="false" ht="11.25" hidden="false" customHeight="true" outlineLevel="0" collapsed="false">
      <c r="A871" s="14"/>
      <c r="B871" s="15"/>
      <c r="C871" s="15"/>
      <c r="D871" s="14"/>
      <c r="E871" s="14"/>
      <c r="F871" s="14"/>
      <c r="G871" s="14"/>
      <c r="H871" s="15"/>
      <c r="I871" s="1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T871" s="14"/>
      <c r="CW871" s="3"/>
      <c r="DG871" s="4"/>
    </row>
    <row r="872" customFormat="false" ht="11.25" hidden="false" customHeight="true" outlineLevel="0" collapsed="false">
      <c r="A872" s="14"/>
      <c r="B872" s="15"/>
      <c r="C872" s="15"/>
      <c r="D872" s="14"/>
      <c r="E872" s="14"/>
      <c r="F872" s="14"/>
      <c r="G872" s="14"/>
      <c r="H872" s="15"/>
      <c r="I872" s="1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T872" s="14"/>
      <c r="CW872" s="3"/>
      <c r="DG872" s="4"/>
    </row>
    <row r="873" customFormat="false" ht="11.25" hidden="false" customHeight="true" outlineLevel="0" collapsed="false">
      <c r="A873" s="14"/>
      <c r="B873" s="15"/>
      <c r="C873" s="15"/>
      <c r="D873" s="14"/>
      <c r="E873" s="14"/>
      <c r="F873" s="14"/>
      <c r="G873" s="14"/>
      <c r="H873" s="15"/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T873" s="14"/>
      <c r="CW873" s="3"/>
      <c r="DG873" s="4"/>
    </row>
    <row r="874" customFormat="false" ht="11.25" hidden="false" customHeight="true" outlineLevel="0" collapsed="false">
      <c r="A874" s="14"/>
      <c r="B874" s="15"/>
      <c r="C874" s="15"/>
      <c r="D874" s="14"/>
      <c r="E874" s="14"/>
      <c r="F874" s="14"/>
      <c r="G874" s="14"/>
      <c r="H874" s="15"/>
      <c r="I874" s="1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T874" s="14"/>
      <c r="CW874" s="3"/>
      <c r="DG874" s="4"/>
    </row>
    <row r="875" customFormat="false" ht="11.25" hidden="false" customHeight="true" outlineLevel="0" collapsed="false">
      <c r="A875" s="14"/>
      <c r="B875" s="15"/>
      <c r="C875" s="15"/>
      <c r="D875" s="14"/>
      <c r="E875" s="14"/>
      <c r="F875" s="14"/>
      <c r="G875" s="14"/>
      <c r="H875" s="15"/>
      <c r="I875" s="1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T875" s="14"/>
      <c r="CW875" s="3"/>
      <c r="DG875" s="4"/>
    </row>
    <row r="876" customFormat="false" ht="11.25" hidden="false" customHeight="true" outlineLevel="0" collapsed="false">
      <c r="A876" s="14"/>
      <c r="B876" s="15"/>
      <c r="C876" s="15"/>
      <c r="D876" s="14"/>
      <c r="E876" s="14"/>
      <c r="F876" s="14"/>
      <c r="G876" s="14"/>
      <c r="H876" s="15"/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T876" s="14"/>
      <c r="CW876" s="3"/>
      <c r="DG876" s="4"/>
    </row>
    <row r="877" customFormat="false" ht="11.25" hidden="false" customHeight="true" outlineLevel="0" collapsed="false">
      <c r="A877" s="14"/>
      <c r="B877" s="15"/>
      <c r="C877" s="15"/>
      <c r="D877" s="14"/>
      <c r="E877" s="14"/>
      <c r="F877" s="14"/>
      <c r="G877" s="14"/>
      <c r="H877" s="15"/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T877" s="14"/>
      <c r="CW877" s="3"/>
      <c r="DG877" s="4"/>
    </row>
    <row r="878" customFormat="false" ht="11.25" hidden="false" customHeight="true" outlineLevel="0" collapsed="false">
      <c r="A878" s="14"/>
      <c r="B878" s="15"/>
      <c r="C878" s="15"/>
      <c r="D878" s="14"/>
      <c r="E878" s="14"/>
      <c r="F878" s="14"/>
      <c r="G878" s="14"/>
      <c r="H878" s="15"/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T878" s="14"/>
      <c r="CW878" s="3"/>
      <c r="DG878" s="4"/>
    </row>
    <row r="879" customFormat="false" ht="11.25" hidden="false" customHeight="true" outlineLevel="0" collapsed="false">
      <c r="A879" s="14"/>
      <c r="B879" s="15"/>
      <c r="C879" s="15"/>
      <c r="D879" s="14"/>
      <c r="E879" s="14"/>
      <c r="F879" s="14"/>
      <c r="G879" s="14"/>
      <c r="H879" s="15"/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T879" s="14"/>
      <c r="CW879" s="3"/>
      <c r="DG879" s="4"/>
    </row>
    <row r="880" customFormat="false" ht="11.25" hidden="false" customHeight="true" outlineLevel="0" collapsed="false">
      <c r="A880" s="14"/>
      <c r="B880" s="15"/>
      <c r="C880" s="15"/>
      <c r="D880" s="14"/>
      <c r="E880" s="14"/>
      <c r="F880" s="14"/>
      <c r="G880" s="14"/>
      <c r="H880" s="15"/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T880" s="14"/>
      <c r="CW880" s="3"/>
      <c r="DG880" s="4"/>
    </row>
    <row r="881" customFormat="false" ht="11.25" hidden="false" customHeight="true" outlineLevel="0" collapsed="false">
      <c r="A881" s="14"/>
      <c r="B881" s="15"/>
      <c r="C881" s="15"/>
      <c r="D881" s="14"/>
      <c r="E881" s="14"/>
      <c r="F881" s="14"/>
      <c r="G881" s="14"/>
      <c r="H881" s="15"/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T881" s="14"/>
      <c r="CW881" s="3"/>
      <c r="DG881" s="4"/>
    </row>
    <row r="882" customFormat="false" ht="11.25" hidden="false" customHeight="true" outlineLevel="0" collapsed="false">
      <c r="A882" s="14"/>
      <c r="B882" s="15"/>
      <c r="C882" s="15"/>
      <c r="D882" s="14"/>
      <c r="E882" s="14"/>
      <c r="F882" s="14"/>
      <c r="G882" s="14"/>
      <c r="H882" s="15"/>
      <c r="I882" s="1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T882" s="14"/>
      <c r="CW882" s="3"/>
      <c r="DG882" s="4"/>
    </row>
    <row r="883" customFormat="false" ht="11.25" hidden="false" customHeight="true" outlineLevel="0" collapsed="false">
      <c r="A883" s="14"/>
      <c r="B883" s="15"/>
      <c r="C883" s="15"/>
      <c r="D883" s="14"/>
      <c r="E883" s="14"/>
      <c r="F883" s="14"/>
      <c r="G883" s="14"/>
      <c r="H883" s="15"/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T883" s="14"/>
      <c r="CW883" s="3"/>
      <c r="DG883" s="4"/>
    </row>
    <row r="884" customFormat="false" ht="11.25" hidden="false" customHeight="true" outlineLevel="0" collapsed="false">
      <c r="A884" s="14"/>
      <c r="B884" s="15"/>
      <c r="C884" s="15"/>
      <c r="D884" s="14"/>
      <c r="E884" s="14"/>
      <c r="F884" s="14"/>
      <c r="G884" s="14"/>
      <c r="H884" s="15"/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T884" s="14"/>
      <c r="CW884" s="3"/>
      <c r="DG884" s="4"/>
    </row>
    <row r="885" customFormat="false" ht="11.25" hidden="false" customHeight="true" outlineLevel="0" collapsed="false">
      <c r="A885" s="14"/>
      <c r="B885" s="15"/>
      <c r="C885" s="15"/>
      <c r="D885" s="14"/>
      <c r="E885" s="14"/>
      <c r="F885" s="14"/>
      <c r="G885" s="14"/>
      <c r="H885" s="15"/>
      <c r="I885" s="1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T885" s="14"/>
      <c r="CW885" s="3"/>
      <c r="DG885" s="4"/>
    </row>
    <row r="886" customFormat="false" ht="11.25" hidden="false" customHeight="true" outlineLevel="0" collapsed="false">
      <c r="A886" s="14"/>
      <c r="B886" s="15"/>
      <c r="C886" s="15"/>
      <c r="D886" s="14"/>
      <c r="E886" s="14"/>
      <c r="F886" s="14"/>
      <c r="G886" s="14"/>
      <c r="H886" s="15"/>
      <c r="I886" s="1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T886" s="14"/>
      <c r="CW886" s="3"/>
      <c r="DG886" s="4"/>
    </row>
    <row r="887" customFormat="false" ht="11.25" hidden="false" customHeight="true" outlineLevel="0" collapsed="false">
      <c r="A887" s="14"/>
      <c r="B887" s="15"/>
      <c r="C887" s="15"/>
      <c r="D887" s="14"/>
      <c r="E887" s="14"/>
      <c r="F887" s="14"/>
      <c r="G887" s="14"/>
      <c r="H887" s="15"/>
      <c r="I887" s="1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T887" s="14"/>
      <c r="CW887" s="3"/>
      <c r="DG887" s="4"/>
    </row>
    <row r="888" customFormat="false" ht="11.25" hidden="false" customHeight="true" outlineLevel="0" collapsed="false">
      <c r="A888" s="14"/>
      <c r="B888" s="15"/>
      <c r="C888" s="15"/>
      <c r="D888" s="14"/>
      <c r="E888" s="14"/>
      <c r="F888" s="14"/>
      <c r="G888" s="14"/>
      <c r="H888" s="15"/>
      <c r="I888" s="1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T888" s="14"/>
      <c r="CW888" s="3"/>
      <c r="DG888" s="4"/>
    </row>
    <row r="889" customFormat="false" ht="11.25" hidden="false" customHeight="true" outlineLevel="0" collapsed="false">
      <c r="A889" s="14"/>
      <c r="B889" s="15"/>
      <c r="C889" s="15"/>
      <c r="D889" s="14"/>
      <c r="E889" s="14"/>
      <c r="F889" s="14"/>
      <c r="G889" s="14"/>
      <c r="H889" s="15"/>
      <c r="I889" s="1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T889" s="14"/>
      <c r="CW889" s="3"/>
      <c r="DG889" s="4"/>
    </row>
    <row r="890" customFormat="false" ht="11.25" hidden="false" customHeight="true" outlineLevel="0" collapsed="false">
      <c r="A890" s="14"/>
      <c r="B890" s="15"/>
      <c r="C890" s="15"/>
      <c r="D890" s="14"/>
      <c r="E890" s="14"/>
      <c r="F890" s="14"/>
      <c r="G890" s="14"/>
      <c r="H890" s="15"/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T890" s="14"/>
      <c r="CW890" s="3"/>
      <c r="DG890" s="4"/>
    </row>
    <row r="891" customFormat="false" ht="11.25" hidden="false" customHeight="true" outlineLevel="0" collapsed="false">
      <c r="A891" s="14"/>
      <c r="B891" s="15"/>
      <c r="C891" s="15"/>
      <c r="D891" s="14"/>
      <c r="E891" s="14"/>
      <c r="F891" s="14"/>
      <c r="G891" s="14"/>
      <c r="H891" s="15"/>
      <c r="I891" s="1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T891" s="14"/>
      <c r="CW891" s="3"/>
      <c r="DG891" s="4"/>
    </row>
    <row r="892" customFormat="false" ht="11.25" hidden="false" customHeight="true" outlineLevel="0" collapsed="false">
      <c r="A892" s="14"/>
      <c r="B892" s="15"/>
      <c r="C892" s="15"/>
      <c r="D892" s="14"/>
      <c r="E892" s="14"/>
      <c r="F892" s="14"/>
      <c r="G892" s="14"/>
      <c r="H892" s="15"/>
      <c r="I892" s="1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T892" s="14"/>
      <c r="CW892" s="3"/>
      <c r="DG892" s="4"/>
    </row>
    <row r="893" customFormat="false" ht="11.25" hidden="false" customHeight="true" outlineLevel="0" collapsed="false">
      <c r="A893" s="14"/>
      <c r="B893" s="15"/>
      <c r="C893" s="15"/>
      <c r="D893" s="14"/>
      <c r="E893" s="14"/>
      <c r="F893" s="14"/>
      <c r="G893" s="14"/>
      <c r="H893" s="15"/>
      <c r="I893" s="1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T893" s="14"/>
      <c r="CW893" s="3"/>
      <c r="DG893" s="4"/>
    </row>
    <row r="894" customFormat="false" ht="11.25" hidden="false" customHeight="true" outlineLevel="0" collapsed="false">
      <c r="A894" s="14"/>
      <c r="B894" s="15"/>
      <c r="C894" s="15"/>
      <c r="D894" s="14"/>
      <c r="E894" s="14"/>
      <c r="F894" s="14"/>
      <c r="G894" s="14"/>
      <c r="H894" s="15"/>
      <c r="I894" s="1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T894" s="14"/>
      <c r="CW894" s="3"/>
      <c r="DG894" s="4"/>
    </row>
    <row r="895" customFormat="false" ht="11.25" hidden="false" customHeight="true" outlineLevel="0" collapsed="false">
      <c r="A895" s="14"/>
      <c r="B895" s="15"/>
      <c r="C895" s="15"/>
      <c r="D895" s="14"/>
      <c r="E895" s="14"/>
      <c r="F895" s="14"/>
      <c r="G895" s="14"/>
      <c r="H895" s="15"/>
      <c r="I895" s="1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T895" s="14"/>
      <c r="CW895" s="3"/>
      <c r="DG895" s="4"/>
    </row>
    <row r="896" customFormat="false" ht="11.25" hidden="false" customHeight="true" outlineLevel="0" collapsed="false">
      <c r="A896" s="14"/>
      <c r="B896" s="15"/>
      <c r="C896" s="15"/>
      <c r="D896" s="14"/>
      <c r="E896" s="14"/>
      <c r="F896" s="14"/>
      <c r="G896" s="14"/>
      <c r="H896" s="15"/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T896" s="14"/>
      <c r="CW896" s="3"/>
      <c r="DG896" s="4"/>
    </row>
    <row r="897" customFormat="false" ht="11.25" hidden="false" customHeight="true" outlineLevel="0" collapsed="false">
      <c r="A897" s="14"/>
      <c r="B897" s="15"/>
      <c r="C897" s="15"/>
      <c r="D897" s="14"/>
      <c r="E897" s="14"/>
      <c r="F897" s="14"/>
      <c r="G897" s="14"/>
      <c r="H897" s="15"/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T897" s="14"/>
      <c r="CW897" s="3"/>
      <c r="DG897" s="4"/>
    </row>
    <row r="898" customFormat="false" ht="11.25" hidden="false" customHeight="true" outlineLevel="0" collapsed="false">
      <c r="A898" s="14"/>
      <c r="B898" s="15"/>
      <c r="C898" s="15"/>
      <c r="D898" s="14"/>
      <c r="E898" s="14"/>
      <c r="F898" s="14"/>
      <c r="G898" s="14"/>
      <c r="H898" s="15"/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T898" s="14"/>
      <c r="CW898" s="3"/>
      <c r="DG898" s="4"/>
    </row>
    <row r="899" customFormat="false" ht="11.25" hidden="false" customHeight="true" outlineLevel="0" collapsed="false">
      <c r="A899" s="14"/>
      <c r="B899" s="15"/>
      <c r="C899" s="15"/>
      <c r="D899" s="14"/>
      <c r="E899" s="14"/>
      <c r="F899" s="14"/>
      <c r="G899" s="14"/>
      <c r="H899" s="15"/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T899" s="14"/>
      <c r="CW899" s="3"/>
      <c r="DG899" s="4"/>
    </row>
    <row r="900" customFormat="false" ht="11.25" hidden="false" customHeight="true" outlineLevel="0" collapsed="false">
      <c r="A900" s="14"/>
      <c r="B900" s="15"/>
      <c r="C900" s="15"/>
      <c r="D900" s="14"/>
      <c r="E900" s="14"/>
      <c r="F900" s="14"/>
      <c r="G900" s="14"/>
      <c r="H900" s="15"/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T900" s="14"/>
      <c r="CW900" s="3"/>
      <c r="DG900" s="4"/>
    </row>
    <row r="901" customFormat="false" ht="11.25" hidden="false" customHeight="true" outlineLevel="0" collapsed="false">
      <c r="A901" s="14"/>
      <c r="B901" s="15"/>
      <c r="C901" s="15"/>
      <c r="D901" s="14"/>
      <c r="E901" s="14"/>
      <c r="F901" s="14"/>
      <c r="G901" s="14"/>
      <c r="H901" s="15"/>
      <c r="I901" s="1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T901" s="14"/>
      <c r="CW901" s="3"/>
      <c r="DG901" s="4"/>
    </row>
    <row r="902" customFormat="false" ht="11.25" hidden="false" customHeight="true" outlineLevel="0" collapsed="false">
      <c r="A902" s="14"/>
      <c r="B902" s="15"/>
      <c r="C902" s="15"/>
      <c r="D902" s="14"/>
      <c r="E902" s="14"/>
      <c r="F902" s="14"/>
      <c r="G902" s="14"/>
      <c r="H902" s="15"/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T902" s="14"/>
      <c r="CW902" s="3"/>
      <c r="DG902" s="4"/>
    </row>
    <row r="903" customFormat="false" ht="11.25" hidden="false" customHeight="true" outlineLevel="0" collapsed="false">
      <c r="A903" s="14"/>
      <c r="B903" s="15"/>
      <c r="C903" s="15"/>
      <c r="D903" s="14"/>
      <c r="E903" s="14"/>
      <c r="F903" s="14"/>
      <c r="G903" s="14"/>
      <c r="H903" s="15"/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T903" s="14"/>
      <c r="CW903" s="3"/>
      <c r="DG903" s="4"/>
    </row>
    <row r="904" customFormat="false" ht="11.25" hidden="false" customHeight="true" outlineLevel="0" collapsed="false">
      <c r="A904" s="14"/>
      <c r="B904" s="15"/>
      <c r="C904" s="15"/>
      <c r="D904" s="14"/>
      <c r="E904" s="14"/>
      <c r="F904" s="14"/>
      <c r="G904" s="14"/>
      <c r="H904" s="15"/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T904" s="14"/>
      <c r="CW904" s="3"/>
      <c r="DG904" s="4"/>
    </row>
    <row r="905" customFormat="false" ht="11.25" hidden="false" customHeight="true" outlineLevel="0" collapsed="false">
      <c r="A905" s="14"/>
      <c r="B905" s="15"/>
      <c r="C905" s="15"/>
      <c r="D905" s="14"/>
      <c r="E905" s="14"/>
      <c r="F905" s="14"/>
      <c r="G905" s="14"/>
      <c r="H905" s="15"/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T905" s="14"/>
      <c r="CW905" s="3"/>
      <c r="DG905" s="4"/>
    </row>
    <row r="906" customFormat="false" ht="11.25" hidden="false" customHeight="true" outlineLevel="0" collapsed="false">
      <c r="A906" s="14"/>
      <c r="B906" s="15"/>
      <c r="C906" s="15"/>
      <c r="D906" s="14"/>
      <c r="E906" s="14"/>
      <c r="F906" s="14"/>
      <c r="G906" s="14"/>
      <c r="H906" s="15"/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T906" s="14"/>
      <c r="CW906" s="3"/>
      <c r="DG906" s="4"/>
    </row>
    <row r="907" customFormat="false" ht="11.25" hidden="false" customHeight="true" outlineLevel="0" collapsed="false">
      <c r="A907" s="14"/>
      <c r="B907" s="15"/>
      <c r="C907" s="15"/>
      <c r="D907" s="14"/>
      <c r="E907" s="14"/>
      <c r="F907" s="14"/>
      <c r="G907" s="14"/>
      <c r="H907" s="15"/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T907" s="14"/>
      <c r="CW907" s="3"/>
      <c r="DG907" s="4"/>
    </row>
    <row r="908" customFormat="false" ht="11.25" hidden="false" customHeight="true" outlineLevel="0" collapsed="false">
      <c r="A908" s="14"/>
      <c r="B908" s="15"/>
      <c r="C908" s="15"/>
      <c r="D908" s="14"/>
      <c r="E908" s="14"/>
      <c r="F908" s="14"/>
      <c r="G908" s="14"/>
      <c r="H908" s="15"/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T908" s="14"/>
      <c r="CW908" s="3"/>
      <c r="DG908" s="4"/>
    </row>
    <row r="909" customFormat="false" ht="11.25" hidden="false" customHeight="true" outlineLevel="0" collapsed="false">
      <c r="A909" s="14"/>
      <c r="B909" s="15"/>
      <c r="C909" s="15"/>
      <c r="D909" s="14"/>
      <c r="E909" s="14"/>
      <c r="F909" s="14"/>
      <c r="G909" s="14"/>
      <c r="H909" s="15"/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T909" s="14"/>
      <c r="CW909" s="3"/>
      <c r="DG909" s="4"/>
    </row>
    <row r="910" customFormat="false" ht="11.25" hidden="false" customHeight="true" outlineLevel="0" collapsed="false">
      <c r="A910" s="14"/>
      <c r="B910" s="15"/>
      <c r="C910" s="15"/>
      <c r="D910" s="14"/>
      <c r="E910" s="14"/>
      <c r="F910" s="14"/>
      <c r="G910" s="14"/>
      <c r="H910" s="15"/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T910" s="14"/>
      <c r="CW910" s="3"/>
      <c r="DG910" s="4"/>
    </row>
    <row r="911" customFormat="false" ht="11.25" hidden="false" customHeight="true" outlineLevel="0" collapsed="false">
      <c r="A911" s="14"/>
      <c r="B911" s="15"/>
      <c r="C911" s="15"/>
      <c r="D911" s="14"/>
      <c r="E911" s="14"/>
      <c r="F911" s="14"/>
      <c r="G911" s="14"/>
      <c r="H911" s="15"/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T911" s="14"/>
      <c r="CW911" s="3"/>
      <c r="DG911" s="4"/>
    </row>
    <row r="912" customFormat="false" ht="11.25" hidden="false" customHeight="true" outlineLevel="0" collapsed="false">
      <c r="A912" s="14"/>
      <c r="B912" s="15"/>
      <c r="C912" s="15"/>
      <c r="D912" s="14"/>
      <c r="E912" s="14"/>
      <c r="F912" s="14"/>
      <c r="G912" s="14"/>
      <c r="H912" s="15"/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T912" s="14"/>
      <c r="CW912" s="3"/>
      <c r="DG912" s="4"/>
    </row>
    <row r="913" customFormat="false" ht="11.25" hidden="false" customHeight="true" outlineLevel="0" collapsed="false">
      <c r="A913" s="14"/>
      <c r="B913" s="15"/>
      <c r="C913" s="15"/>
      <c r="D913" s="14"/>
      <c r="E913" s="14"/>
      <c r="F913" s="14"/>
      <c r="G913" s="14"/>
      <c r="H913" s="15"/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T913" s="14"/>
      <c r="CW913" s="3"/>
      <c r="DG913" s="4"/>
    </row>
    <row r="914" customFormat="false" ht="11.25" hidden="false" customHeight="true" outlineLevel="0" collapsed="false">
      <c r="A914" s="14"/>
      <c r="B914" s="15"/>
      <c r="C914" s="15"/>
      <c r="D914" s="14"/>
      <c r="E914" s="14"/>
      <c r="F914" s="14"/>
      <c r="G914" s="14"/>
      <c r="H914" s="15"/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T914" s="14"/>
      <c r="CW914" s="3"/>
      <c r="DG914" s="4"/>
    </row>
    <row r="915" customFormat="false" ht="11.25" hidden="false" customHeight="true" outlineLevel="0" collapsed="false">
      <c r="A915" s="14"/>
      <c r="B915" s="15"/>
      <c r="C915" s="15"/>
      <c r="D915" s="14"/>
      <c r="E915" s="14"/>
      <c r="F915" s="14"/>
      <c r="G915" s="14"/>
      <c r="H915" s="15"/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T915" s="14"/>
      <c r="CW915" s="3"/>
      <c r="DG915" s="4"/>
    </row>
    <row r="916" customFormat="false" ht="11.25" hidden="false" customHeight="true" outlineLevel="0" collapsed="false">
      <c r="A916" s="14"/>
      <c r="B916" s="15"/>
      <c r="C916" s="15"/>
      <c r="D916" s="14"/>
      <c r="E916" s="14"/>
      <c r="F916" s="14"/>
      <c r="G916" s="14"/>
      <c r="H916" s="15"/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T916" s="14"/>
      <c r="CW916" s="3"/>
      <c r="DG916" s="4"/>
    </row>
    <row r="917" customFormat="false" ht="11.25" hidden="false" customHeight="true" outlineLevel="0" collapsed="false">
      <c r="A917" s="14"/>
      <c r="B917" s="15"/>
      <c r="C917" s="15"/>
      <c r="D917" s="14"/>
      <c r="E917" s="14"/>
      <c r="F917" s="14"/>
      <c r="G917" s="14"/>
      <c r="H917" s="15"/>
      <c r="I917" s="1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T917" s="14"/>
      <c r="CW917" s="3"/>
      <c r="DG917" s="4"/>
    </row>
    <row r="918" customFormat="false" ht="11.25" hidden="false" customHeight="true" outlineLevel="0" collapsed="false">
      <c r="A918" s="14"/>
      <c r="B918" s="15"/>
      <c r="C918" s="15"/>
      <c r="D918" s="14"/>
      <c r="E918" s="14"/>
      <c r="F918" s="14"/>
      <c r="G918" s="14"/>
      <c r="H918" s="15"/>
      <c r="I918" s="1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T918" s="14"/>
      <c r="CW918" s="3"/>
      <c r="DG918" s="4"/>
    </row>
    <row r="919" customFormat="false" ht="11.25" hidden="false" customHeight="true" outlineLevel="0" collapsed="false">
      <c r="A919" s="14"/>
      <c r="B919" s="15"/>
      <c r="C919" s="15"/>
      <c r="D919" s="14"/>
      <c r="E919" s="14"/>
      <c r="F919" s="14"/>
      <c r="G919" s="14"/>
      <c r="H919" s="15"/>
      <c r="I919" s="1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T919" s="14"/>
      <c r="CW919" s="3"/>
      <c r="DG919" s="4"/>
    </row>
    <row r="920" customFormat="false" ht="11.25" hidden="false" customHeight="true" outlineLevel="0" collapsed="false">
      <c r="A920" s="14"/>
      <c r="B920" s="15"/>
      <c r="C920" s="15"/>
      <c r="D920" s="14"/>
      <c r="E920" s="14"/>
      <c r="F920" s="14"/>
      <c r="G920" s="14"/>
      <c r="H920" s="15"/>
      <c r="I920" s="1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T920" s="14"/>
      <c r="CW920" s="3"/>
      <c r="DG920" s="4"/>
    </row>
    <row r="921" customFormat="false" ht="11.25" hidden="false" customHeight="true" outlineLevel="0" collapsed="false">
      <c r="A921" s="14"/>
      <c r="B921" s="15"/>
      <c r="C921" s="15"/>
      <c r="D921" s="14"/>
      <c r="E921" s="14"/>
      <c r="F921" s="14"/>
      <c r="G921" s="14"/>
      <c r="H921" s="15"/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T921" s="14"/>
      <c r="CW921" s="3"/>
      <c r="DG921" s="4"/>
    </row>
    <row r="922" customFormat="false" ht="11.25" hidden="false" customHeight="true" outlineLevel="0" collapsed="false">
      <c r="A922" s="14"/>
      <c r="B922" s="15"/>
      <c r="C922" s="15"/>
      <c r="D922" s="14"/>
      <c r="E922" s="14"/>
      <c r="F922" s="14"/>
      <c r="G922" s="14"/>
      <c r="H922" s="15"/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T922" s="14"/>
      <c r="CW922" s="3"/>
      <c r="DG922" s="4"/>
    </row>
    <row r="923" customFormat="false" ht="11.25" hidden="false" customHeight="true" outlineLevel="0" collapsed="false">
      <c r="A923" s="14"/>
      <c r="B923" s="15"/>
      <c r="C923" s="15"/>
      <c r="D923" s="14"/>
      <c r="E923" s="14"/>
      <c r="F923" s="14"/>
      <c r="G923" s="14"/>
      <c r="H923" s="15"/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T923" s="14"/>
      <c r="CW923" s="3"/>
      <c r="DG923" s="4"/>
    </row>
    <row r="924" customFormat="false" ht="11.25" hidden="false" customHeight="true" outlineLevel="0" collapsed="false">
      <c r="A924" s="14"/>
      <c r="B924" s="15"/>
      <c r="C924" s="15"/>
      <c r="D924" s="14"/>
      <c r="E924" s="14"/>
      <c r="F924" s="14"/>
      <c r="G924" s="14"/>
      <c r="H924" s="15"/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T924" s="14"/>
      <c r="CW924" s="3"/>
      <c r="DG924" s="4"/>
    </row>
    <row r="925" customFormat="false" ht="11.25" hidden="false" customHeight="true" outlineLevel="0" collapsed="false">
      <c r="A925" s="14"/>
      <c r="B925" s="15"/>
      <c r="C925" s="15"/>
      <c r="D925" s="14"/>
      <c r="E925" s="14"/>
      <c r="F925" s="14"/>
      <c r="G925" s="14"/>
      <c r="H925" s="15"/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T925" s="14"/>
      <c r="CW925" s="3"/>
      <c r="DG925" s="4"/>
    </row>
    <row r="926" customFormat="false" ht="11.25" hidden="false" customHeight="true" outlineLevel="0" collapsed="false">
      <c r="A926" s="14"/>
      <c r="B926" s="15"/>
      <c r="C926" s="15"/>
      <c r="D926" s="14"/>
      <c r="E926" s="14"/>
      <c r="F926" s="14"/>
      <c r="G926" s="14"/>
      <c r="H926" s="15"/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T926" s="14"/>
      <c r="CW926" s="3"/>
      <c r="DG926" s="4"/>
    </row>
    <row r="927" customFormat="false" ht="11.25" hidden="false" customHeight="true" outlineLevel="0" collapsed="false">
      <c r="A927" s="14"/>
      <c r="B927" s="15"/>
      <c r="C927" s="15"/>
      <c r="D927" s="14"/>
      <c r="E927" s="14"/>
      <c r="F927" s="14"/>
      <c r="G927" s="14"/>
      <c r="H927" s="15"/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T927" s="14"/>
      <c r="CW927" s="3"/>
      <c r="DG927" s="4"/>
    </row>
    <row r="928" customFormat="false" ht="11.25" hidden="false" customHeight="true" outlineLevel="0" collapsed="false">
      <c r="A928" s="14"/>
      <c r="B928" s="15"/>
      <c r="C928" s="15"/>
      <c r="D928" s="14"/>
      <c r="E928" s="14"/>
      <c r="F928" s="14"/>
      <c r="G928" s="14"/>
      <c r="H928" s="15"/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T928" s="14"/>
      <c r="CW928" s="3"/>
      <c r="DG928" s="4"/>
    </row>
    <row r="929" customFormat="false" ht="11.25" hidden="false" customHeight="true" outlineLevel="0" collapsed="false">
      <c r="A929" s="14"/>
      <c r="B929" s="15"/>
      <c r="C929" s="15"/>
      <c r="D929" s="14"/>
      <c r="E929" s="14"/>
      <c r="F929" s="14"/>
      <c r="G929" s="14"/>
      <c r="H929" s="15"/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T929" s="14"/>
      <c r="CW929" s="3"/>
      <c r="DG929" s="4"/>
    </row>
    <row r="930" customFormat="false" ht="11.25" hidden="false" customHeight="true" outlineLevel="0" collapsed="false">
      <c r="A930" s="14"/>
      <c r="B930" s="15"/>
      <c r="C930" s="15"/>
      <c r="D930" s="14"/>
      <c r="E930" s="14"/>
      <c r="F930" s="14"/>
      <c r="G930" s="14"/>
      <c r="H930" s="15"/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T930" s="14"/>
      <c r="CW930" s="3"/>
      <c r="DG930" s="4"/>
    </row>
    <row r="931" customFormat="false" ht="11.25" hidden="false" customHeight="true" outlineLevel="0" collapsed="false">
      <c r="A931" s="14"/>
      <c r="B931" s="15"/>
      <c r="C931" s="15"/>
      <c r="D931" s="14"/>
      <c r="E931" s="14"/>
      <c r="F931" s="14"/>
      <c r="G931" s="14"/>
      <c r="H931" s="15"/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T931" s="14"/>
      <c r="CW931" s="3"/>
      <c r="DG931" s="4"/>
    </row>
    <row r="932" customFormat="false" ht="11.25" hidden="false" customHeight="true" outlineLevel="0" collapsed="false">
      <c r="A932" s="14"/>
      <c r="B932" s="15"/>
      <c r="C932" s="15"/>
      <c r="D932" s="14"/>
      <c r="E932" s="14"/>
      <c r="F932" s="14"/>
      <c r="G932" s="14"/>
      <c r="H932" s="15"/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T932" s="14"/>
      <c r="CW932" s="3"/>
      <c r="DG932" s="4"/>
    </row>
    <row r="933" customFormat="false" ht="11.25" hidden="false" customHeight="true" outlineLevel="0" collapsed="false">
      <c r="A933" s="14"/>
      <c r="B933" s="15"/>
      <c r="C933" s="15"/>
      <c r="D933" s="14"/>
      <c r="E933" s="14"/>
      <c r="F933" s="14"/>
      <c r="G933" s="14"/>
      <c r="H933" s="15"/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T933" s="14"/>
      <c r="CW933" s="3"/>
      <c r="DG933" s="4"/>
    </row>
    <row r="934" customFormat="false" ht="11.25" hidden="false" customHeight="true" outlineLevel="0" collapsed="false">
      <c r="A934" s="14"/>
      <c r="B934" s="15"/>
      <c r="C934" s="15"/>
      <c r="D934" s="14"/>
      <c r="E934" s="14"/>
      <c r="F934" s="14"/>
      <c r="G934" s="14"/>
      <c r="H934" s="15"/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T934" s="14"/>
      <c r="CW934" s="3"/>
      <c r="DG934" s="4"/>
    </row>
    <row r="935" customFormat="false" ht="11.25" hidden="false" customHeight="true" outlineLevel="0" collapsed="false">
      <c r="A935" s="14"/>
      <c r="B935" s="15"/>
      <c r="C935" s="15"/>
      <c r="D935" s="14"/>
      <c r="E935" s="14"/>
      <c r="F935" s="14"/>
      <c r="G935" s="14"/>
      <c r="H935" s="15"/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T935" s="14"/>
      <c r="CW935" s="3"/>
      <c r="DG935" s="4"/>
    </row>
    <row r="936" customFormat="false" ht="11.25" hidden="false" customHeight="true" outlineLevel="0" collapsed="false">
      <c r="A936" s="14"/>
      <c r="B936" s="15"/>
      <c r="C936" s="15"/>
      <c r="D936" s="14"/>
      <c r="E936" s="14"/>
      <c r="F936" s="14"/>
      <c r="G936" s="14"/>
      <c r="H936" s="15"/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T936" s="14"/>
      <c r="CW936" s="3"/>
      <c r="DG936" s="4"/>
    </row>
    <row r="937" customFormat="false" ht="11.25" hidden="false" customHeight="true" outlineLevel="0" collapsed="false">
      <c r="A937" s="14"/>
      <c r="B937" s="15"/>
      <c r="C937" s="15"/>
      <c r="D937" s="14"/>
      <c r="E937" s="14"/>
      <c r="F937" s="14"/>
      <c r="G937" s="14"/>
      <c r="H937" s="15"/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T937" s="14"/>
      <c r="CW937" s="3"/>
      <c r="DG937" s="4"/>
    </row>
    <row r="938" customFormat="false" ht="11.25" hidden="false" customHeight="true" outlineLevel="0" collapsed="false">
      <c r="A938" s="14"/>
      <c r="B938" s="15"/>
      <c r="C938" s="15"/>
      <c r="D938" s="14"/>
      <c r="E938" s="14"/>
      <c r="F938" s="14"/>
      <c r="G938" s="14"/>
      <c r="H938" s="15"/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T938" s="14"/>
      <c r="CW938" s="3"/>
      <c r="DG938" s="4"/>
    </row>
    <row r="939" customFormat="false" ht="11.25" hidden="false" customHeight="true" outlineLevel="0" collapsed="false">
      <c r="A939" s="14"/>
      <c r="B939" s="15"/>
      <c r="C939" s="15"/>
      <c r="D939" s="14"/>
      <c r="E939" s="14"/>
      <c r="F939" s="14"/>
      <c r="G939" s="14"/>
      <c r="H939" s="15"/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T939" s="14"/>
      <c r="CW939" s="3"/>
      <c r="DG939" s="4"/>
    </row>
    <row r="940" customFormat="false" ht="11.25" hidden="false" customHeight="true" outlineLevel="0" collapsed="false">
      <c r="A940" s="14"/>
      <c r="B940" s="15"/>
      <c r="C940" s="15"/>
      <c r="D940" s="14"/>
      <c r="E940" s="14"/>
      <c r="F940" s="14"/>
      <c r="G940" s="14"/>
      <c r="H940" s="15"/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T940" s="14"/>
      <c r="CW940" s="3"/>
      <c r="DG940" s="4"/>
    </row>
    <row r="941" customFormat="false" ht="11.25" hidden="false" customHeight="true" outlineLevel="0" collapsed="false">
      <c r="A941" s="14"/>
      <c r="B941" s="15"/>
      <c r="C941" s="15"/>
      <c r="D941" s="14"/>
      <c r="E941" s="14"/>
      <c r="F941" s="14"/>
      <c r="G941" s="14"/>
      <c r="H941" s="15"/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T941" s="14"/>
      <c r="CW941" s="3"/>
      <c r="DG941" s="4"/>
    </row>
    <row r="942" customFormat="false" ht="11.25" hidden="false" customHeight="true" outlineLevel="0" collapsed="false">
      <c r="A942" s="14"/>
      <c r="B942" s="15"/>
      <c r="C942" s="15"/>
      <c r="D942" s="14"/>
      <c r="E942" s="14"/>
      <c r="F942" s="14"/>
      <c r="G942" s="14"/>
      <c r="H942" s="15"/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T942" s="14"/>
      <c r="CW942" s="3"/>
      <c r="DG942" s="4"/>
    </row>
    <row r="943" customFormat="false" ht="11.25" hidden="false" customHeight="true" outlineLevel="0" collapsed="false">
      <c r="A943" s="14"/>
      <c r="B943" s="15"/>
      <c r="C943" s="15"/>
      <c r="D943" s="14"/>
      <c r="E943" s="14"/>
      <c r="F943" s="14"/>
      <c r="G943" s="14"/>
      <c r="H943" s="15"/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T943" s="14"/>
      <c r="CW943" s="3"/>
      <c r="DG943" s="4"/>
    </row>
    <row r="944" customFormat="false" ht="11.25" hidden="false" customHeight="true" outlineLevel="0" collapsed="false">
      <c r="A944" s="14"/>
      <c r="B944" s="15"/>
      <c r="C944" s="15"/>
      <c r="D944" s="14"/>
      <c r="E944" s="14"/>
      <c r="F944" s="14"/>
      <c r="G944" s="14"/>
      <c r="H944" s="15"/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T944" s="14"/>
      <c r="CW944" s="3"/>
      <c r="DG944" s="4"/>
    </row>
    <row r="945" customFormat="false" ht="11.25" hidden="false" customHeight="true" outlineLevel="0" collapsed="false">
      <c r="A945" s="14"/>
      <c r="B945" s="15"/>
      <c r="C945" s="15"/>
      <c r="D945" s="14"/>
      <c r="E945" s="14"/>
      <c r="F945" s="14"/>
      <c r="G945" s="14"/>
      <c r="H945" s="15"/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T945" s="14"/>
      <c r="CW945" s="3"/>
      <c r="DG945" s="4"/>
    </row>
    <row r="946" customFormat="false" ht="11.25" hidden="false" customHeight="true" outlineLevel="0" collapsed="false">
      <c r="A946" s="14"/>
      <c r="B946" s="15"/>
      <c r="C946" s="15"/>
      <c r="D946" s="14"/>
      <c r="E946" s="14"/>
      <c r="F946" s="14"/>
      <c r="G946" s="14"/>
      <c r="H946" s="15"/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T946" s="14"/>
      <c r="CW946" s="3"/>
      <c r="DG946" s="4"/>
    </row>
    <row r="947" customFormat="false" ht="11.25" hidden="false" customHeight="true" outlineLevel="0" collapsed="false">
      <c r="A947" s="14"/>
      <c r="B947" s="15"/>
      <c r="C947" s="15"/>
      <c r="D947" s="14"/>
      <c r="E947" s="14"/>
      <c r="F947" s="14"/>
      <c r="G947" s="14"/>
      <c r="H947" s="15"/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T947" s="14"/>
      <c r="CW947" s="3"/>
      <c r="DG947" s="4"/>
    </row>
    <row r="948" customFormat="false" ht="11.25" hidden="false" customHeight="true" outlineLevel="0" collapsed="false">
      <c r="A948" s="14"/>
      <c r="B948" s="15"/>
      <c r="C948" s="15"/>
      <c r="D948" s="14"/>
      <c r="E948" s="14"/>
      <c r="F948" s="14"/>
      <c r="G948" s="14"/>
      <c r="H948" s="15"/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T948" s="14"/>
      <c r="CW948" s="3"/>
      <c r="DG948" s="4"/>
    </row>
    <row r="949" customFormat="false" ht="11.25" hidden="false" customHeight="true" outlineLevel="0" collapsed="false">
      <c r="A949" s="14"/>
      <c r="B949" s="15"/>
      <c r="C949" s="15"/>
      <c r="D949" s="14"/>
      <c r="E949" s="14"/>
      <c r="F949" s="14"/>
      <c r="G949" s="14"/>
      <c r="H949" s="15"/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T949" s="14"/>
      <c r="CW949" s="3"/>
      <c r="DG949" s="4"/>
    </row>
    <row r="950" customFormat="false" ht="11.25" hidden="false" customHeight="true" outlineLevel="0" collapsed="false">
      <c r="A950" s="14"/>
      <c r="B950" s="15"/>
      <c r="C950" s="15"/>
      <c r="D950" s="14"/>
      <c r="E950" s="14"/>
      <c r="F950" s="14"/>
      <c r="G950" s="14"/>
      <c r="H950" s="15"/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T950" s="14"/>
      <c r="CW950" s="3"/>
      <c r="DG950" s="4"/>
    </row>
    <row r="951" customFormat="false" ht="11.25" hidden="false" customHeight="true" outlineLevel="0" collapsed="false">
      <c r="A951" s="14"/>
      <c r="B951" s="15"/>
      <c r="C951" s="15"/>
      <c r="D951" s="14"/>
      <c r="E951" s="14"/>
      <c r="F951" s="14"/>
      <c r="G951" s="14"/>
      <c r="H951" s="15"/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T951" s="14"/>
      <c r="CW951" s="3"/>
      <c r="DG951" s="4"/>
    </row>
    <row r="952" customFormat="false" ht="11.25" hidden="false" customHeight="true" outlineLevel="0" collapsed="false">
      <c r="A952" s="14"/>
      <c r="B952" s="15"/>
      <c r="C952" s="15"/>
      <c r="D952" s="14"/>
      <c r="E952" s="14"/>
      <c r="F952" s="14"/>
      <c r="G952" s="14"/>
      <c r="H952" s="15"/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T952" s="14"/>
      <c r="CW952" s="3"/>
      <c r="DG952" s="4"/>
    </row>
    <row r="953" customFormat="false" ht="11.25" hidden="false" customHeight="true" outlineLevel="0" collapsed="false">
      <c r="A953" s="14"/>
      <c r="B953" s="15"/>
      <c r="C953" s="15"/>
      <c r="D953" s="14"/>
      <c r="E953" s="14"/>
      <c r="F953" s="14"/>
      <c r="G953" s="14"/>
      <c r="H953" s="15"/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T953" s="14"/>
      <c r="CW953" s="3"/>
      <c r="DG953" s="4"/>
    </row>
    <row r="954" customFormat="false" ht="11.25" hidden="false" customHeight="true" outlineLevel="0" collapsed="false">
      <c r="A954" s="14"/>
      <c r="B954" s="15"/>
      <c r="C954" s="15"/>
      <c r="D954" s="14"/>
      <c r="E954" s="14"/>
      <c r="F954" s="14"/>
      <c r="G954" s="14"/>
      <c r="H954" s="15"/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T954" s="14"/>
      <c r="CW954" s="3"/>
      <c r="DG954" s="4"/>
    </row>
    <row r="955" customFormat="false" ht="11.25" hidden="false" customHeight="true" outlineLevel="0" collapsed="false">
      <c r="A955" s="14"/>
      <c r="B955" s="15"/>
      <c r="C955" s="15"/>
      <c r="D955" s="14"/>
      <c r="E955" s="14"/>
      <c r="F955" s="14"/>
      <c r="G955" s="14"/>
      <c r="H955" s="15"/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T955" s="14"/>
      <c r="CW955" s="3"/>
      <c r="DG955" s="4"/>
    </row>
    <row r="956" customFormat="false" ht="11.25" hidden="false" customHeight="true" outlineLevel="0" collapsed="false">
      <c r="A956" s="14"/>
      <c r="B956" s="15"/>
      <c r="C956" s="15"/>
      <c r="D956" s="14"/>
      <c r="E956" s="14"/>
      <c r="F956" s="14"/>
      <c r="G956" s="14"/>
      <c r="H956" s="15"/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T956" s="14"/>
      <c r="CW956" s="3"/>
      <c r="DG956" s="4"/>
    </row>
    <row r="957" customFormat="false" ht="11.25" hidden="false" customHeight="true" outlineLevel="0" collapsed="false">
      <c r="A957" s="14"/>
      <c r="B957" s="15"/>
      <c r="C957" s="15"/>
      <c r="D957" s="14"/>
      <c r="E957" s="14"/>
      <c r="F957" s="14"/>
      <c r="G957" s="14"/>
      <c r="H957" s="15"/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T957" s="14"/>
      <c r="CW957" s="3"/>
      <c r="DG957" s="4"/>
    </row>
    <row r="958" customFormat="false" ht="11.25" hidden="false" customHeight="true" outlineLevel="0" collapsed="false">
      <c r="A958" s="14"/>
      <c r="B958" s="15"/>
      <c r="C958" s="15"/>
      <c r="D958" s="14"/>
      <c r="E958" s="14"/>
      <c r="F958" s="14"/>
      <c r="G958" s="14"/>
      <c r="H958" s="15"/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T958" s="14"/>
      <c r="CW958" s="3"/>
      <c r="DG958" s="4"/>
    </row>
    <row r="959" customFormat="false" ht="11.25" hidden="false" customHeight="true" outlineLevel="0" collapsed="false">
      <c r="A959" s="14"/>
      <c r="B959" s="15"/>
      <c r="C959" s="15"/>
      <c r="D959" s="14"/>
      <c r="E959" s="14"/>
      <c r="F959" s="14"/>
      <c r="G959" s="14"/>
      <c r="H959" s="15"/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T959" s="14"/>
      <c r="CW959" s="3"/>
      <c r="DG959" s="4"/>
    </row>
    <row r="960" customFormat="false" ht="11.25" hidden="false" customHeight="true" outlineLevel="0" collapsed="false">
      <c r="A960" s="14"/>
      <c r="B960" s="15"/>
      <c r="C960" s="15"/>
      <c r="D960" s="14"/>
      <c r="E960" s="14"/>
      <c r="F960" s="14"/>
      <c r="G960" s="14"/>
      <c r="H960" s="15"/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T960" s="14"/>
      <c r="CW960" s="3"/>
      <c r="DG960" s="4"/>
    </row>
    <row r="961" customFormat="false" ht="11.25" hidden="false" customHeight="true" outlineLevel="0" collapsed="false">
      <c r="A961" s="14"/>
      <c r="B961" s="15"/>
      <c r="C961" s="15"/>
      <c r="D961" s="14"/>
      <c r="E961" s="14"/>
      <c r="F961" s="14"/>
      <c r="G961" s="14"/>
      <c r="H961" s="15"/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T961" s="14"/>
      <c r="CW961" s="3"/>
      <c r="DG961" s="4"/>
    </row>
    <row r="962" customFormat="false" ht="11.25" hidden="false" customHeight="true" outlineLevel="0" collapsed="false">
      <c r="A962" s="14"/>
      <c r="B962" s="15"/>
      <c r="C962" s="15"/>
      <c r="D962" s="14"/>
      <c r="E962" s="14"/>
      <c r="F962" s="14"/>
      <c r="G962" s="14"/>
      <c r="H962" s="15"/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T962" s="14"/>
      <c r="CW962" s="3"/>
      <c r="DG962" s="4"/>
    </row>
    <row r="963" customFormat="false" ht="11.25" hidden="false" customHeight="true" outlineLevel="0" collapsed="false">
      <c r="A963" s="14"/>
      <c r="B963" s="15"/>
      <c r="C963" s="15"/>
      <c r="D963" s="14"/>
      <c r="E963" s="14"/>
      <c r="F963" s="14"/>
      <c r="G963" s="14"/>
      <c r="H963" s="15"/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T963" s="14"/>
      <c r="CW963" s="3"/>
      <c r="DG963" s="4"/>
    </row>
    <row r="964" customFormat="false" ht="11.25" hidden="false" customHeight="true" outlineLevel="0" collapsed="false">
      <c r="A964" s="14"/>
      <c r="B964" s="15"/>
      <c r="C964" s="15"/>
      <c r="D964" s="14"/>
      <c r="E964" s="14"/>
      <c r="F964" s="14"/>
      <c r="G964" s="14"/>
      <c r="H964" s="15"/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T964" s="14"/>
      <c r="CW964" s="3"/>
      <c r="DG964" s="4"/>
    </row>
    <row r="965" customFormat="false" ht="11.25" hidden="false" customHeight="true" outlineLevel="0" collapsed="false">
      <c r="A965" s="14"/>
      <c r="B965" s="15"/>
      <c r="C965" s="15"/>
      <c r="D965" s="14"/>
      <c r="E965" s="14"/>
      <c r="F965" s="14"/>
      <c r="G965" s="14"/>
      <c r="H965" s="15"/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T965" s="14"/>
      <c r="CW965" s="3"/>
      <c r="DG965" s="4"/>
    </row>
    <row r="966" customFormat="false" ht="11.25" hidden="false" customHeight="true" outlineLevel="0" collapsed="false">
      <c r="A966" s="14"/>
      <c r="B966" s="15"/>
      <c r="C966" s="15"/>
      <c r="D966" s="14"/>
      <c r="E966" s="14"/>
      <c r="F966" s="14"/>
      <c r="G966" s="14"/>
      <c r="H966" s="15"/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T966" s="14"/>
      <c r="CW966" s="3"/>
      <c r="DG966" s="4"/>
    </row>
    <row r="967" customFormat="false" ht="11.25" hidden="false" customHeight="true" outlineLevel="0" collapsed="false">
      <c r="A967" s="14"/>
      <c r="B967" s="15"/>
      <c r="C967" s="15"/>
      <c r="D967" s="14"/>
      <c r="E967" s="14"/>
      <c r="F967" s="14"/>
      <c r="G967" s="14"/>
      <c r="H967" s="15"/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T967" s="14"/>
      <c r="CW967" s="3"/>
      <c r="DG967" s="4"/>
    </row>
    <row r="968" customFormat="false" ht="11.25" hidden="false" customHeight="true" outlineLevel="0" collapsed="false">
      <c r="A968" s="14"/>
      <c r="B968" s="15"/>
      <c r="C968" s="15"/>
      <c r="D968" s="14"/>
      <c r="E968" s="14"/>
      <c r="F968" s="14"/>
      <c r="G968" s="14"/>
      <c r="H968" s="15"/>
      <c r="I968" s="1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T968" s="14"/>
      <c r="CW968" s="3"/>
      <c r="DG968" s="4"/>
    </row>
    <row r="969" customFormat="false" ht="11.25" hidden="false" customHeight="true" outlineLevel="0" collapsed="false">
      <c r="A969" s="14"/>
      <c r="B969" s="15"/>
      <c r="C969" s="15"/>
      <c r="D969" s="14"/>
      <c r="E969" s="14"/>
      <c r="F969" s="14"/>
      <c r="G969" s="14"/>
      <c r="H969" s="15"/>
      <c r="I969" s="1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T969" s="14"/>
      <c r="CW969" s="3"/>
      <c r="DG969" s="4"/>
    </row>
    <row r="970" customFormat="false" ht="11.25" hidden="false" customHeight="true" outlineLevel="0" collapsed="false">
      <c r="A970" s="14"/>
      <c r="B970" s="15"/>
      <c r="C970" s="15"/>
      <c r="D970" s="14"/>
      <c r="E970" s="14"/>
      <c r="F970" s="14"/>
      <c r="G970" s="14"/>
      <c r="H970" s="15"/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T970" s="14"/>
      <c r="CW970" s="3"/>
      <c r="DG970" s="4"/>
    </row>
    <row r="971" customFormat="false" ht="11.25" hidden="false" customHeight="true" outlineLevel="0" collapsed="false">
      <c r="A971" s="14"/>
      <c r="B971" s="15"/>
      <c r="C971" s="15"/>
      <c r="D971" s="14"/>
      <c r="E971" s="14"/>
      <c r="F971" s="14"/>
      <c r="G971" s="14"/>
      <c r="H971" s="15"/>
      <c r="I971" s="1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T971" s="14"/>
      <c r="CW971" s="3"/>
      <c r="DG971" s="4"/>
    </row>
    <row r="972" customFormat="false" ht="11.25" hidden="false" customHeight="true" outlineLevel="0" collapsed="false">
      <c r="A972" s="14"/>
      <c r="B972" s="15"/>
      <c r="C972" s="15"/>
      <c r="D972" s="14"/>
      <c r="E972" s="14"/>
      <c r="F972" s="14"/>
      <c r="G972" s="14"/>
      <c r="H972" s="15"/>
      <c r="I972" s="1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T972" s="14"/>
      <c r="CW972" s="3"/>
      <c r="DG972" s="4"/>
    </row>
    <row r="973" customFormat="false" ht="11.25" hidden="false" customHeight="true" outlineLevel="0" collapsed="false">
      <c r="A973" s="14"/>
      <c r="B973" s="15"/>
      <c r="C973" s="15"/>
      <c r="D973" s="14"/>
      <c r="E973" s="14"/>
      <c r="F973" s="14"/>
      <c r="G973" s="14"/>
      <c r="H973" s="15"/>
      <c r="I973" s="1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T973" s="14"/>
      <c r="CW973" s="3"/>
      <c r="DG973" s="4"/>
    </row>
    <row r="974" customFormat="false" ht="11.25" hidden="false" customHeight="true" outlineLevel="0" collapsed="false">
      <c r="A974" s="14"/>
      <c r="B974" s="15"/>
      <c r="C974" s="15"/>
      <c r="D974" s="14"/>
      <c r="E974" s="14"/>
      <c r="F974" s="14"/>
      <c r="G974" s="14"/>
      <c r="H974" s="15"/>
      <c r="I974" s="1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T974" s="14"/>
      <c r="CW974" s="3"/>
      <c r="DG974" s="4"/>
    </row>
    <row r="975" customFormat="false" ht="11.25" hidden="false" customHeight="true" outlineLevel="0" collapsed="false">
      <c r="A975" s="14"/>
      <c r="B975" s="15"/>
      <c r="C975" s="15"/>
      <c r="D975" s="14"/>
      <c r="E975" s="14"/>
      <c r="F975" s="14"/>
      <c r="G975" s="14"/>
      <c r="H975" s="15"/>
      <c r="I975" s="1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T975" s="14"/>
      <c r="CW975" s="3"/>
      <c r="DG975" s="4"/>
    </row>
    <row r="976" customFormat="false" ht="11.25" hidden="false" customHeight="true" outlineLevel="0" collapsed="false">
      <c r="A976" s="14"/>
      <c r="B976" s="15"/>
      <c r="C976" s="15"/>
      <c r="D976" s="14"/>
      <c r="E976" s="14"/>
      <c r="F976" s="14"/>
      <c r="G976" s="14"/>
      <c r="H976" s="15"/>
      <c r="I976" s="1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T976" s="14"/>
      <c r="CW976" s="3"/>
      <c r="DG976" s="4"/>
    </row>
    <row r="977" customFormat="false" ht="11.25" hidden="false" customHeight="true" outlineLevel="0" collapsed="false">
      <c r="A977" s="14"/>
      <c r="B977" s="15"/>
      <c r="C977" s="15"/>
      <c r="D977" s="14"/>
      <c r="E977" s="14"/>
      <c r="F977" s="14"/>
      <c r="G977" s="14"/>
      <c r="H977" s="15"/>
      <c r="I977" s="1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T977" s="14"/>
      <c r="CW977" s="3"/>
      <c r="DG977" s="4"/>
    </row>
    <row r="978" customFormat="false" ht="11.25" hidden="false" customHeight="true" outlineLevel="0" collapsed="false">
      <c r="A978" s="14"/>
      <c r="B978" s="15"/>
      <c r="C978" s="15"/>
      <c r="D978" s="14"/>
      <c r="E978" s="14"/>
      <c r="F978" s="14"/>
      <c r="G978" s="14"/>
      <c r="H978" s="15"/>
      <c r="I978" s="1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T978" s="14"/>
      <c r="CW978" s="3"/>
      <c r="DG978" s="4"/>
    </row>
    <row r="979" customFormat="false" ht="11.25" hidden="false" customHeight="true" outlineLevel="0" collapsed="false">
      <c r="A979" s="14"/>
      <c r="B979" s="15"/>
      <c r="C979" s="15"/>
      <c r="D979" s="14"/>
      <c r="E979" s="14"/>
      <c r="F979" s="14"/>
      <c r="G979" s="14"/>
      <c r="H979" s="15"/>
      <c r="I979" s="1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T979" s="14"/>
      <c r="CW979" s="3"/>
      <c r="DG979" s="4"/>
    </row>
    <row r="980" customFormat="false" ht="11.25" hidden="false" customHeight="true" outlineLevel="0" collapsed="false">
      <c r="A980" s="14"/>
      <c r="B980" s="15"/>
      <c r="C980" s="15"/>
      <c r="D980" s="14"/>
      <c r="E980" s="14"/>
      <c r="F980" s="14"/>
      <c r="G980" s="14"/>
      <c r="H980" s="15"/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T980" s="14"/>
      <c r="CW980" s="3"/>
      <c r="DG980" s="4"/>
    </row>
    <row r="981" customFormat="false" ht="11.25" hidden="false" customHeight="true" outlineLevel="0" collapsed="false">
      <c r="A981" s="14"/>
      <c r="B981" s="15"/>
      <c r="C981" s="15"/>
      <c r="D981" s="14"/>
      <c r="E981" s="14"/>
      <c r="F981" s="14"/>
      <c r="G981" s="14"/>
      <c r="H981" s="15"/>
      <c r="I981" s="1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T981" s="14"/>
      <c r="CW981" s="3"/>
      <c r="DG981" s="4"/>
    </row>
    <row r="982" customFormat="false" ht="11.25" hidden="false" customHeight="true" outlineLevel="0" collapsed="false">
      <c r="A982" s="14"/>
      <c r="B982" s="15"/>
      <c r="C982" s="15"/>
      <c r="D982" s="14"/>
      <c r="E982" s="14"/>
      <c r="F982" s="14"/>
      <c r="G982" s="14"/>
      <c r="H982" s="15"/>
      <c r="I982" s="1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T982" s="14"/>
      <c r="CW982" s="3"/>
      <c r="DG982" s="4"/>
    </row>
    <row r="983" customFormat="false" ht="11.25" hidden="false" customHeight="true" outlineLevel="0" collapsed="false">
      <c r="A983" s="14"/>
      <c r="B983" s="15"/>
      <c r="C983" s="15"/>
      <c r="D983" s="14"/>
      <c r="E983" s="14"/>
      <c r="F983" s="14"/>
      <c r="G983" s="14"/>
      <c r="H983" s="15"/>
      <c r="I983" s="1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T983" s="14"/>
      <c r="CW983" s="3"/>
      <c r="DG983" s="4"/>
    </row>
    <row r="984" customFormat="false" ht="11.25" hidden="false" customHeight="true" outlineLevel="0" collapsed="false">
      <c r="A984" s="14"/>
      <c r="B984" s="15"/>
      <c r="C984" s="15"/>
      <c r="D984" s="14"/>
      <c r="E984" s="14"/>
      <c r="F984" s="14"/>
      <c r="G984" s="14"/>
      <c r="H984" s="15"/>
      <c r="I984" s="1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T984" s="14"/>
      <c r="CW984" s="3"/>
      <c r="DG984" s="4"/>
    </row>
    <row r="985" customFormat="false" ht="11.25" hidden="false" customHeight="true" outlineLevel="0" collapsed="false">
      <c r="A985" s="14"/>
      <c r="B985" s="15"/>
      <c r="C985" s="15"/>
      <c r="D985" s="14"/>
      <c r="E985" s="14"/>
      <c r="F985" s="14"/>
      <c r="G985" s="14"/>
      <c r="H985" s="15"/>
      <c r="I985" s="1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T985" s="14"/>
      <c r="CW985" s="3"/>
      <c r="DG985" s="4"/>
    </row>
    <row r="986" customFormat="false" ht="11.25" hidden="false" customHeight="true" outlineLevel="0" collapsed="false">
      <c r="A986" s="14"/>
      <c r="B986" s="15"/>
      <c r="C986" s="15"/>
      <c r="D986" s="14"/>
      <c r="E986" s="14"/>
      <c r="F986" s="14"/>
      <c r="G986" s="14"/>
      <c r="H986" s="15"/>
      <c r="I986" s="1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T986" s="14"/>
      <c r="CW986" s="3"/>
      <c r="DG986" s="4"/>
    </row>
    <row r="987" customFormat="false" ht="11.25" hidden="false" customHeight="true" outlineLevel="0" collapsed="false">
      <c r="A987" s="14"/>
      <c r="B987" s="15"/>
      <c r="C987" s="15"/>
      <c r="D987" s="14"/>
      <c r="E987" s="14"/>
      <c r="F987" s="14"/>
      <c r="G987" s="14"/>
      <c r="H987" s="15"/>
      <c r="I987" s="1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T987" s="14"/>
      <c r="CW987" s="3"/>
      <c r="DG987" s="4"/>
    </row>
    <row r="988" customFormat="false" ht="11.25" hidden="false" customHeight="true" outlineLevel="0" collapsed="false">
      <c r="A988" s="14"/>
      <c r="B988" s="15"/>
      <c r="C988" s="15"/>
      <c r="D988" s="14"/>
      <c r="E988" s="14"/>
      <c r="F988" s="14"/>
      <c r="G988" s="14"/>
      <c r="H988" s="15"/>
      <c r="I988" s="1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T988" s="14"/>
      <c r="CW988" s="3"/>
      <c r="DG988" s="4"/>
    </row>
    <row r="989" customFormat="false" ht="11.25" hidden="false" customHeight="true" outlineLevel="0" collapsed="false">
      <c r="A989" s="14"/>
      <c r="B989" s="15"/>
      <c r="C989" s="15"/>
      <c r="D989" s="14"/>
      <c r="E989" s="14"/>
      <c r="F989" s="14"/>
      <c r="G989" s="14"/>
      <c r="H989" s="15"/>
      <c r="I989" s="1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T989" s="14"/>
      <c r="CW989" s="3"/>
      <c r="DG989" s="4"/>
    </row>
    <row r="990" customFormat="false" ht="11.25" hidden="false" customHeight="true" outlineLevel="0" collapsed="false">
      <c r="A990" s="14"/>
      <c r="B990" s="15"/>
      <c r="C990" s="15"/>
      <c r="D990" s="14"/>
      <c r="E990" s="14"/>
      <c r="F990" s="14"/>
      <c r="G990" s="14"/>
      <c r="H990" s="15"/>
      <c r="I990" s="1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T990" s="14"/>
      <c r="CW990" s="3"/>
      <c r="DG990" s="4"/>
    </row>
    <row r="991" customFormat="false" ht="11.25" hidden="false" customHeight="true" outlineLevel="0" collapsed="false">
      <c r="A991" s="14"/>
      <c r="B991" s="15"/>
      <c r="C991" s="15"/>
      <c r="D991" s="14"/>
      <c r="E991" s="14"/>
      <c r="F991" s="14"/>
      <c r="G991" s="14"/>
      <c r="H991" s="15"/>
      <c r="I991" s="1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T991" s="14"/>
      <c r="CW991" s="3"/>
      <c r="DG991" s="4"/>
    </row>
    <row r="992" customFormat="false" ht="11.25" hidden="false" customHeight="true" outlineLevel="0" collapsed="false">
      <c r="A992" s="14"/>
      <c r="B992" s="15"/>
      <c r="C992" s="15"/>
      <c r="D992" s="14"/>
      <c r="E992" s="14"/>
      <c r="F992" s="14"/>
      <c r="G992" s="14"/>
      <c r="H992" s="15"/>
      <c r="I992" s="1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T992" s="14"/>
      <c r="CW992" s="3"/>
      <c r="DG992" s="4"/>
    </row>
    <row r="993" customFormat="false" ht="11.25" hidden="false" customHeight="true" outlineLevel="0" collapsed="false">
      <c r="A993" s="14"/>
      <c r="B993" s="15"/>
      <c r="C993" s="15"/>
      <c r="D993" s="14"/>
      <c r="E993" s="14"/>
      <c r="F993" s="14"/>
      <c r="G993" s="14"/>
      <c r="H993" s="15"/>
      <c r="I993" s="1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T993" s="14"/>
      <c r="CW993" s="3"/>
      <c r="DG993" s="4"/>
    </row>
    <row r="994" customFormat="false" ht="11.25" hidden="false" customHeight="true" outlineLevel="0" collapsed="false">
      <c r="A994" s="14"/>
      <c r="B994" s="15"/>
      <c r="C994" s="15"/>
      <c r="D994" s="14"/>
      <c r="E994" s="14"/>
      <c r="F994" s="14"/>
      <c r="G994" s="14"/>
      <c r="H994" s="15"/>
      <c r="I994" s="1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T994" s="14"/>
      <c r="CW994" s="3"/>
      <c r="DG994" s="4"/>
    </row>
    <row r="995" customFormat="false" ht="11.25" hidden="false" customHeight="true" outlineLevel="0" collapsed="false">
      <c r="A995" s="14"/>
      <c r="B995" s="15"/>
      <c r="C995" s="15"/>
      <c r="D995" s="14"/>
      <c r="E995" s="14"/>
      <c r="F995" s="14"/>
      <c r="G995" s="14"/>
      <c r="H995" s="15"/>
      <c r="I995" s="1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T995" s="14"/>
      <c r="CW995" s="3"/>
      <c r="DG995" s="4"/>
    </row>
    <row r="996" customFormat="false" ht="11.25" hidden="false" customHeight="true" outlineLevel="0" collapsed="false">
      <c r="A996" s="14"/>
      <c r="B996" s="15"/>
      <c r="C996" s="15"/>
      <c r="D996" s="14"/>
      <c r="E996" s="14"/>
      <c r="F996" s="14"/>
      <c r="G996" s="14"/>
      <c r="H996" s="15"/>
      <c r="I996" s="1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T996" s="14"/>
      <c r="CW996" s="3"/>
      <c r="DG996" s="4"/>
    </row>
    <row r="997" customFormat="false" ht="11.25" hidden="false" customHeight="true" outlineLevel="0" collapsed="false">
      <c r="A997" s="14"/>
      <c r="B997" s="15"/>
      <c r="C997" s="15"/>
      <c r="D997" s="14"/>
      <c r="E997" s="14"/>
      <c r="F997" s="14"/>
      <c r="G997" s="14"/>
      <c r="H997" s="15"/>
      <c r="I997" s="1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T997" s="14"/>
      <c r="CW997" s="3"/>
      <c r="DG997" s="4"/>
    </row>
    <row r="998" customFormat="false" ht="11.25" hidden="false" customHeight="true" outlineLevel="0" collapsed="false">
      <c r="A998" s="14"/>
      <c r="B998" s="15"/>
      <c r="C998" s="15"/>
      <c r="D998" s="14"/>
      <c r="E998" s="14"/>
      <c r="F998" s="14"/>
      <c r="G998" s="14"/>
      <c r="H998" s="15"/>
      <c r="I998" s="1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T998" s="14"/>
      <c r="CW998" s="3"/>
      <c r="DG998" s="4"/>
    </row>
    <row r="999" customFormat="false" ht="11.25" hidden="false" customHeight="true" outlineLevel="0" collapsed="false">
      <c r="A999" s="14"/>
      <c r="B999" s="15"/>
      <c r="C999" s="15"/>
      <c r="D999" s="14"/>
      <c r="E999" s="14"/>
      <c r="F999" s="14"/>
      <c r="G999" s="14"/>
      <c r="H999" s="15"/>
      <c r="I999" s="1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T999" s="14"/>
      <c r="CW999" s="3"/>
      <c r="DG999" s="4"/>
    </row>
    <row r="1000" customFormat="false" ht="11.25" hidden="false" customHeight="true" outlineLevel="0" collapsed="false">
      <c r="A1000" s="14"/>
      <c r="B1000" s="15"/>
      <c r="C1000" s="15"/>
      <c r="D1000" s="14"/>
      <c r="E1000" s="14"/>
      <c r="F1000" s="14"/>
      <c r="G1000" s="14"/>
      <c r="H1000" s="15"/>
      <c r="I1000" s="1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T1000" s="14"/>
      <c r="CW1000" s="3"/>
      <c r="DG1000" s="4"/>
    </row>
    <row r="1001" customFormat="false" ht="11.25" hidden="false" customHeight="true" outlineLevel="0" collapsed="false">
      <c r="A1001" s="14"/>
      <c r="B1001" s="15"/>
      <c r="C1001" s="15"/>
      <c r="D1001" s="14"/>
      <c r="E1001" s="14"/>
      <c r="F1001" s="14"/>
      <c r="G1001" s="14"/>
      <c r="H1001" s="15"/>
      <c r="I1001" s="1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T1001" s="14"/>
      <c r="CW1001" s="3"/>
      <c r="DG1001" s="4"/>
    </row>
    <row r="1002" customFormat="false" ht="11.25" hidden="false" customHeight="true" outlineLevel="0" collapsed="false">
      <c r="A1002" s="14"/>
      <c r="B1002" s="15"/>
      <c r="C1002" s="15"/>
      <c r="D1002" s="14"/>
      <c r="E1002" s="14"/>
      <c r="F1002" s="14"/>
      <c r="G1002" s="14"/>
      <c r="H1002" s="15"/>
      <c r="I1002" s="1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T1002" s="14"/>
      <c r="CW1002" s="3"/>
      <c r="DG1002" s="4"/>
    </row>
    <row r="1003" customFormat="false" ht="11.25" hidden="false" customHeight="true" outlineLevel="0" collapsed="false">
      <c r="A1003" s="14"/>
      <c r="B1003" s="15"/>
      <c r="C1003" s="15"/>
      <c r="D1003" s="14"/>
      <c r="E1003" s="14"/>
      <c r="F1003" s="14"/>
      <c r="G1003" s="14"/>
      <c r="H1003" s="15"/>
      <c r="I1003" s="1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T1003" s="14"/>
      <c r="CW1003" s="3"/>
      <c r="DG1003" s="4"/>
    </row>
    <row r="1004" customFormat="false" ht="11.25" hidden="false" customHeight="true" outlineLevel="0" collapsed="false">
      <c r="A1004" s="14"/>
      <c r="B1004" s="15"/>
      <c r="C1004" s="15"/>
      <c r="D1004" s="14"/>
      <c r="E1004" s="14"/>
      <c r="F1004" s="14"/>
      <c r="G1004" s="14"/>
      <c r="H1004" s="15"/>
      <c r="I1004" s="1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T1004" s="14"/>
      <c r="CW1004" s="3"/>
      <c r="DG1004" s="4"/>
    </row>
    <row r="1005" customFormat="false" ht="11.25" hidden="false" customHeight="true" outlineLevel="0" collapsed="false">
      <c r="A1005" s="14"/>
      <c r="B1005" s="15"/>
      <c r="C1005" s="15"/>
      <c r="D1005" s="14"/>
      <c r="E1005" s="14"/>
      <c r="F1005" s="14"/>
      <c r="G1005" s="14"/>
      <c r="H1005" s="15"/>
      <c r="I1005" s="1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T1005" s="14"/>
      <c r="CW1005" s="3"/>
      <c r="DG1005" s="4"/>
    </row>
    <row r="1006" customFormat="false" ht="11.25" hidden="false" customHeight="true" outlineLevel="0" collapsed="false">
      <c r="A1006" s="14"/>
      <c r="B1006" s="15"/>
      <c r="C1006" s="15"/>
      <c r="D1006" s="14"/>
      <c r="E1006" s="14"/>
      <c r="F1006" s="14"/>
      <c r="G1006" s="14"/>
      <c r="H1006" s="15"/>
      <c r="I1006" s="1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T1006" s="14"/>
      <c r="CW1006" s="3"/>
      <c r="DG1006" s="4"/>
    </row>
    <row r="1007" customFormat="false" ht="11.25" hidden="false" customHeight="true" outlineLevel="0" collapsed="false">
      <c r="A1007" s="14"/>
      <c r="B1007" s="15"/>
      <c r="C1007" s="15"/>
      <c r="D1007" s="14"/>
      <c r="E1007" s="14"/>
      <c r="F1007" s="14"/>
      <c r="G1007" s="14"/>
      <c r="H1007" s="15"/>
      <c r="I1007" s="1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T1007" s="14"/>
      <c r="CW1007" s="3"/>
      <c r="DG1007" s="4"/>
    </row>
    <row r="1008" customFormat="false" ht="11.25" hidden="false" customHeight="true" outlineLevel="0" collapsed="false">
      <c r="A1008" s="14"/>
      <c r="B1008" s="15"/>
      <c r="C1008" s="15"/>
      <c r="D1008" s="14"/>
      <c r="E1008" s="14"/>
      <c r="F1008" s="14"/>
      <c r="G1008" s="14"/>
      <c r="H1008" s="15"/>
      <c r="I1008" s="1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T1008" s="14"/>
      <c r="CW1008" s="3"/>
      <c r="DG1008" s="4"/>
    </row>
    <row r="1009" customFormat="false" ht="11.25" hidden="false" customHeight="true" outlineLevel="0" collapsed="false">
      <c r="A1009" s="14"/>
      <c r="B1009" s="15"/>
      <c r="C1009" s="15"/>
      <c r="D1009" s="14"/>
      <c r="E1009" s="14"/>
      <c r="F1009" s="14"/>
      <c r="G1009" s="14"/>
      <c r="H1009" s="15"/>
      <c r="I1009" s="1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T1009" s="14"/>
      <c r="CW1009" s="3"/>
      <c r="DG1009" s="4"/>
    </row>
    <row r="1010" customFormat="false" ht="11.25" hidden="false" customHeight="true" outlineLevel="0" collapsed="false">
      <c r="A1010" s="14"/>
      <c r="B1010" s="15"/>
      <c r="C1010" s="15"/>
      <c r="D1010" s="14"/>
      <c r="E1010" s="14"/>
      <c r="F1010" s="14"/>
      <c r="G1010" s="14"/>
      <c r="H1010" s="15"/>
      <c r="I1010" s="1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T1010" s="14"/>
      <c r="CW1010" s="3"/>
      <c r="DG1010" s="4"/>
    </row>
    <row r="1011" customFormat="false" ht="11.25" hidden="false" customHeight="true" outlineLevel="0" collapsed="false">
      <c r="A1011" s="14"/>
      <c r="B1011" s="15"/>
      <c r="C1011" s="15"/>
      <c r="D1011" s="14"/>
      <c r="E1011" s="14"/>
      <c r="F1011" s="14"/>
      <c r="G1011" s="14"/>
      <c r="H1011" s="15"/>
      <c r="I1011" s="1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T1011" s="14"/>
      <c r="CW1011" s="3"/>
      <c r="DG1011" s="4"/>
    </row>
    <row r="1012" customFormat="false" ht="11.25" hidden="false" customHeight="true" outlineLevel="0" collapsed="false">
      <c r="A1012" s="14"/>
      <c r="B1012" s="15"/>
      <c r="C1012" s="15"/>
      <c r="D1012" s="14"/>
      <c r="E1012" s="14"/>
      <c r="F1012" s="14"/>
      <c r="G1012" s="14"/>
      <c r="H1012" s="15"/>
      <c r="I1012" s="1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T1012" s="14"/>
      <c r="CW1012" s="3"/>
      <c r="DG1012" s="4"/>
    </row>
    <row r="1013" customFormat="false" ht="11.25" hidden="false" customHeight="true" outlineLevel="0" collapsed="false">
      <c r="A1013" s="14"/>
      <c r="B1013" s="15"/>
      <c r="C1013" s="15"/>
      <c r="D1013" s="14"/>
      <c r="E1013" s="14"/>
      <c r="F1013" s="14"/>
      <c r="G1013" s="14"/>
      <c r="H1013" s="15"/>
      <c r="I1013" s="15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T1013" s="14"/>
      <c r="CW1013" s="3"/>
      <c r="DG1013" s="4"/>
    </row>
    <row r="1014" customFormat="false" ht="11.25" hidden="false" customHeight="true" outlineLevel="0" collapsed="false">
      <c r="A1014" s="14"/>
      <c r="B1014" s="15"/>
      <c r="C1014" s="15"/>
      <c r="D1014" s="14"/>
      <c r="E1014" s="14"/>
      <c r="F1014" s="14"/>
      <c r="G1014" s="14"/>
      <c r="H1014" s="15"/>
      <c r="I1014" s="15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T1014" s="14"/>
      <c r="CW1014" s="3"/>
      <c r="DG1014" s="4"/>
    </row>
    <row r="1015" customFormat="false" ht="11.25" hidden="false" customHeight="true" outlineLevel="0" collapsed="false">
      <c r="A1015" s="14"/>
      <c r="B1015" s="15"/>
      <c r="C1015" s="15"/>
      <c r="D1015" s="14"/>
      <c r="E1015" s="14"/>
      <c r="F1015" s="14"/>
      <c r="G1015" s="14"/>
      <c r="H1015" s="15"/>
      <c r="I1015" s="15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T1015" s="14"/>
      <c r="CW1015" s="3"/>
      <c r="DG1015" s="4"/>
    </row>
    <row r="1016" customFormat="false" ht="11.25" hidden="false" customHeight="true" outlineLevel="0" collapsed="false">
      <c r="A1016" s="14"/>
      <c r="B1016" s="15"/>
      <c r="C1016" s="15"/>
      <c r="D1016" s="14"/>
      <c r="E1016" s="14"/>
      <c r="F1016" s="14"/>
      <c r="G1016" s="14"/>
      <c r="H1016" s="15"/>
      <c r="I1016" s="15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T1016" s="14"/>
      <c r="CW1016" s="3"/>
      <c r="DG1016" s="4"/>
    </row>
    <row r="1017" customFormat="false" ht="11.25" hidden="false" customHeight="true" outlineLevel="0" collapsed="false">
      <c r="A1017" s="14"/>
      <c r="B1017" s="15"/>
      <c r="C1017" s="15"/>
      <c r="D1017" s="14"/>
      <c r="E1017" s="14"/>
      <c r="F1017" s="14"/>
      <c r="G1017" s="14"/>
      <c r="H1017" s="15"/>
      <c r="I1017" s="15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T1017" s="14"/>
      <c r="CW1017" s="3"/>
      <c r="DG1017" s="4"/>
    </row>
    <row r="1018" customFormat="false" ht="11.25" hidden="false" customHeight="true" outlineLevel="0" collapsed="false">
      <c r="A1018" s="14"/>
      <c r="B1018" s="15"/>
      <c r="C1018" s="15"/>
      <c r="D1018" s="14"/>
      <c r="E1018" s="14"/>
      <c r="F1018" s="14"/>
      <c r="G1018" s="14"/>
      <c r="H1018" s="15"/>
      <c r="I1018" s="15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T1018" s="14"/>
      <c r="CW1018" s="3"/>
      <c r="DG1018" s="4"/>
    </row>
    <row r="1019" customFormat="false" ht="11.25" hidden="false" customHeight="true" outlineLevel="0" collapsed="false">
      <c r="A1019" s="14"/>
      <c r="B1019" s="15"/>
      <c r="C1019" s="15"/>
      <c r="D1019" s="14"/>
      <c r="E1019" s="14"/>
      <c r="F1019" s="14"/>
      <c r="G1019" s="14"/>
      <c r="H1019" s="15"/>
      <c r="I1019" s="15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T1019" s="14"/>
      <c r="CW1019" s="3"/>
      <c r="DG1019" s="4"/>
    </row>
    <row r="1020" customFormat="false" ht="11.25" hidden="false" customHeight="true" outlineLevel="0" collapsed="false">
      <c r="A1020" s="14"/>
      <c r="B1020" s="15"/>
      <c r="C1020" s="15"/>
      <c r="D1020" s="14"/>
      <c r="E1020" s="14"/>
      <c r="F1020" s="14"/>
      <c r="G1020" s="14"/>
      <c r="H1020" s="15"/>
      <c r="I1020" s="15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T1020" s="14"/>
      <c r="CW1020" s="3"/>
      <c r="DG1020" s="4"/>
    </row>
    <row r="1021" customFormat="false" ht="11.25" hidden="false" customHeight="true" outlineLevel="0" collapsed="false">
      <c r="A1021" s="14"/>
      <c r="B1021" s="15"/>
      <c r="C1021" s="15"/>
      <c r="D1021" s="14"/>
      <c r="E1021" s="14"/>
      <c r="F1021" s="14"/>
      <c r="G1021" s="14"/>
      <c r="H1021" s="15"/>
      <c r="I1021" s="15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T1021" s="14"/>
      <c r="CW1021" s="3"/>
      <c r="DG1021" s="4"/>
    </row>
    <row r="1022" customFormat="false" ht="11.25" hidden="false" customHeight="true" outlineLevel="0" collapsed="false">
      <c r="A1022" s="14"/>
      <c r="B1022" s="15"/>
      <c r="C1022" s="15"/>
      <c r="D1022" s="14"/>
      <c r="E1022" s="14"/>
      <c r="F1022" s="14"/>
      <c r="G1022" s="14"/>
      <c r="H1022" s="15"/>
      <c r="I1022" s="15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T1022" s="14"/>
      <c r="CW1022" s="3"/>
      <c r="DG1022" s="4"/>
    </row>
    <row r="1023" customFormat="false" ht="11.25" hidden="false" customHeight="true" outlineLevel="0" collapsed="false">
      <c r="A1023" s="14"/>
      <c r="B1023" s="15"/>
      <c r="C1023" s="15"/>
      <c r="D1023" s="14"/>
      <c r="E1023" s="14"/>
      <c r="F1023" s="14"/>
      <c r="G1023" s="14"/>
      <c r="H1023" s="15"/>
      <c r="I1023" s="15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T1023" s="14"/>
      <c r="CW1023" s="3"/>
      <c r="DG1023" s="4"/>
    </row>
    <row r="1024" customFormat="false" ht="11.25" hidden="false" customHeight="true" outlineLevel="0" collapsed="false">
      <c r="A1024" s="14"/>
      <c r="B1024" s="15"/>
      <c r="C1024" s="15"/>
      <c r="D1024" s="14"/>
      <c r="E1024" s="14"/>
      <c r="F1024" s="14"/>
      <c r="G1024" s="14"/>
      <c r="H1024" s="15"/>
      <c r="I1024" s="15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T1024" s="14"/>
      <c r="CW1024" s="3"/>
      <c r="DG1024" s="4"/>
    </row>
    <row r="1025" customFormat="false" ht="11.25" hidden="false" customHeight="true" outlineLevel="0" collapsed="false">
      <c r="A1025" s="14"/>
      <c r="B1025" s="15"/>
      <c r="C1025" s="15"/>
      <c r="D1025" s="14"/>
      <c r="E1025" s="14"/>
      <c r="F1025" s="14"/>
      <c r="G1025" s="14"/>
      <c r="H1025" s="15"/>
      <c r="I1025" s="15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T1025" s="14"/>
      <c r="CW1025" s="3"/>
      <c r="DG1025" s="4"/>
    </row>
    <row r="1026" customFormat="false" ht="11.25" hidden="false" customHeight="true" outlineLevel="0" collapsed="false">
      <c r="A1026" s="14"/>
      <c r="B1026" s="15"/>
      <c r="C1026" s="15"/>
      <c r="D1026" s="14"/>
      <c r="E1026" s="14"/>
      <c r="F1026" s="14"/>
      <c r="G1026" s="14"/>
      <c r="H1026" s="15"/>
      <c r="I1026" s="15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T1026" s="14"/>
      <c r="CW1026" s="3"/>
      <c r="DG1026" s="4"/>
    </row>
    <row r="1027" customFormat="false" ht="11.25" hidden="false" customHeight="true" outlineLevel="0" collapsed="false">
      <c r="A1027" s="14"/>
      <c r="B1027" s="15"/>
      <c r="C1027" s="15"/>
      <c r="D1027" s="14"/>
      <c r="E1027" s="14"/>
      <c r="F1027" s="14"/>
      <c r="G1027" s="14"/>
      <c r="H1027" s="15"/>
      <c r="I1027" s="15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T1027" s="14"/>
      <c r="CW1027" s="3"/>
      <c r="DG1027" s="4"/>
    </row>
    <row r="1028" customFormat="false" ht="11.25" hidden="false" customHeight="true" outlineLevel="0" collapsed="false">
      <c r="A1028" s="14"/>
      <c r="B1028" s="15"/>
      <c r="C1028" s="15"/>
      <c r="D1028" s="14"/>
      <c r="E1028" s="14"/>
      <c r="F1028" s="14"/>
      <c r="G1028" s="14"/>
      <c r="H1028" s="15"/>
      <c r="I1028" s="15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T1028" s="14"/>
      <c r="CW1028" s="3"/>
      <c r="DG1028" s="4"/>
    </row>
    <row r="1029" customFormat="false" ht="11.25" hidden="false" customHeight="true" outlineLevel="0" collapsed="false">
      <c r="A1029" s="14"/>
      <c r="B1029" s="15"/>
      <c r="C1029" s="15"/>
      <c r="D1029" s="14"/>
      <c r="E1029" s="14"/>
      <c r="F1029" s="14"/>
      <c r="G1029" s="14"/>
      <c r="H1029" s="15"/>
      <c r="I1029" s="15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T1029" s="14"/>
      <c r="CW1029" s="3"/>
      <c r="DG1029" s="4"/>
    </row>
    <row r="1030" customFormat="false" ht="11.25" hidden="false" customHeight="true" outlineLevel="0" collapsed="false">
      <c r="A1030" s="14"/>
      <c r="B1030" s="15"/>
      <c r="C1030" s="15"/>
      <c r="D1030" s="14"/>
      <c r="E1030" s="14"/>
      <c r="F1030" s="14"/>
      <c r="G1030" s="14"/>
      <c r="H1030" s="15"/>
      <c r="I1030" s="15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T1030" s="14"/>
      <c r="CW1030" s="3"/>
      <c r="DG1030" s="4"/>
    </row>
    <row r="1031" customFormat="false" ht="11.25" hidden="false" customHeight="true" outlineLevel="0" collapsed="false">
      <c r="A1031" s="14"/>
      <c r="B1031" s="15"/>
      <c r="C1031" s="15"/>
      <c r="D1031" s="14"/>
      <c r="E1031" s="14"/>
      <c r="F1031" s="14"/>
      <c r="G1031" s="14"/>
      <c r="H1031" s="15"/>
      <c r="I1031" s="15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T1031" s="14"/>
      <c r="CW1031" s="3"/>
      <c r="DG1031" s="4"/>
    </row>
    <row r="1032" customFormat="false" ht="11.25" hidden="false" customHeight="true" outlineLevel="0" collapsed="false">
      <c r="A1032" s="14"/>
      <c r="B1032" s="15"/>
      <c r="C1032" s="15"/>
      <c r="D1032" s="14"/>
      <c r="E1032" s="14"/>
      <c r="F1032" s="14"/>
      <c r="G1032" s="14"/>
      <c r="H1032" s="15"/>
      <c r="I1032" s="15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T1032" s="14"/>
      <c r="CW1032" s="3"/>
      <c r="DG1032" s="4"/>
    </row>
    <row r="1033" customFormat="false" ht="11.25" hidden="false" customHeight="true" outlineLevel="0" collapsed="false">
      <c r="A1033" s="14"/>
      <c r="B1033" s="15"/>
      <c r="C1033" s="15"/>
      <c r="D1033" s="14"/>
      <c r="E1033" s="14"/>
      <c r="F1033" s="14"/>
      <c r="G1033" s="14"/>
      <c r="H1033" s="15"/>
      <c r="I1033" s="15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T1033" s="14"/>
      <c r="CW1033" s="3"/>
      <c r="DG1033" s="4"/>
    </row>
    <row r="1034" customFormat="false" ht="11.25" hidden="false" customHeight="true" outlineLevel="0" collapsed="false">
      <c r="A1034" s="14"/>
      <c r="B1034" s="15"/>
      <c r="C1034" s="15"/>
      <c r="D1034" s="14"/>
      <c r="E1034" s="14"/>
      <c r="F1034" s="14"/>
      <c r="G1034" s="14"/>
      <c r="H1034" s="15"/>
      <c r="I1034" s="15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T1034" s="14"/>
      <c r="CW1034" s="3"/>
      <c r="DG1034" s="4"/>
    </row>
    <row r="1035" customFormat="false" ht="11.25" hidden="false" customHeight="true" outlineLevel="0" collapsed="false">
      <c r="A1035" s="14"/>
      <c r="B1035" s="15"/>
      <c r="C1035" s="15"/>
      <c r="D1035" s="14"/>
      <c r="E1035" s="14"/>
      <c r="F1035" s="14"/>
      <c r="G1035" s="14"/>
      <c r="H1035" s="15"/>
      <c r="I1035" s="15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T1035" s="14"/>
      <c r="CW1035" s="3"/>
      <c r="DG1035" s="4"/>
    </row>
    <row r="1036" customFormat="false" ht="11.25" hidden="false" customHeight="true" outlineLevel="0" collapsed="false">
      <c r="A1036" s="14"/>
      <c r="B1036" s="15"/>
      <c r="C1036" s="15"/>
      <c r="D1036" s="14"/>
      <c r="E1036" s="14"/>
      <c r="F1036" s="14"/>
      <c r="G1036" s="14"/>
      <c r="H1036" s="15"/>
      <c r="I1036" s="15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T1036" s="14"/>
      <c r="CW1036" s="3"/>
      <c r="DG1036" s="4"/>
    </row>
    <row r="1037" customFormat="false" ht="11.25" hidden="false" customHeight="true" outlineLevel="0" collapsed="false">
      <c r="A1037" s="14"/>
      <c r="B1037" s="15"/>
      <c r="C1037" s="15"/>
      <c r="D1037" s="14"/>
      <c r="E1037" s="14"/>
      <c r="F1037" s="14"/>
      <c r="G1037" s="14"/>
      <c r="H1037" s="15"/>
      <c r="I1037" s="15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T1037" s="14"/>
      <c r="CW1037" s="3"/>
      <c r="DG1037" s="4"/>
    </row>
    <row r="1038" customFormat="false" ht="11.25" hidden="false" customHeight="true" outlineLevel="0" collapsed="false">
      <c r="A1038" s="14"/>
      <c r="B1038" s="15"/>
      <c r="C1038" s="15"/>
      <c r="D1038" s="14"/>
      <c r="E1038" s="14"/>
      <c r="F1038" s="14"/>
      <c r="G1038" s="14"/>
      <c r="H1038" s="15"/>
      <c r="I1038" s="15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T1038" s="14"/>
      <c r="CW1038" s="3"/>
      <c r="DG1038" s="4"/>
    </row>
    <row r="1039" customFormat="false" ht="11.25" hidden="false" customHeight="true" outlineLevel="0" collapsed="false">
      <c r="A1039" s="14"/>
      <c r="B1039" s="15"/>
      <c r="C1039" s="15"/>
      <c r="D1039" s="14"/>
      <c r="E1039" s="14"/>
      <c r="F1039" s="14"/>
      <c r="G1039" s="14"/>
      <c r="H1039" s="15"/>
      <c r="I1039" s="15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T1039" s="14"/>
      <c r="CW1039" s="3"/>
      <c r="DG1039" s="4"/>
    </row>
    <row r="1040" customFormat="false" ht="11.25" hidden="false" customHeight="true" outlineLevel="0" collapsed="false">
      <c r="A1040" s="14"/>
      <c r="B1040" s="15"/>
      <c r="C1040" s="15"/>
      <c r="D1040" s="14"/>
      <c r="E1040" s="14"/>
      <c r="F1040" s="14"/>
      <c r="G1040" s="14"/>
      <c r="H1040" s="15"/>
      <c r="I1040" s="15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T1040" s="14"/>
      <c r="CW1040" s="3"/>
      <c r="DG1040" s="4"/>
    </row>
    <row r="1041" customFormat="false" ht="11.25" hidden="false" customHeight="true" outlineLevel="0" collapsed="false">
      <c r="A1041" s="14"/>
      <c r="B1041" s="15"/>
      <c r="C1041" s="15"/>
      <c r="D1041" s="14"/>
      <c r="E1041" s="14"/>
      <c r="F1041" s="14"/>
      <c r="G1041" s="14"/>
      <c r="H1041" s="15"/>
      <c r="I1041" s="15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T1041" s="14"/>
      <c r="CW1041" s="3"/>
      <c r="DG1041" s="4"/>
    </row>
    <row r="1042" customFormat="false" ht="11.25" hidden="false" customHeight="true" outlineLevel="0" collapsed="false">
      <c r="A1042" s="14"/>
      <c r="B1042" s="15"/>
      <c r="C1042" s="15"/>
      <c r="D1042" s="14"/>
      <c r="E1042" s="14"/>
      <c r="F1042" s="14"/>
      <c r="G1042" s="14"/>
      <c r="H1042" s="15"/>
      <c r="I1042" s="15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T1042" s="14"/>
      <c r="CW1042" s="3"/>
      <c r="DG1042" s="4"/>
    </row>
    <row r="1043" customFormat="false" ht="11.25" hidden="false" customHeight="true" outlineLevel="0" collapsed="false">
      <c r="A1043" s="14"/>
      <c r="B1043" s="15"/>
      <c r="C1043" s="15"/>
      <c r="D1043" s="14"/>
      <c r="E1043" s="14"/>
      <c r="F1043" s="14"/>
      <c r="G1043" s="14"/>
      <c r="H1043" s="15"/>
      <c r="I1043" s="15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T1043" s="14"/>
      <c r="CW1043" s="3"/>
      <c r="DG1043" s="4"/>
    </row>
    <row r="1044" customFormat="false" ht="11.25" hidden="false" customHeight="true" outlineLevel="0" collapsed="false">
      <c r="A1044" s="14"/>
      <c r="B1044" s="15"/>
      <c r="C1044" s="15"/>
      <c r="D1044" s="14"/>
      <c r="E1044" s="14"/>
      <c r="F1044" s="14"/>
      <c r="G1044" s="14"/>
      <c r="H1044" s="15"/>
      <c r="I1044" s="15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T1044" s="14"/>
      <c r="CW1044" s="3"/>
      <c r="DG1044" s="4"/>
    </row>
    <row r="1045" customFormat="false" ht="11.25" hidden="false" customHeight="true" outlineLevel="0" collapsed="false">
      <c r="A1045" s="14"/>
      <c r="B1045" s="15"/>
      <c r="C1045" s="15"/>
      <c r="D1045" s="14"/>
      <c r="E1045" s="14"/>
      <c r="F1045" s="14"/>
      <c r="G1045" s="14"/>
      <c r="H1045" s="15"/>
      <c r="I1045" s="15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T1045" s="14"/>
      <c r="CW1045" s="3"/>
      <c r="DG1045" s="4"/>
    </row>
    <row r="1046" customFormat="false" ht="11.25" hidden="false" customHeight="true" outlineLevel="0" collapsed="false">
      <c r="A1046" s="14"/>
      <c r="B1046" s="15"/>
      <c r="C1046" s="15"/>
      <c r="D1046" s="14"/>
      <c r="E1046" s="14"/>
      <c r="F1046" s="14"/>
      <c r="G1046" s="14"/>
      <c r="H1046" s="15"/>
      <c r="I1046" s="15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T1046" s="14"/>
      <c r="CW1046" s="3"/>
      <c r="DG1046" s="4"/>
    </row>
    <row r="1047" customFormat="false" ht="11.25" hidden="false" customHeight="true" outlineLevel="0" collapsed="false">
      <c r="A1047" s="14"/>
      <c r="B1047" s="15"/>
      <c r="C1047" s="15"/>
      <c r="D1047" s="14"/>
      <c r="E1047" s="14"/>
      <c r="F1047" s="14"/>
      <c r="G1047" s="14"/>
      <c r="H1047" s="15"/>
      <c r="I1047" s="15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T1047" s="14"/>
      <c r="CW1047" s="3"/>
      <c r="DG1047" s="4"/>
    </row>
    <row r="1048" customFormat="false" ht="11.25" hidden="false" customHeight="true" outlineLevel="0" collapsed="false">
      <c r="A1048" s="14"/>
      <c r="B1048" s="15"/>
      <c r="C1048" s="15"/>
      <c r="D1048" s="14"/>
      <c r="E1048" s="14"/>
      <c r="F1048" s="14"/>
      <c r="G1048" s="14"/>
      <c r="H1048" s="15"/>
      <c r="I1048" s="15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T1048" s="14"/>
      <c r="CW1048" s="3"/>
      <c r="DG1048" s="4"/>
    </row>
    <row r="1049" customFormat="false" ht="11.25" hidden="false" customHeight="true" outlineLevel="0" collapsed="false">
      <c r="A1049" s="14"/>
      <c r="B1049" s="15"/>
      <c r="C1049" s="15"/>
      <c r="D1049" s="14"/>
      <c r="E1049" s="14"/>
      <c r="F1049" s="14"/>
      <c r="G1049" s="14"/>
      <c r="H1049" s="15"/>
      <c r="I1049" s="15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T1049" s="14"/>
      <c r="CW1049" s="3"/>
      <c r="DG1049" s="4"/>
    </row>
    <row r="1050" customFormat="false" ht="11.25" hidden="false" customHeight="true" outlineLevel="0" collapsed="false">
      <c r="A1050" s="14"/>
      <c r="B1050" s="15"/>
      <c r="C1050" s="15"/>
      <c r="D1050" s="14"/>
      <c r="E1050" s="14"/>
      <c r="F1050" s="14"/>
      <c r="G1050" s="14"/>
      <c r="H1050" s="15"/>
      <c r="I1050" s="15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T1050" s="14"/>
      <c r="CW1050" s="3"/>
      <c r="DG1050" s="4"/>
    </row>
    <row r="1051" customFormat="false" ht="11.25" hidden="false" customHeight="true" outlineLevel="0" collapsed="false">
      <c r="A1051" s="14"/>
      <c r="B1051" s="15"/>
      <c r="C1051" s="15"/>
      <c r="D1051" s="14"/>
      <c r="E1051" s="14"/>
      <c r="F1051" s="14"/>
      <c r="G1051" s="14"/>
      <c r="H1051" s="15"/>
      <c r="I1051" s="15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T1051" s="14"/>
      <c r="CW1051" s="3"/>
      <c r="DG1051" s="4"/>
    </row>
    <row r="1052" customFormat="false" ht="11.25" hidden="false" customHeight="true" outlineLevel="0" collapsed="false">
      <c r="A1052" s="14"/>
      <c r="B1052" s="15"/>
      <c r="C1052" s="15"/>
      <c r="D1052" s="14"/>
      <c r="E1052" s="14"/>
      <c r="F1052" s="14"/>
      <c r="G1052" s="14"/>
      <c r="H1052" s="15"/>
      <c r="I1052" s="15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T1052" s="14"/>
      <c r="CW1052" s="3"/>
      <c r="DG1052" s="4"/>
    </row>
    <row r="1053" customFormat="false" ht="11.25" hidden="false" customHeight="true" outlineLevel="0" collapsed="false">
      <c r="A1053" s="14"/>
      <c r="B1053" s="15"/>
      <c r="C1053" s="15"/>
      <c r="D1053" s="14"/>
      <c r="E1053" s="14"/>
      <c r="F1053" s="14"/>
      <c r="G1053" s="14"/>
      <c r="H1053" s="15"/>
      <c r="I1053" s="15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T1053" s="14"/>
      <c r="CW1053" s="3"/>
      <c r="DG1053" s="4"/>
    </row>
    <row r="1054" customFormat="false" ht="11.25" hidden="false" customHeight="true" outlineLevel="0" collapsed="false">
      <c r="A1054" s="14"/>
      <c r="B1054" s="15"/>
      <c r="C1054" s="15"/>
      <c r="D1054" s="14"/>
      <c r="E1054" s="14"/>
      <c r="F1054" s="14"/>
      <c r="G1054" s="14"/>
      <c r="H1054" s="15"/>
      <c r="I1054" s="15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T1054" s="14"/>
      <c r="CW1054" s="3"/>
      <c r="DG1054" s="4"/>
    </row>
    <row r="1055" customFormat="false" ht="11.25" hidden="false" customHeight="true" outlineLevel="0" collapsed="false">
      <c r="A1055" s="14"/>
      <c r="B1055" s="15"/>
      <c r="C1055" s="15"/>
      <c r="D1055" s="14"/>
      <c r="E1055" s="14"/>
      <c r="F1055" s="14"/>
      <c r="G1055" s="14"/>
      <c r="H1055" s="15"/>
      <c r="I1055" s="15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T1055" s="14"/>
      <c r="CW1055" s="3"/>
      <c r="DG1055" s="4"/>
    </row>
    <row r="1056" customFormat="false" ht="11.25" hidden="false" customHeight="true" outlineLevel="0" collapsed="false">
      <c r="A1056" s="14"/>
      <c r="B1056" s="15"/>
      <c r="C1056" s="15"/>
      <c r="D1056" s="14"/>
      <c r="E1056" s="14"/>
      <c r="F1056" s="14"/>
      <c r="G1056" s="14"/>
      <c r="H1056" s="15"/>
      <c r="I1056" s="15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T1056" s="14"/>
      <c r="CW1056" s="3"/>
      <c r="DG1056" s="4"/>
    </row>
    <row r="1057" customFormat="false" ht="11.25" hidden="false" customHeight="true" outlineLevel="0" collapsed="false">
      <c r="A1057" s="14"/>
      <c r="B1057" s="15"/>
      <c r="C1057" s="15"/>
      <c r="D1057" s="14"/>
      <c r="E1057" s="14"/>
      <c r="F1057" s="14"/>
      <c r="G1057" s="14"/>
      <c r="H1057" s="15"/>
      <c r="I1057" s="15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T1057" s="14"/>
      <c r="CW1057" s="3"/>
      <c r="DG1057" s="4"/>
    </row>
    <row r="1058" customFormat="false" ht="11.25" hidden="false" customHeight="true" outlineLevel="0" collapsed="false">
      <c r="A1058" s="14"/>
      <c r="B1058" s="15"/>
      <c r="C1058" s="15"/>
      <c r="D1058" s="14"/>
      <c r="E1058" s="14"/>
      <c r="F1058" s="14"/>
      <c r="G1058" s="14"/>
      <c r="H1058" s="15"/>
      <c r="I1058" s="15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T1058" s="14"/>
      <c r="CW1058" s="3"/>
      <c r="DG1058" s="4"/>
    </row>
    <row r="1059" customFormat="false" ht="11.25" hidden="false" customHeight="true" outlineLevel="0" collapsed="false">
      <c r="A1059" s="14"/>
      <c r="B1059" s="15"/>
      <c r="C1059" s="15"/>
      <c r="D1059" s="14"/>
      <c r="E1059" s="14"/>
      <c r="F1059" s="14"/>
      <c r="G1059" s="14"/>
      <c r="H1059" s="15"/>
      <c r="I1059" s="15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T1059" s="14"/>
      <c r="CW1059" s="3"/>
      <c r="DG1059" s="4"/>
    </row>
    <row r="1060" customFormat="false" ht="11.25" hidden="false" customHeight="true" outlineLevel="0" collapsed="false">
      <c r="A1060" s="14"/>
      <c r="B1060" s="15"/>
      <c r="C1060" s="15"/>
      <c r="D1060" s="14"/>
      <c r="E1060" s="14"/>
      <c r="F1060" s="14"/>
      <c r="G1060" s="14"/>
      <c r="H1060" s="15"/>
      <c r="I1060" s="15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T1060" s="14"/>
      <c r="CW1060" s="3"/>
      <c r="DG1060" s="4"/>
    </row>
    <row r="1061" customFormat="false" ht="11.25" hidden="false" customHeight="true" outlineLevel="0" collapsed="false">
      <c r="CK1061" s="1"/>
      <c r="CW1061" s="3"/>
      <c r="DG1061" s="4"/>
    </row>
    <row r="1062" customFormat="false" ht="11.25" hidden="false" customHeight="true" outlineLevel="0" collapsed="false">
      <c r="CK1062" s="1"/>
      <c r="CW1062" s="3"/>
      <c r="DG1062" s="4"/>
    </row>
    <row r="1063" customFormat="false" ht="11.25" hidden="false" customHeight="true" outlineLevel="0" collapsed="false">
      <c r="CK1063" s="1"/>
      <c r="CW1063" s="3"/>
      <c r="DG1063" s="4"/>
    </row>
    <row r="1064" customFormat="false" ht="11.25" hidden="false" customHeight="true" outlineLevel="0" collapsed="false">
      <c r="CK1064" s="1"/>
      <c r="CW1064" s="3"/>
      <c r="DG1064" s="4"/>
    </row>
    <row r="1065" customFormat="false" ht="11.25" hidden="false" customHeight="true" outlineLevel="0" collapsed="false">
      <c r="CK1065" s="1"/>
      <c r="CW1065" s="3"/>
      <c r="DG1065" s="4"/>
    </row>
    <row r="1066" customFormat="false" ht="11.25" hidden="false" customHeight="true" outlineLevel="0" collapsed="false">
      <c r="CK1066" s="1"/>
      <c r="CW1066" s="3"/>
      <c r="DG1066" s="4"/>
    </row>
    <row r="1067" customFormat="false" ht="11.25" hidden="false" customHeight="true" outlineLevel="0" collapsed="false">
      <c r="CK1067" s="1"/>
      <c r="CW1067" s="3"/>
      <c r="DG1067" s="4"/>
    </row>
    <row r="1068" customFormat="false" ht="11.25" hidden="false" customHeight="true" outlineLevel="0" collapsed="false">
      <c r="CK1068" s="1"/>
      <c r="CW1068" s="3"/>
      <c r="DG1068" s="4"/>
    </row>
    <row r="1069" customFormat="false" ht="11.25" hidden="false" customHeight="true" outlineLevel="0" collapsed="false">
      <c r="CK1069" s="1"/>
      <c r="CW1069" s="3"/>
      <c r="DG1069" s="4"/>
    </row>
    <row r="1070" customFormat="false" ht="11.25" hidden="false" customHeight="true" outlineLevel="0" collapsed="false">
      <c r="CK1070" s="1"/>
      <c r="CW1070" s="3"/>
      <c r="DG1070" s="4"/>
    </row>
    <row r="1071" customFormat="false" ht="11.25" hidden="false" customHeight="true" outlineLevel="0" collapsed="false">
      <c r="CK1071" s="1"/>
      <c r="CW1071" s="3"/>
      <c r="DG1071" s="4"/>
    </row>
    <row r="1072" customFormat="false" ht="11.25" hidden="false" customHeight="true" outlineLevel="0" collapsed="false">
      <c r="CK1072" s="1"/>
      <c r="CW1072" s="3"/>
      <c r="DG1072" s="4"/>
    </row>
    <row r="1073" customFormat="false" ht="11.25" hidden="false" customHeight="true" outlineLevel="0" collapsed="false">
      <c r="CK1073" s="1"/>
      <c r="CW1073" s="3"/>
      <c r="DG1073" s="4"/>
    </row>
    <row r="1074" customFormat="false" ht="11.25" hidden="false" customHeight="true" outlineLevel="0" collapsed="false">
      <c r="CK1074" s="1"/>
      <c r="CW1074" s="3"/>
      <c r="DG1074" s="4"/>
    </row>
    <row r="1075" customFormat="false" ht="11.25" hidden="false" customHeight="true" outlineLevel="0" collapsed="false">
      <c r="CK1075" s="1"/>
      <c r="CW1075" s="3"/>
      <c r="DG1075" s="4"/>
    </row>
    <row r="1076" customFormat="false" ht="11.25" hidden="false" customHeight="true" outlineLevel="0" collapsed="false">
      <c r="CK1076" s="1"/>
      <c r="CW1076" s="3"/>
      <c r="DG1076" s="4"/>
    </row>
    <row r="1077" customFormat="false" ht="11.25" hidden="false" customHeight="true" outlineLevel="0" collapsed="false">
      <c r="CK1077" s="1"/>
      <c r="CW1077" s="3"/>
      <c r="DG1077" s="4"/>
    </row>
    <row r="1078" customFormat="false" ht="11.25" hidden="false" customHeight="true" outlineLevel="0" collapsed="false">
      <c r="CK1078" s="1"/>
      <c r="CW1078" s="3"/>
      <c r="DG1078" s="4"/>
    </row>
    <row r="1079" customFormat="false" ht="11.25" hidden="false" customHeight="true" outlineLevel="0" collapsed="false">
      <c r="CK1079" s="1"/>
      <c r="CW1079" s="3"/>
      <c r="DG1079" s="4"/>
    </row>
    <row r="1080" customFormat="false" ht="11.25" hidden="false" customHeight="true" outlineLevel="0" collapsed="false">
      <c r="CK1080" s="1"/>
      <c r="CW1080" s="3"/>
      <c r="DG1080" s="4"/>
    </row>
    <row r="1081" customFormat="false" ht="11.25" hidden="false" customHeight="true" outlineLevel="0" collapsed="false">
      <c r="CK1081" s="1"/>
      <c r="CW1081" s="3"/>
      <c r="DG1081" s="4"/>
    </row>
    <row r="1082" customFormat="false" ht="11.25" hidden="false" customHeight="true" outlineLevel="0" collapsed="false">
      <c r="CK1082" s="1"/>
      <c r="CW1082" s="3"/>
      <c r="DG1082" s="4"/>
    </row>
    <row r="1083" customFormat="false" ht="11.25" hidden="false" customHeight="true" outlineLevel="0" collapsed="false">
      <c r="CK1083" s="1"/>
      <c r="CW1083" s="3"/>
      <c r="DG1083" s="4"/>
    </row>
    <row r="1084" customFormat="false" ht="11.25" hidden="false" customHeight="true" outlineLevel="0" collapsed="false">
      <c r="CK1084" s="1"/>
      <c r="CW1084" s="3"/>
      <c r="DG1084" s="4"/>
    </row>
    <row r="1085" customFormat="false" ht="11.25" hidden="false" customHeight="true" outlineLevel="0" collapsed="false">
      <c r="CK1085" s="1"/>
      <c r="CW1085" s="3"/>
      <c r="DG1085" s="4"/>
    </row>
    <row r="1086" customFormat="false" ht="11.25" hidden="false" customHeight="true" outlineLevel="0" collapsed="false">
      <c r="CK1086" s="1"/>
      <c r="CW1086" s="3"/>
      <c r="DG1086" s="4"/>
    </row>
    <row r="1087" customFormat="false" ht="11.25" hidden="false" customHeight="true" outlineLevel="0" collapsed="false">
      <c r="CK1087" s="1"/>
      <c r="CW1087" s="3"/>
      <c r="DG1087" s="4"/>
    </row>
    <row r="1088" customFormat="false" ht="11.25" hidden="false" customHeight="true" outlineLevel="0" collapsed="false">
      <c r="CK1088" s="1"/>
      <c r="CW1088" s="3"/>
      <c r="DG1088" s="4"/>
    </row>
    <row r="1089" customFormat="false" ht="11.25" hidden="false" customHeight="true" outlineLevel="0" collapsed="false">
      <c r="CK1089" s="1"/>
      <c r="CW1089" s="3"/>
      <c r="DG1089" s="4"/>
    </row>
    <row r="1090" customFormat="false" ht="11.25" hidden="false" customHeight="true" outlineLevel="0" collapsed="false">
      <c r="CK1090" s="1"/>
      <c r="CW1090" s="3"/>
      <c r="DG1090" s="4"/>
    </row>
    <row r="1091" customFormat="false" ht="11.25" hidden="false" customHeight="true" outlineLevel="0" collapsed="false">
      <c r="CK1091" s="1"/>
      <c r="CW1091" s="3"/>
      <c r="DG1091" s="4"/>
    </row>
    <row r="1092" customFormat="false" ht="11.25" hidden="false" customHeight="true" outlineLevel="0" collapsed="false">
      <c r="CK1092" s="1"/>
      <c r="CW1092" s="3"/>
      <c r="DG1092" s="4"/>
    </row>
    <row r="1093" customFormat="false" ht="11.25" hidden="false" customHeight="true" outlineLevel="0" collapsed="false">
      <c r="CK1093" s="1"/>
      <c r="CW1093" s="3"/>
      <c r="DG1093" s="4"/>
    </row>
    <row r="1094" customFormat="false" ht="11.25" hidden="false" customHeight="true" outlineLevel="0" collapsed="false">
      <c r="CK1094" s="1"/>
      <c r="CW1094" s="3"/>
      <c r="DG1094" s="4"/>
    </row>
    <row r="1095" customFormat="false" ht="11.25" hidden="false" customHeight="true" outlineLevel="0" collapsed="false">
      <c r="CK1095" s="1"/>
      <c r="CW1095" s="3"/>
      <c r="DG1095" s="4"/>
    </row>
    <row r="1096" customFormat="false" ht="11.25" hidden="false" customHeight="true" outlineLevel="0" collapsed="false">
      <c r="CK1096" s="1"/>
      <c r="CW1096" s="3"/>
      <c r="DG1096" s="4"/>
    </row>
    <row r="1097" customFormat="false" ht="11.25" hidden="false" customHeight="true" outlineLevel="0" collapsed="false">
      <c r="CK1097" s="1"/>
      <c r="CW1097" s="3"/>
      <c r="DG1097" s="4"/>
    </row>
    <row r="1098" customFormat="false" ht="11.25" hidden="false" customHeight="true" outlineLevel="0" collapsed="false">
      <c r="CK1098" s="1"/>
      <c r="CW1098" s="3"/>
      <c r="DG1098" s="4"/>
    </row>
    <row r="1099" customFormat="false" ht="11.25" hidden="false" customHeight="true" outlineLevel="0" collapsed="false">
      <c r="CK1099" s="1"/>
      <c r="CW1099" s="3"/>
      <c r="DG1099" s="4"/>
    </row>
    <row r="1100" customFormat="false" ht="11.25" hidden="false" customHeight="true" outlineLevel="0" collapsed="false">
      <c r="CK1100" s="1"/>
      <c r="CW1100" s="3"/>
      <c r="DG1100" s="4"/>
    </row>
    <row r="1101" customFormat="false" ht="11.25" hidden="false" customHeight="true" outlineLevel="0" collapsed="false">
      <c r="CK1101" s="1"/>
      <c r="CW1101" s="3"/>
      <c r="DG1101" s="4"/>
    </row>
    <row r="1102" customFormat="false" ht="11.25" hidden="false" customHeight="true" outlineLevel="0" collapsed="false"/>
    <row r="1103" customFormat="false" ht="11.25" hidden="false" customHeight="true" outlineLevel="0" collapsed="false"/>
    <row r="1104" customFormat="false" ht="11.25" hidden="false" customHeight="true" outlineLevel="0" collapsed="false"/>
    <row r="1105" customFormat="false" ht="11.25" hidden="false" customHeight="true" outlineLevel="0" collapsed="false"/>
    <row r="1106" customFormat="false" ht="11.25" hidden="false" customHeight="true" outlineLevel="0" collapsed="false"/>
    <row r="1107" customFormat="false" ht="11.25" hidden="false" customHeight="true" outlineLevel="0" collapsed="false"/>
    <row r="1108" customFormat="false" ht="11.25" hidden="false" customHeight="true" outlineLevel="0" collapsed="false"/>
    <row r="1109" customFormat="false" ht="11.25" hidden="false" customHeight="true" outlineLevel="0" collapsed="false"/>
    <row r="1110" customFormat="false" ht="11.25" hidden="false" customHeight="true" outlineLevel="0" collapsed="false"/>
    <row r="1111" customFormat="false" ht="11.25" hidden="false" customHeight="true" outlineLevel="0" collapsed="false"/>
    <row r="1112" customFormat="false" ht="11.25" hidden="false" customHeight="true" outlineLevel="0" collapsed="false"/>
    <row r="1113" customFormat="false" ht="11.25" hidden="false" customHeight="true" outlineLevel="0" collapsed="false"/>
    <row r="1114" customFormat="false" ht="11.25" hidden="false" customHeight="true" outlineLevel="0" collapsed="false"/>
    <row r="1115" customFormat="false" ht="11.25" hidden="false" customHeight="true" outlineLevel="0" collapsed="false"/>
    <row r="1116" customFormat="false" ht="11.25" hidden="false" customHeight="true" outlineLevel="0" collapsed="false"/>
    <row r="1117" customFormat="false" ht="11.25" hidden="false" customHeight="true" outlineLevel="0" collapsed="false"/>
    <row r="1118" customFormat="false" ht="11.25" hidden="false" customHeight="true" outlineLevel="0" collapsed="false"/>
    <row r="1119" customFormat="false" ht="11.25" hidden="false" customHeight="true" outlineLevel="0" collapsed="false"/>
    <row r="1120" customFormat="false" ht="11.25" hidden="false" customHeight="true" outlineLevel="0" collapsed="false"/>
    <row r="1121" customFormat="false" ht="11.25" hidden="false" customHeight="true" outlineLevel="0" collapsed="false"/>
    <row r="1122" customFormat="false" ht="11.25" hidden="false" customHeight="true" outlineLevel="0" collapsed="false"/>
    <row r="1123" customFormat="false" ht="11.25" hidden="false" customHeight="true" outlineLevel="0" collapsed="false"/>
    <row r="1124" customFormat="false" ht="11.25" hidden="false" customHeight="true" outlineLevel="0" collapsed="false"/>
    <row r="1125" customFormat="false" ht="11.25" hidden="false" customHeight="true" outlineLevel="0" collapsed="false"/>
    <row r="1126" customFormat="false" ht="11.25" hidden="false" customHeight="true" outlineLevel="0" collapsed="false"/>
    <row r="1127" customFormat="false" ht="11.25" hidden="false" customHeight="true" outlineLevel="0" collapsed="false"/>
    <row r="1128" customFormat="false" ht="11.25" hidden="false" customHeight="true" outlineLevel="0" collapsed="false"/>
    <row r="1129" customFormat="false" ht="11.25" hidden="false" customHeight="true" outlineLevel="0" collapsed="false"/>
    <row r="1130" customFormat="false" ht="11.25" hidden="false" customHeight="true" outlineLevel="0" collapsed="false"/>
    <row r="1131" customFormat="false" ht="11.25" hidden="false" customHeight="true" outlineLevel="0" collapsed="false"/>
    <row r="1132" customFormat="false" ht="11.25" hidden="false" customHeight="true" outlineLevel="0" collapsed="false"/>
    <row r="1133" customFormat="false" ht="11.25" hidden="false" customHeight="true" outlineLevel="0" collapsed="false"/>
    <row r="1134" customFormat="false" ht="11.25" hidden="false" customHeight="true" outlineLevel="0" collapsed="false"/>
    <row r="1135" customFormat="false" ht="11.25" hidden="false" customHeight="true" outlineLevel="0" collapsed="false"/>
    <row r="1136" customFormat="false" ht="11.25" hidden="false" customHeight="true" outlineLevel="0" collapsed="false"/>
    <row r="1137" customFormat="false" ht="11.25" hidden="false" customHeight="true" outlineLevel="0" collapsed="false"/>
    <row r="1138" customFormat="false" ht="11.25" hidden="false" customHeight="true" outlineLevel="0" collapsed="false"/>
    <row r="1139" customFormat="false" ht="11.25" hidden="false" customHeight="true" outlineLevel="0" collapsed="false"/>
    <row r="1140" customFormat="false" ht="11.25" hidden="false" customHeight="true" outlineLevel="0" collapsed="false"/>
    <row r="1141" customFormat="false" ht="11.25" hidden="false" customHeight="true" outlineLevel="0" collapsed="false"/>
    <row r="1142" customFormat="false" ht="11.25" hidden="false" customHeight="true" outlineLevel="0" collapsed="false"/>
    <row r="1143" customFormat="false" ht="11.25" hidden="false" customHeight="true" outlineLevel="0" collapsed="false"/>
    <row r="1144" customFormat="false" ht="11.25" hidden="false" customHeight="true" outlineLevel="0" collapsed="false"/>
    <row r="1145" customFormat="false" ht="11.25" hidden="false" customHeight="true" outlineLevel="0" collapsed="false"/>
    <row r="1146" customFormat="false" ht="11.25" hidden="false" customHeight="true" outlineLevel="0" collapsed="false"/>
    <row r="1147" customFormat="false" ht="11.25" hidden="false" customHeight="true" outlineLevel="0" collapsed="false"/>
    <row r="1148" customFormat="false" ht="11.25" hidden="false" customHeight="true" outlineLevel="0" collapsed="false"/>
    <row r="1149" customFormat="false" ht="11.25" hidden="false" customHeight="true" outlineLevel="0" collapsed="false"/>
    <row r="1150" customFormat="false" ht="11.25" hidden="false" customHeight="true" outlineLevel="0" collapsed="false"/>
    <row r="1151" customFormat="false" ht="11.25" hidden="false" customHeight="true" outlineLevel="0" collapsed="false"/>
    <row r="1152" customFormat="false" ht="11.25" hidden="false" customHeight="true" outlineLevel="0" collapsed="false"/>
    <row r="1153" customFormat="false" ht="11.25" hidden="false" customHeight="true" outlineLevel="0" collapsed="false"/>
    <row r="1154" customFormat="false" ht="11.25" hidden="false" customHeight="true" outlineLevel="0" collapsed="false"/>
    <row r="1155" customFormat="false" ht="11.25" hidden="false" customHeight="true" outlineLevel="0" collapsed="false"/>
    <row r="1156" customFormat="false" ht="11.25" hidden="false" customHeight="true" outlineLevel="0" collapsed="false"/>
    <row r="1157" customFormat="false" ht="11.25" hidden="false" customHeight="true" outlineLevel="0" collapsed="false"/>
    <row r="1158" customFormat="false" ht="11.25" hidden="false" customHeight="true" outlineLevel="0" collapsed="false"/>
    <row r="1159" customFormat="false" ht="11.25" hidden="false" customHeight="true" outlineLevel="0" collapsed="false"/>
    <row r="1160" customFormat="false" ht="11.25" hidden="false" customHeight="true" outlineLevel="0" collapsed="false"/>
    <row r="1161" customFormat="false" ht="11.25" hidden="false" customHeight="true" outlineLevel="0" collapsed="false"/>
    <row r="1162" customFormat="false" ht="11.25" hidden="false" customHeight="true" outlineLevel="0" collapsed="false"/>
    <row r="1163" customFormat="false" ht="11.25" hidden="false" customHeight="true" outlineLevel="0" collapsed="false"/>
    <row r="1164" customFormat="false" ht="11.25" hidden="false" customHeight="true" outlineLevel="0" collapsed="false"/>
    <row r="1165" customFormat="false" ht="11.25" hidden="false" customHeight="true" outlineLevel="0" collapsed="false"/>
    <row r="1166" customFormat="false" ht="11.25" hidden="false" customHeight="true" outlineLevel="0" collapsed="false"/>
    <row r="1167" customFormat="false" ht="11.25" hidden="false" customHeight="true" outlineLevel="0" collapsed="false"/>
    <row r="1168" customFormat="false" ht="11.25" hidden="false" customHeight="true" outlineLevel="0" collapsed="false"/>
    <row r="1169" customFormat="false" ht="11.25" hidden="false" customHeight="true" outlineLevel="0" collapsed="false"/>
    <row r="1170" customFormat="false" ht="11.25" hidden="false" customHeight="true" outlineLevel="0" collapsed="false"/>
    <row r="1171" customFormat="false" ht="11.25" hidden="false" customHeight="true" outlineLevel="0" collapsed="false"/>
    <row r="1172" customFormat="false" ht="11.25" hidden="false" customHeight="true" outlineLevel="0" collapsed="false"/>
    <row r="1173" customFormat="false" ht="11.25" hidden="false" customHeight="true" outlineLevel="0" collapsed="false"/>
    <row r="1174" customFormat="false" ht="11.25" hidden="false" customHeight="true" outlineLevel="0" collapsed="false"/>
    <row r="1175" customFormat="false" ht="11.25" hidden="false" customHeight="true" outlineLevel="0" collapsed="false"/>
    <row r="1176" customFormat="false" ht="11.25" hidden="false" customHeight="true" outlineLevel="0" collapsed="false"/>
    <row r="1177" customFormat="false" ht="11.25" hidden="false" customHeight="true" outlineLevel="0" collapsed="false"/>
    <row r="1178" customFormat="false" ht="11.25" hidden="false" customHeight="true" outlineLevel="0" collapsed="false"/>
    <row r="1179" customFormat="false" ht="11.25" hidden="false" customHeight="true" outlineLevel="0" collapsed="false"/>
    <row r="1180" customFormat="false" ht="11.25" hidden="false" customHeight="true" outlineLevel="0" collapsed="false"/>
    <row r="1181" customFormat="false" ht="11.25" hidden="false" customHeight="true" outlineLevel="0" collapsed="false"/>
    <row r="1182" customFormat="false" ht="11.25" hidden="false" customHeight="true" outlineLevel="0" collapsed="false"/>
    <row r="1183" customFormat="false" ht="11.25" hidden="false" customHeight="true" outlineLevel="0" collapsed="false"/>
    <row r="1184" customFormat="false" ht="11.25" hidden="false" customHeight="true" outlineLevel="0" collapsed="false"/>
    <row r="1185" customFormat="false" ht="11.25" hidden="false" customHeight="true" outlineLevel="0" collapsed="false"/>
    <row r="1186" customFormat="false" ht="11.25" hidden="false" customHeight="true" outlineLevel="0" collapsed="false"/>
    <row r="1187" customFormat="false" ht="11.25" hidden="false" customHeight="true" outlineLevel="0" collapsed="false"/>
    <row r="1188" customFormat="false" ht="11.25" hidden="false" customHeight="true" outlineLevel="0" collapsed="false"/>
    <row r="1189" customFormat="false" ht="11.25" hidden="false" customHeight="true" outlineLevel="0" collapsed="false"/>
    <row r="1190" customFormat="false" ht="11.25" hidden="false" customHeight="true" outlineLevel="0" collapsed="false"/>
    <row r="1191" customFormat="false" ht="11.25" hidden="false" customHeight="true" outlineLevel="0" collapsed="false"/>
    <row r="1192" customFormat="false" ht="11.25" hidden="false" customHeight="true" outlineLevel="0" collapsed="false"/>
    <row r="1193" customFormat="false" ht="11.25" hidden="false" customHeight="true" outlineLevel="0" collapsed="false"/>
    <row r="1194" customFormat="false" ht="11.25" hidden="false" customHeight="true" outlineLevel="0" collapsed="false"/>
    <row r="1195" customFormat="false" ht="11.25" hidden="false" customHeight="true" outlineLevel="0" collapsed="false"/>
    <row r="1196" customFormat="false" ht="11.25" hidden="false" customHeight="true" outlineLevel="0" collapsed="false"/>
    <row r="1197" customFormat="false" ht="11.25" hidden="false" customHeight="true" outlineLevel="0" collapsed="false"/>
    <row r="1198" customFormat="false" ht="11.25" hidden="false" customHeight="true" outlineLevel="0" collapsed="false"/>
    <row r="1199" customFormat="false" ht="11.25" hidden="false" customHeight="true" outlineLevel="0" collapsed="false"/>
    <row r="1200" customFormat="false" ht="11.25" hidden="false" customHeight="true" outlineLevel="0" collapsed="false"/>
    <row r="1201" customFormat="false" ht="11.25" hidden="false" customHeight="true" outlineLevel="0" collapsed="false"/>
    <row r="1202" customFormat="false" ht="11.25" hidden="false" customHeight="true" outlineLevel="0" collapsed="false"/>
    <row r="1203" customFormat="false" ht="11.25" hidden="false" customHeight="true" outlineLevel="0" collapsed="false"/>
    <row r="1204" customFormat="false" ht="11.25" hidden="false" customHeight="true" outlineLevel="0" collapsed="false"/>
    <row r="1205" customFormat="false" ht="11.25" hidden="false" customHeight="true" outlineLevel="0" collapsed="false"/>
    <row r="1206" customFormat="false" ht="11.25" hidden="false" customHeight="true" outlineLevel="0" collapsed="false"/>
    <row r="1207" customFormat="false" ht="11.25" hidden="false" customHeight="true" outlineLevel="0" collapsed="false"/>
    <row r="1208" customFormat="false" ht="11.25" hidden="false" customHeight="true" outlineLevel="0" collapsed="false"/>
    <row r="1209" customFormat="false" ht="11.25" hidden="false" customHeight="true" outlineLevel="0" collapsed="false"/>
    <row r="1210" customFormat="false" ht="11.25" hidden="false" customHeight="true" outlineLevel="0" collapsed="false"/>
    <row r="1211" customFormat="false" ht="11.25" hidden="false" customHeight="true" outlineLevel="0" collapsed="false"/>
    <row r="1212" customFormat="false" ht="11.25" hidden="false" customHeight="true" outlineLevel="0" collapsed="false"/>
    <row r="1213" customFormat="false" ht="11.25" hidden="false" customHeight="true" outlineLevel="0" collapsed="false"/>
    <row r="1214" customFormat="false" ht="11.25" hidden="false" customHeight="true" outlineLevel="0" collapsed="false"/>
    <row r="1215" customFormat="false" ht="11.25" hidden="false" customHeight="true" outlineLevel="0" collapsed="false"/>
    <row r="1216" customFormat="false" ht="11.25" hidden="false" customHeight="true" outlineLevel="0" collapsed="false"/>
    <row r="1217" customFormat="false" ht="11.25" hidden="false" customHeight="true" outlineLevel="0" collapsed="false"/>
    <row r="1218" customFormat="false" ht="11.25" hidden="false" customHeight="true" outlineLevel="0" collapsed="false"/>
    <row r="1219" customFormat="false" ht="11.25" hidden="false" customHeight="true" outlineLevel="0" collapsed="false"/>
    <row r="1220" customFormat="false" ht="11.25" hidden="false" customHeight="true" outlineLevel="0" collapsed="false"/>
    <row r="1221" customFormat="false" ht="11.25" hidden="false" customHeight="true" outlineLevel="0" collapsed="false"/>
    <row r="1222" customFormat="false" ht="11.25" hidden="false" customHeight="true" outlineLevel="0" collapsed="false"/>
    <row r="1223" customFormat="false" ht="11.25" hidden="false" customHeight="true" outlineLevel="0" collapsed="false"/>
    <row r="1224" customFormat="false" ht="11.25" hidden="false" customHeight="true" outlineLevel="0" collapsed="false"/>
    <row r="1225" customFormat="false" ht="11.25" hidden="false" customHeight="true" outlineLevel="0" collapsed="false"/>
    <row r="1226" customFormat="false" ht="11.25" hidden="false" customHeight="true" outlineLevel="0" collapsed="false"/>
    <row r="1227" customFormat="false" ht="11.25" hidden="false" customHeight="true" outlineLevel="0" collapsed="false"/>
    <row r="1228" customFormat="false" ht="11.25" hidden="false" customHeight="true" outlineLevel="0" collapsed="false"/>
    <row r="1229" customFormat="false" ht="11.25" hidden="false" customHeight="true" outlineLevel="0" collapsed="false"/>
    <row r="1230" customFormat="false" ht="11.25" hidden="false" customHeight="true" outlineLevel="0" collapsed="false"/>
    <row r="1231" customFormat="false" ht="11.25" hidden="false" customHeight="true" outlineLevel="0" collapsed="false"/>
    <row r="1232" customFormat="false" ht="11.25" hidden="false" customHeight="true" outlineLevel="0" collapsed="false"/>
    <row r="1233" customFormat="false" ht="11.25" hidden="false" customHeight="true" outlineLevel="0" collapsed="false"/>
    <row r="1234" customFormat="false" ht="11.25" hidden="false" customHeight="true" outlineLevel="0" collapsed="false"/>
    <row r="1235" customFormat="false" ht="11.25" hidden="false" customHeight="true" outlineLevel="0" collapsed="false"/>
    <row r="1236" customFormat="false" ht="11.25" hidden="false" customHeight="true" outlineLevel="0" collapsed="false"/>
    <row r="1237" customFormat="false" ht="11.25" hidden="false" customHeight="true" outlineLevel="0" collapsed="false"/>
    <row r="1238" customFormat="false" ht="11.25" hidden="false" customHeight="true" outlineLevel="0" collapsed="false"/>
    <row r="1239" customFormat="false" ht="11.25" hidden="false" customHeight="true" outlineLevel="0" collapsed="false"/>
    <row r="1240" customFormat="false" ht="11.25" hidden="false" customHeight="true" outlineLevel="0" collapsed="false"/>
    <row r="1241" customFormat="false" ht="11.25" hidden="false" customHeight="true" outlineLevel="0" collapsed="false"/>
    <row r="1242" customFormat="false" ht="11.25" hidden="false" customHeight="true" outlineLevel="0" collapsed="false"/>
    <row r="1243" customFormat="false" ht="11.25" hidden="false" customHeight="true" outlineLevel="0" collapsed="false"/>
    <row r="1244" customFormat="false" ht="11.25" hidden="false" customHeight="true" outlineLevel="0" collapsed="false"/>
    <row r="1245" customFormat="false" ht="11.25" hidden="false" customHeight="true" outlineLevel="0" collapsed="false"/>
    <row r="1246" customFormat="false" ht="11.25" hidden="false" customHeight="true" outlineLevel="0" collapsed="false"/>
    <row r="1247" customFormat="false" ht="11.25" hidden="false" customHeight="true" outlineLevel="0" collapsed="false"/>
    <row r="1248" customFormat="false" ht="11.25" hidden="false" customHeight="true" outlineLevel="0" collapsed="false"/>
    <row r="1249" customFormat="false" ht="11.25" hidden="false" customHeight="true" outlineLevel="0" collapsed="false"/>
    <row r="1250" customFormat="false" ht="11.25" hidden="false" customHeight="true" outlineLevel="0" collapsed="false"/>
    <row r="1251" customFormat="false" ht="11.25" hidden="false" customHeight="true" outlineLevel="0" collapsed="false"/>
    <row r="1252" customFormat="false" ht="11.25" hidden="false" customHeight="true" outlineLevel="0" collapsed="false"/>
    <row r="1253" customFormat="false" ht="11.25" hidden="false" customHeight="true" outlineLevel="0" collapsed="false"/>
    <row r="1254" customFormat="false" ht="11.25" hidden="false" customHeight="true" outlineLevel="0" collapsed="false"/>
    <row r="1255" customFormat="false" ht="11.25" hidden="false" customHeight="true" outlineLevel="0" collapsed="false"/>
    <row r="1256" customFormat="false" ht="11.25" hidden="false" customHeight="true" outlineLevel="0" collapsed="false"/>
    <row r="1257" customFormat="false" ht="11.25" hidden="false" customHeight="true" outlineLevel="0" collapsed="false"/>
    <row r="1258" customFormat="false" ht="11.25" hidden="false" customHeight="true" outlineLevel="0" collapsed="false"/>
    <row r="1259" customFormat="false" ht="11.25" hidden="false" customHeight="true" outlineLevel="0" collapsed="false"/>
    <row r="1260" customFormat="false" ht="11.25" hidden="false" customHeight="true" outlineLevel="0" collapsed="false"/>
    <row r="1261" customFormat="false" ht="11.25" hidden="false" customHeight="true" outlineLevel="0" collapsed="false"/>
    <row r="1262" customFormat="false" ht="11.25" hidden="false" customHeight="true" outlineLevel="0" collapsed="false"/>
    <row r="1263" customFormat="false" ht="11.25" hidden="false" customHeight="true" outlineLevel="0" collapsed="false"/>
    <row r="1264" customFormat="false" ht="11.25" hidden="false" customHeight="true" outlineLevel="0" collapsed="false"/>
    <row r="1265" customFormat="false" ht="11.25" hidden="false" customHeight="true" outlineLevel="0" collapsed="false"/>
    <row r="1266" customFormat="false" ht="11.25" hidden="false" customHeight="true" outlineLevel="0" collapsed="false"/>
    <row r="1267" customFormat="false" ht="11.25" hidden="false" customHeight="true" outlineLevel="0" collapsed="false"/>
    <row r="1268" customFormat="false" ht="11.25" hidden="false" customHeight="true" outlineLevel="0" collapsed="false"/>
    <row r="1269" customFormat="false" ht="11.25" hidden="false" customHeight="true" outlineLevel="0" collapsed="false"/>
    <row r="1270" customFormat="false" ht="11.25" hidden="false" customHeight="true" outlineLevel="0" collapsed="false"/>
    <row r="1271" customFormat="false" ht="11.25" hidden="false" customHeight="true" outlineLevel="0" collapsed="false"/>
    <row r="1272" customFormat="false" ht="11.25" hidden="false" customHeight="true" outlineLevel="0" collapsed="false"/>
    <row r="1273" customFormat="false" ht="11.25" hidden="false" customHeight="true" outlineLevel="0" collapsed="false"/>
    <row r="1274" customFormat="false" ht="11.25" hidden="false" customHeight="true" outlineLevel="0" collapsed="false"/>
    <row r="1275" customFormat="false" ht="11.25" hidden="false" customHeight="true" outlineLevel="0" collapsed="false"/>
    <row r="1276" customFormat="false" ht="11.25" hidden="false" customHeight="true" outlineLevel="0" collapsed="false"/>
    <row r="1277" customFormat="false" ht="11.25" hidden="false" customHeight="true" outlineLevel="0" collapsed="false"/>
    <row r="1278" customFormat="false" ht="11.25" hidden="false" customHeight="true" outlineLevel="0" collapsed="false"/>
    <row r="1279" customFormat="false" ht="11.25" hidden="false" customHeight="true" outlineLevel="0" collapsed="false"/>
    <row r="1280" customFormat="false" ht="11.25" hidden="false" customHeight="true" outlineLevel="0" collapsed="false"/>
    <row r="1281" customFormat="false" ht="11.25" hidden="false" customHeight="true" outlineLevel="0" collapsed="false"/>
    <row r="1282" customFormat="false" ht="11.25" hidden="false" customHeight="true" outlineLevel="0" collapsed="false"/>
    <row r="1283" customFormat="false" ht="11.25" hidden="false" customHeight="true" outlineLevel="0" collapsed="false"/>
    <row r="1284" customFormat="false" ht="11.25" hidden="false" customHeight="true" outlineLevel="0" collapsed="false"/>
    <row r="1285" customFormat="false" ht="11.25" hidden="false" customHeight="true" outlineLevel="0" collapsed="false"/>
    <row r="1286" customFormat="false" ht="11.25" hidden="false" customHeight="true" outlineLevel="0" collapsed="false"/>
    <row r="1287" customFormat="false" ht="11.25" hidden="false" customHeight="true" outlineLevel="0" collapsed="false"/>
    <row r="1288" customFormat="false" ht="11.25" hidden="false" customHeight="true" outlineLevel="0" collapsed="false"/>
    <row r="1289" customFormat="false" ht="11.25" hidden="false" customHeight="true" outlineLevel="0" collapsed="false"/>
    <row r="1290" customFormat="false" ht="11.25" hidden="false" customHeight="true" outlineLevel="0" collapsed="false"/>
    <row r="1291" customFormat="false" ht="11.25" hidden="false" customHeight="true" outlineLevel="0" collapsed="false"/>
    <row r="1292" customFormat="false" ht="11.25" hidden="false" customHeight="true" outlineLevel="0" collapsed="false"/>
    <row r="1293" customFormat="false" ht="11.25" hidden="false" customHeight="true" outlineLevel="0" collapsed="false"/>
    <row r="1294" customFormat="false" ht="11.25" hidden="false" customHeight="true" outlineLevel="0" collapsed="false"/>
    <row r="1295" customFormat="false" ht="11.25" hidden="false" customHeight="true" outlineLevel="0" collapsed="false"/>
    <row r="1296" customFormat="false" ht="11.25" hidden="false" customHeight="true" outlineLevel="0" collapsed="false"/>
    <row r="1297" customFormat="false" ht="11.25" hidden="false" customHeight="true" outlineLevel="0" collapsed="false"/>
    <row r="1298" customFormat="false" ht="11.25" hidden="false" customHeight="true" outlineLevel="0" collapsed="false"/>
    <row r="1299" customFormat="false" ht="11.25" hidden="false" customHeight="true" outlineLevel="0" collapsed="false"/>
    <row r="1300" customFormat="false" ht="11.25" hidden="false" customHeight="true" outlineLevel="0" collapsed="false"/>
    <row r="1301" customFormat="false" ht="11.25" hidden="false" customHeight="true" outlineLevel="0" collapsed="false"/>
    <row r="1302" customFormat="false" ht="11.25" hidden="false" customHeight="true" outlineLevel="0" collapsed="false"/>
    <row r="1303" customFormat="false" ht="11.25" hidden="false" customHeight="true" outlineLevel="0" collapsed="false"/>
    <row r="1304" customFormat="false" ht="11.25" hidden="false" customHeight="true" outlineLevel="0" collapsed="false"/>
    <row r="1305" customFormat="false" ht="11.25" hidden="false" customHeight="true" outlineLevel="0" collapsed="false"/>
    <row r="1306" customFormat="false" ht="11.25" hidden="false" customHeight="true" outlineLevel="0" collapsed="false"/>
    <row r="1307" customFormat="false" ht="11.25" hidden="false" customHeight="true" outlineLevel="0" collapsed="false"/>
    <row r="1308" customFormat="false" ht="11.25" hidden="false" customHeight="true" outlineLevel="0" collapsed="false"/>
    <row r="1309" customFormat="false" ht="11.25" hidden="false" customHeight="true" outlineLevel="0" collapsed="false"/>
    <row r="1310" customFormat="false" ht="11.25" hidden="false" customHeight="true" outlineLevel="0" collapsed="false"/>
    <row r="1311" customFormat="false" ht="11.25" hidden="false" customHeight="true" outlineLevel="0" collapsed="false"/>
    <row r="1312" customFormat="false" ht="11.25" hidden="false" customHeight="true" outlineLevel="0" collapsed="false"/>
    <row r="1313" customFormat="false" ht="11.25" hidden="false" customHeight="true" outlineLevel="0" collapsed="false"/>
    <row r="1314" customFormat="false" ht="11.25" hidden="false" customHeight="true" outlineLevel="0" collapsed="false"/>
    <row r="1315" customFormat="false" ht="11.25" hidden="false" customHeight="true" outlineLevel="0" collapsed="false"/>
    <row r="1316" customFormat="false" ht="11.25" hidden="false" customHeight="true" outlineLevel="0" collapsed="false"/>
    <row r="1317" customFormat="false" ht="11.25" hidden="false" customHeight="true" outlineLevel="0" collapsed="false"/>
    <row r="1318" customFormat="false" ht="11.25" hidden="false" customHeight="true" outlineLevel="0" collapsed="false"/>
    <row r="1319" customFormat="false" ht="11.25" hidden="false" customHeight="true" outlineLevel="0" collapsed="false"/>
    <row r="1320" customFormat="false" ht="11.25" hidden="false" customHeight="true" outlineLevel="0" collapsed="false"/>
    <row r="1321" customFormat="false" ht="11.25" hidden="false" customHeight="true" outlineLevel="0" collapsed="false"/>
    <row r="1322" customFormat="false" ht="11.25" hidden="false" customHeight="true" outlineLevel="0" collapsed="false"/>
    <row r="1323" customFormat="false" ht="11.25" hidden="false" customHeight="true" outlineLevel="0" collapsed="false"/>
    <row r="1324" customFormat="false" ht="11.25" hidden="false" customHeight="true" outlineLevel="0" collapsed="false"/>
    <row r="1325" customFormat="false" ht="11.25" hidden="false" customHeight="true" outlineLevel="0" collapsed="false"/>
    <row r="1326" customFormat="false" ht="11.25" hidden="false" customHeight="true" outlineLevel="0" collapsed="false"/>
    <row r="1327" customFormat="false" ht="11.25" hidden="false" customHeight="true" outlineLevel="0" collapsed="false"/>
    <row r="1328" customFormat="false" ht="11.25" hidden="false" customHeight="true" outlineLevel="0" collapsed="false"/>
    <row r="1329" customFormat="false" ht="11.25" hidden="false" customHeight="true" outlineLevel="0" collapsed="false"/>
    <row r="1330" customFormat="false" ht="11.25" hidden="false" customHeight="true" outlineLevel="0" collapsed="false"/>
    <row r="1331" customFormat="false" ht="11.25" hidden="false" customHeight="true" outlineLevel="0" collapsed="false"/>
    <row r="1332" customFormat="false" ht="11.25" hidden="false" customHeight="true" outlineLevel="0" collapsed="false"/>
    <row r="1333" customFormat="false" ht="11.25" hidden="false" customHeight="true" outlineLevel="0" collapsed="false"/>
    <row r="1334" customFormat="false" ht="11.25" hidden="false" customHeight="true" outlineLevel="0" collapsed="false"/>
    <row r="1335" customFormat="false" ht="11.25" hidden="false" customHeight="true" outlineLevel="0" collapsed="false"/>
    <row r="1336" customFormat="false" ht="11.25" hidden="false" customHeight="true" outlineLevel="0" collapsed="false"/>
    <row r="1337" customFormat="false" ht="11.25" hidden="false" customHeight="true" outlineLevel="0" collapsed="false"/>
    <row r="1338" customFormat="false" ht="11.25" hidden="false" customHeight="true" outlineLevel="0" collapsed="false"/>
    <row r="1339" customFormat="false" ht="11.25" hidden="false" customHeight="true" outlineLevel="0" collapsed="false"/>
    <row r="1340" customFormat="false" ht="11.25" hidden="false" customHeight="true" outlineLevel="0" collapsed="false"/>
    <row r="1341" customFormat="false" ht="11.25" hidden="false" customHeight="true" outlineLevel="0" collapsed="false"/>
    <row r="1342" customFormat="false" ht="11.25" hidden="false" customHeight="true" outlineLevel="0" collapsed="false"/>
    <row r="1343" customFormat="false" ht="11.25" hidden="false" customHeight="true" outlineLevel="0" collapsed="false"/>
    <row r="1344" customFormat="false" ht="11.25" hidden="false" customHeight="true" outlineLevel="0" collapsed="false"/>
    <row r="1345" customFormat="false" ht="11.25" hidden="false" customHeight="true" outlineLevel="0" collapsed="false"/>
    <row r="1346" customFormat="false" ht="11.25" hidden="false" customHeight="true" outlineLevel="0" collapsed="false"/>
    <row r="1347" customFormat="false" ht="11.25" hidden="false" customHeight="true" outlineLevel="0" collapsed="false"/>
    <row r="1348" customFormat="false" ht="11.25" hidden="false" customHeight="true" outlineLevel="0" collapsed="false"/>
    <row r="1349" customFormat="false" ht="11.25" hidden="false" customHeight="true" outlineLevel="0" collapsed="false"/>
    <row r="1350" customFormat="false" ht="11.25" hidden="false" customHeight="true" outlineLevel="0" collapsed="false"/>
    <row r="1351" customFormat="false" ht="11.25" hidden="false" customHeight="true" outlineLevel="0" collapsed="false"/>
    <row r="1352" customFormat="false" ht="11.25" hidden="false" customHeight="true" outlineLevel="0" collapsed="false"/>
    <row r="1353" customFormat="false" ht="11.25" hidden="false" customHeight="true" outlineLevel="0" collapsed="false"/>
    <row r="1354" customFormat="false" ht="11.25" hidden="false" customHeight="true" outlineLevel="0" collapsed="false"/>
    <row r="1355" customFormat="false" ht="11.25" hidden="false" customHeight="true" outlineLevel="0" collapsed="false"/>
    <row r="1356" customFormat="false" ht="11.25" hidden="false" customHeight="true" outlineLevel="0" collapsed="false"/>
    <row r="1357" customFormat="false" ht="11.25" hidden="false" customHeight="true" outlineLevel="0" collapsed="false"/>
    <row r="1358" customFormat="false" ht="11.25" hidden="false" customHeight="true" outlineLevel="0" collapsed="false"/>
    <row r="1359" customFormat="false" ht="11.25" hidden="false" customHeight="true" outlineLevel="0" collapsed="false"/>
    <row r="1360" customFormat="false" ht="11.25" hidden="false" customHeight="true" outlineLevel="0" collapsed="false"/>
    <row r="1361" customFormat="false" ht="11.25" hidden="false" customHeight="true" outlineLevel="0" collapsed="false"/>
    <row r="1362" customFormat="false" ht="11.25" hidden="false" customHeight="true" outlineLevel="0" collapsed="false"/>
    <row r="1363" customFormat="false" ht="11.25" hidden="false" customHeight="true" outlineLevel="0" collapsed="false"/>
    <row r="1364" customFormat="false" ht="11.25" hidden="false" customHeight="true" outlineLevel="0" collapsed="false"/>
    <row r="1365" customFormat="false" ht="11.25" hidden="false" customHeight="true" outlineLevel="0" collapsed="false"/>
    <row r="1366" customFormat="false" ht="11.25" hidden="false" customHeight="true" outlineLevel="0" collapsed="false"/>
    <row r="1367" customFormat="false" ht="11.25" hidden="false" customHeight="true" outlineLevel="0" collapsed="false"/>
    <row r="1368" customFormat="false" ht="11.25" hidden="false" customHeight="true" outlineLevel="0" collapsed="false"/>
    <row r="1369" customFormat="false" ht="11.25" hidden="false" customHeight="true" outlineLevel="0" collapsed="false"/>
    <row r="1370" customFormat="false" ht="11.25" hidden="false" customHeight="true" outlineLevel="0" collapsed="false"/>
    <row r="1371" customFormat="false" ht="11.25" hidden="false" customHeight="true" outlineLevel="0" collapsed="false"/>
    <row r="1372" customFormat="false" ht="11.25" hidden="false" customHeight="true" outlineLevel="0" collapsed="false"/>
    <row r="1373" customFormat="false" ht="11.25" hidden="false" customHeight="true" outlineLevel="0" collapsed="false"/>
    <row r="1374" customFormat="false" ht="11.25" hidden="false" customHeight="true" outlineLevel="0" collapsed="false"/>
    <row r="1375" customFormat="false" ht="11.25" hidden="false" customHeight="true" outlineLevel="0" collapsed="false"/>
    <row r="1376" customFormat="false" ht="11.25" hidden="false" customHeight="true" outlineLevel="0" collapsed="false"/>
    <row r="1377" customFormat="false" ht="11.25" hidden="false" customHeight="true" outlineLevel="0" collapsed="false"/>
    <row r="1378" customFormat="false" ht="11.25" hidden="false" customHeight="true" outlineLevel="0" collapsed="false"/>
    <row r="1379" customFormat="false" ht="11.25" hidden="false" customHeight="true" outlineLevel="0" collapsed="false"/>
    <row r="1380" customFormat="false" ht="11.25" hidden="false" customHeight="true" outlineLevel="0" collapsed="false"/>
    <row r="1381" customFormat="false" ht="11.25" hidden="false" customHeight="true" outlineLevel="0" collapsed="false"/>
    <row r="1382" customFormat="false" ht="11.25" hidden="false" customHeight="true" outlineLevel="0" collapsed="false"/>
    <row r="1383" customFormat="false" ht="11.25" hidden="false" customHeight="true" outlineLevel="0" collapsed="false"/>
    <row r="1384" customFormat="false" ht="11.25" hidden="false" customHeight="true" outlineLevel="0" collapsed="false"/>
    <row r="1385" customFormat="false" ht="11.25" hidden="false" customHeight="true" outlineLevel="0" collapsed="false"/>
    <row r="1386" customFormat="false" ht="11.25" hidden="false" customHeight="true" outlineLevel="0" collapsed="false"/>
    <row r="1387" customFormat="false" ht="11.25" hidden="false" customHeight="true" outlineLevel="0" collapsed="false"/>
    <row r="1388" customFormat="false" ht="11.25" hidden="false" customHeight="true" outlineLevel="0" collapsed="false"/>
    <row r="1389" customFormat="false" ht="11.25" hidden="false" customHeight="true" outlineLevel="0" collapsed="false"/>
    <row r="1390" customFormat="false" ht="11.25" hidden="false" customHeight="true" outlineLevel="0" collapsed="false"/>
    <row r="1391" customFormat="false" ht="11.25" hidden="false" customHeight="true" outlineLevel="0" collapsed="false"/>
    <row r="1392" customFormat="false" ht="11.25" hidden="false" customHeight="true" outlineLevel="0" collapsed="false"/>
    <row r="1393" customFormat="false" ht="11.25" hidden="false" customHeight="true" outlineLevel="0" collapsed="false"/>
    <row r="1394" customFormat="false" ht="11.25" hidden="false" customHeight="true" outlineLevel="0" collapsed="false"/>
    <row r="1395" customFormat="false" ht="11.25" hidden="false" customHeight="true" outlineLevel="0" collapsed="false"/>
    <row r="1396" customFormat="false" ht="11.25" hidden="false" customHeight="true" outlineLevel="0" collapsed="false"/>
    <row r="1397" customFormat="false" ht="11.25" hidden="false" customHeight="true" outlineLevel="0" collapsed="false"/>
    <row r="1398" customFormat="false" ht="11.25" hidden="false" customHeight="true" outlineLevel="0" collapsed="false"/>
    <row r="1399" customFormat="false" ht="11.25" hidden="false" customHeight="true" outlineLevel="0" collapsed="false"/>
    <row r="1400" customFormat="false" ht="11.25" hidden="false" customHeight="true" outlineLevel="0" collapsed="false"/>
    <row r="1401" customFormat="false" ht="11.25" hidden="false" customHeight="true" outlineLevel="0" collapsed="false"/>
    <row r="1402" customFormat="false" ht="11.25" hidden="false" customHeight="true" outlineLevel="0" collapsed="false"/>
    <row r="1403" customFormat="false" ht="11.25" hidden="false" customHeight="true" outlineLevel="0" collapsed="false"/>
    <row r="1404" customFormat="false" ht="11.25" hidden="false" customHeight="true" outlineLevel="0" collapsed="false"/>
    <row r="1405" customFormat="false" ht="11.25" hidden="false" customHeight="true" outlineLevel="0" collapsed="false"/>
    <row r="1406" customFormat="false" ht="11.25" hidden="false" customHeight="true" outlineLevel="0" collapsed="false"/>
    <row r="1407" customFormat="false" ht="11.25" hidden="false" customHeight="true" outlineLevel="0" collapsed="false"/>
    <row r="1408" customFormat="false" ht="11.25" hidden="false" customHeight="true" outlineLevel="0" collapsed="false"/>
    <row r="1409" customFormat="false" ht="11.25" hidden="false" customHeight="true" outlineLevel="0" collapsed="false"/>
    <row r="1410" customFormat="false" ht="11.25" hidden="false" customHeight="true" outlineLevel="0" collapsed="false"/>
    <row r="1411" customFormat="false" ht="11.25" hidden="false" customHeight="true" outlineLevel="0" collapsed="false"/>
    <row r="1412" customFormat="false" ht="11.25" hidden="false" customHeight="true" outlineLevel="0" collapsed="false"/>
    <row r="1413" customFormat="false" ht="11.25" hidden="false" customHeight="true" outlineLevel="0" collapsed="false"/>
    <row r="1414" customFormat="false" ht="11.25" hidden="false" customHeight="true" outlineLevel="0" collapsed="false"/>
    <row r="1415" customFormat="false" ht="11.25" hidden="false" customHeight="true" outlineLevel="0" collapsed="false"/>
    <row r="1416" customFormat="false" ht="11.25" hidden="false" customHeight="true" outlineLevel="0" collapsed="false"/>
    <row r="1417" customFormat="false" ht="11.25" hidden="false" customHeight="true" outlineLevel="0" collapsed="false"/>
    <row r="1418" customFormat="false" ht="11.25" hidden="false" customHeight="true" outlineLevel="0" collapsed="false"/>
    <row r="1419" customFormat="false" ht="11.25" hidden="false" customHeight="true" outlineLevel="0" collapsed="false"/>
    <row r="1420" customFormat="false" ht="11.25" hidden="false" customHeight="true" outlineLevel="0" collapsed="false"/>
    <row r="1421" customFormat="false" ht="11.25" hidden="false" customHeight="true" outlineLevel="0" collapsed="false"/>
    <row r="1422" customFormat="false" ht="11.25" hidden="false" customHeight="true" outlineLevel="0" collapsed="false"/>
    <row r="1423" customFormat="false" ht="11.25" hidden="false" customHeight="true" outlineLevel="0" collapsed="false"/>
    <row r="1424" customFormat="false" ht="11.25" hidden="false" customHeight="true" outlineLevel="0" collapsed="false"/>
    <row r="1425" customFormat="false" ht="11.25" hidden="false" customHeight="true" outlineLevel="0" collapsed="false"/>
    <row r="1426" customFormat="false" ht="11.25" hidden="false" customHeight="true" outlineLevel="0" collapsed="false"/>
    <row r="1427" customFormat="false" ht="11.25" hidden="false" customHeight="true" outlineLevel="0" collapsed="false"/>
    <row r="1428" customFormat="false" ht="11.25" hidden="false" customHeight="true" outlineLevel="0" collapsed="false"/>
    <row r="1429" customFormat="false" ht="11.25" hidden="false" customHeight="true" outlineLevel="0" collapsed="false"/>
    <row r="1430" customFormat="false" ht="11.25" hidden="false" customHeight="true" outlineLevel="0" collapsed="false"/>
    <row r="1431" customFormat="false" ht="11.25" hidden="false" customHeight="true" outlineLevel="0" collapsed="false"/>
    <row r="1432" customFormat="false" ht="11.25" hidden="false" customHeight="true" outlineLevel="0" collapsed="false"/>
    <row r="1433" customFormat="false" ht="11.25" hidden="false" customHeight="true" outlineLevel="0" collapsed="false"/>
    <row r="1434" customFormat="false" ht="11.25" hidden="false" customHeight="true" outlineLevel="0" collapsed="false"/>
    <row r="1435" customFormat="false" ht="11.25" hidden="false" customHeight="true" outlineLevel="0" collapsed="false"/>
    <row r="1436" customFormat="false" ht="11.25" hidden="false" customHeight="true" outlineLevel="0" collapsed="false"/>
    <row r="1437" customFormat="false" ht="11.25" hidden="false" customHeight="true" outlineLevel="0" collapsed="false"/>
    <row r="1438" customFormat="false" ht="11.25" hidden="false" customHeight="true" outlineLevel="0" collapsed="false"/>
    <row r="1439" customFormat="false" ht="11.25" hidden="false" customHeight="true" outlineLevel="0" collapsed="false"/>
    <row r="1440" customFormat="false" ht="11.25" hidden="false" customHeight="true" outlineLevel="0" collapsed="false"/>
    <row r="1441" customFormat="false" ht="11.25" hidden="false" customHeight="true" outlineLevel="0" collapsed="false"/>
    <row r="1442" customFormat="false" ht="11.25" hidden="false" customHeight="true" outlineLevel="0" collapsed="false"/>
    <row r="1443" customFormat="false" ht="11.25" hidden="false" customHeight="true" outlineLevel="0" collapsed="false"/>
    <row r="1444" customFormat="false" ht="11.25" hidden="false" customHeight="true" outlineLevel="0" collapsed="false"/>
    <row r="1445" customFormat="false" ht="11.25" hidden="false" customHeight="true" outlineLevel="0" collapsed="false"/>
    <row r="1446" customFormat="false" ht="11.25" hidden="false" customHeight="true" outlineLevel="0" collapsed="false"/>
    <row r="1447" customFormat="false" ht="11.25" hidden="false" customHeight="true" outlineLevel="0" collapsed="false"/>
    <row r="1448" customFormat="false" ht="11.25" hidden="false" customHeight="true" outlineLevel="0" collapsed="false"/>
    <row r="1449" customFormat="false" ht="11.25" hidden="false" customHeight="true" outlineLevel="0" collapsed="false"/>
    <row r="1450" customFormat="false" ht="11.25" hidden="false" customHeight="true" outlineLevel="0" collapsed="false"/>
    <row r="1451" customFormat="false" ht="11.25" hidden="false" customHeight="true" outlineLevel="0" collapsed="false"/>
    <row r="1452" customFormat="false" ht="11.25" hidden="false" customHeight="true" outlineLevel="0" collapsed="false"/>
    <row r="1453" customFormat="false" ht="11.25" hidden="false" customHeight="true" outlineLevel="0" collapsed="false"/>
    <row r="1454" customFormat="false" ht="11.25" hidden="false" customHeight="true" outlineLevel="0" collapsed="false"/>
    <row r="1455" customFormat="false" ht="11.25" hidden="false" customHeight="true" outlineLevel="0" collapsed="false"/>
    <row r="1456" customFormat="false" ht="11.25" hidden="false" customHeight="true" outlineLevel="0" collapsed="false"/>
    <row r="1457" customFormat="false" ht="11.25" hidden="false" customHeight="true" outlineLevel="0" collapsed="false"/>
    <row r="1458" customFormat="false" ht="11.25" hidden="false" customHeight="true" outlineLevel="0" collapsed="false"/>
    <row r="1459" customFormat="false" ht="11.25" hidden="false" customHeight="true" outlineLevel="0" collapsed="false"/>
    <row r="1460" customFormat="false" ht="11.25" hidden="false" customHeight="true" outlineLevel="0" collapsed="false"/>
    <row r="1461" customFormat="false" ht="11.25" hidden="false" customHeight="true" outlineLevel="0" collapsed="false"/>
    <row r="1462" customFormat="false" ht="11.25" hidden="false" customHeight="true" outlineLevel="0" collapsed="false"/>
    <row r="1463" customFormat="false" ht="11.25" hidden="false" customHeight="true" outlineLevel="0" collapsed="false"/>
    <row r="1464" customFormat="false" ht="11.25" hidden="false" customHeight="true" outlineLevel="0" collapsed="false"/>
    <row r="1465" customFormat="false" ht="11.25" hidden="false" customHeight="true" outlineLevel="0" collapsed="false"/>
    <row r="1466" customFormat="false" ht="11.25" hidden="false" customHeight="true" outlineLevel="0" collapsed="false"/>
    <row r="1467" customFormat="false" ht="11.25" hidden="false" customHeight="true" outlineLevel="0" collapsed="false"/>
    <row r="1468" customFormat="false" ht="11.25" hidden="false" customHeight="true" outlineLevel="0" collapsed="false"/>
    <row r="1469" customFormat="false" ht="11.25" hidden="false" customHeight="true" outlineLevel="0" collapsed="false"/>
    <row r="1470" customFormat="false" ht="11.25" hidden="false" customHeight="true" outlineLevel="0" collapsed="false"/>
    <row r="1471" customFormat="false" ht="11.25" hidden="false" customHeight="true" outlineLevel="0" collapsed="false"/>
    <row r="1472" customFormat="false" ht="11.25" hidden="false" customHeight="true" outlineLevel="0" collapsed="false"/>
    <row r="1473" customFormat="false" ht="11.25" hidden="false" customHeight="true" outlineLevel="0" collapsed="false"/>
    <row r="1474" customFormat="false" ht="11.25" hidden="false" customHeight="true" outlineLevel="0" collapsed="false"/>
    <row r="1475" customFormat="false" ht="11.25" hidden="false" customHeight="true" outlineLevel="0" collapsed="false"/>
    <row r="1476" customFormat="false" ht="11.25" hidden="false" customHeight="true" outlineLevel="0" collapsed="false"/>
    <row r="1477" customFormat="false" ht="11.25" hidden="false" customHeight="true" outlineLevel="0" collapsed="false"/>
    <row r="1478" customFormat="false" ht="11.25" hidden="false" customHeight="true" outlineLevel="0" collapsed="false"/>
    <row r="1479" customFormat="false" ht="11.25" hidden="false" customHeight="true" outlineLevel="0" collapsed="false"/>
    <row r="1480" customFormat="false" ht="11.25" hidden="false" customHeight="true" outlineLevel="0" collapsed="false"/>
    <row r="1481" customFormat="false" ht="11.25" hidden="false" customHeight="true" outlineLevel="0" collapsed="false"/>
    <row r="1482" customFormat="false" ht="11.25" hidden="false" customHeight="true" outlineLevel="0" collapsed="false"/>
    <row r="1483" customFormat="false" ht="11.25" hidden="false" customHeight="true" outlineLevel="0" collapsed="false"/>
    <row r="1484" customFormat="false" ht="11.25" hidden="false" customHeight="true" outlineLevel="0" collapsed="false"/>
    <row r="1485" customFormat="false" ht="11.25" hidden="false" customHeight="true" outlineLevel="0" collapsed="false"/>
    <row r="1486" customFormat="false" ht="11.25" hidden="false" customHeight="true" outlineLevel="0" collapsed="false"/>
    <row r="1487" customFormat="false" ht="11.25" hidden="false" customHeight="true" outlineLevel="0" collapsed="false"/>
    <row r="1488" customFormat="false" ht="11.25" hidden="false" customHeight="true" outlineLevel="0" collapsed="false"/>
    <row r="1489" customFormat="false" ht="11.25" hidden="false" customHeight="true" outlineLevel="0" collapsed="false"/>
    <row r="1490" customFormat="false" ht="11.25" hidden="false" customHeight="true" outlineLevel="0" collapsed="false"/>
    <row r="1491" customFormat="false" ht="11.25" hidden="false" customHeight="true" outlineLevel="0" collapsed="false"/>
    <row r="1492" customFormat="false" ht="11.25" hidden="false" customHeight="true" outlineLevel="0" collapsed="false"/>
    <row r="1493" customFormat="false" ht="11.25" hidden="false" customHeight="true" outlineLevel="0" collapsed="false"/>
    <row r="1494" customFormat="false" ht="11.25" hidden="false" customHeight="true" outlineLevel="0" collapsed="false"/>
    <row r="1495" customFormat="false" ht="11.25" hidden="false" customHeight="true" outlineLevel="0" collapsed="false"/>
    <row r="1496" customFormat="false" ht="11.25" hidden="false" customHeight="true" outlineLevel="0" collapsed="false"/>
    <row r="1497" customFormat="false" ht="11.25" hidden="false" customHeight="true" outlineLevel="0" collapsed="false"/>
    <row r="1498" customFormat="false" ht="11.25" hidden="false" customHeight="true" outlineLevel="0" collapsed="false"/>
    <row r="1499" customFormat="false" ht="11.25" hidden="false" customHeight="true" outlineLevel="0" collapsed="false"/>
    <row r="1500" customFormat="false" ht="11.25" hidden="false" customHeight="true" outlineLevel="0" collapsed="false"/>
    <row r="1501" customFormat="false" ht="11.25" hidden="false" customHeight="true" outlineLevel="0" collapsed="false"/>
    <row r="1502" customFormat="false" ht="11.25" hidden="false" customHeight="true" outlineLevel="0" collapsed="false"/>
    <row r="1503" customFormat="false" ht="11.25" hidden="false" customHeight="true" outlineLevel="0" collapsed="false"/>
    <row r="1504" customFormat="false" ht="11.25" hidden="false" customHeight="true" outlineLevel="0" collapsed="false"/>
    <row r="1505" customFormat="false" ht="11.25" hidden="false" customHeight="true" outlineLevel="0" collapsed="false"/>
    <row r="1506" customFormat="false" ht="11.25" hidden="false" customHeight="true" outlineLevel="0" collapsed="false"/>
    <row r="1507" customFormat="false" ht="11.25" hidden="false" customHeight="true" outlineLevel="0" collapsed="false"/>
    <row r="1508" customFormat="false" ht="11.25" hidden="false" customHeight="true" outlineLevel="0" collapsed="false"/>
    <row r="1509" customFormat="false" ht="11.25" hidden="false" customHeight="true" outlineLevel="0" collapsed="false"/>
    <row r="1510" customFormat="false" ht="11.25" hidden="false" customHeight="true" outlineLevel="0" collapsed="false"/>
    <row r="1511" customFormat="false" ht="11.25" hidden="false" customHeight="true" outlineLevel="0" collapsed="false"/>
    <row r="1512" customFormat="false" ht="11.25" hidden="false" customHeight="true" outlineLevel="0" collapsed="false"/>
    <row r="1513" customFormat="false" ht="11.25" hidden="false" customHeight="true" outlineLevel="0" collapsed="false"/>
    <row r="1514" customFormat="false" ht="11.25" hidden="false" customHeight="true" outlineLevel="0" collapsed="false"/>
    <row r="1515" customFormat="false" ht="11.25" hidden="false" customHeight="true" outlineLevel="0" collapsed="false"/>
    <row r="1516" customFormat="false" ht="11.25" hidden="false" customHeight="true" outlineLevel="0" collapsed="false"/>
    <row r="1517" customFormat="false" ht="11.25" hidden="false" customHeight="true" outlineLevel="0" collapsed="false"/>
    <row r="1518" customFormat="false" ht="11.25" hidden="false" customHeight="true" outlineLevel="0" collapsed="false"/>
    <row r="1519" customFormat="false" ht="11.25" hidden="false" customHeight="true" outlineLevel="0" collapsed="false"/>
    <row r="1520" customFormat="false" ht="11.25" hidden="false" customHeight="true" outlineLevel="0" collapsed="false"/>
    <row r="1521" customFormat="false" ht="11.25" hidden="false" customHeight="true" outlineLevel="0" collapsed="false"/>
    <row r="1522" customFormat="false" ht="11.25" hidden="false" customHeight="true" outlineLevel="0" collapsed="false"/>
    <row r="1523" customFormat="false" ht="11.25" hidden="false" customHeight="true" outlineLevel="0" collapsed="false"/>
    <row r="1524" customFormat="false" ht="11.25" hidden="false" customHeight="true" outlineLevel="0" collapsed="false"/>
    <row r="1525" customFormat="false" ht="11.25" hidden="false" customHeight="true" outlineLevel="0" collapsed="false"/>
    <row r="1526" customFormat="false" ht="11.25" hidden="false" customHeight="true" outlineLevel="0" collapsed="false"/>
    <row r="1527" customFormat="false" ht="11.25" hidden="false" customHeight="true" outlineLevel="0" collapsed="false"/>
    <row r="1528" customFormat="false" ht="11.25" hidden="false" customHeight="true" outlineLevel="0" collapsed="false"/>
    <row r="1529" customFormat="false" ht="11.25" hidden="false" customHeight="true" outlineLevel="0" collapsed="false"/>
    <row r="1530" customFormat="false" ht="11.25" hidden="false" customHeight="true" outlineLevel="0" collapsed="false"/>
    <row r="1531" customFormat="false" ht="11.25" hidden="false" customHeight="true" outlineLevel="0" collapsed="false"/>
    <row r="1532" customFormat="false" ht="11.25" hidden="false" customHeight="true" outlineLevel="0" collapsed="false"/>
    <row r="1533" customFormat="false" ht="11.25" hidden="false" customHeight="true" outlineLevel="0" collapsed="false"/>
    <row r="1534" customFormat="false" ht="11.25" hidden="false" customHeight="true" outlineLevel="0" collapsed="false"/>
    <row r="1535" customFormat="false" ht="11.25" hidden="false" customHeight="true" outlineLevel="0" collapsed="false"/>
    <row r="1536" customFormat="false" ht="11.25" hidden="false" customHeight="true" outlineLevel="0" collapsed="false"/>
    <row r="1537" customFormat="false" ht="11.25" hidden="false" customHeight="true" outlineLevel="0" collapsed="false"/>
    <row r="1538" customFormat="false" ht="11.25" hidden="false" customHeight="true" outlineLevel="0" collapsed="false"/>
    <row r="1539" customFormat="false" ht="11.25" hidden="false" customHeight="true" outlineLevel="0" collapsed="false"/>
    <row r="1540" customFormat="false" ht="11.25" hidden="false" customHeight="true" outlineLevel="0" collapsed="false"/>
    <row r="1541" customFormat="false" ht="11.25" hidden="false" customHeight="true" outlineLevel="0" collapsed="false"/>
    <row r="1542" customFormat="false" ht="11.25" hidden="false" customHeight="true" outlineLevel="0" collapsed="false"/>
    <row r="1543" customFormat="false" ht="11.25" hidden="false" customHeight="true" outlineLevel="0" collapsed="false"/>
    <row r="1544" customFormat="false" ht="11.25" hidden="false" customHeight="true" outlineLevel="0" collapsed="false"/>
    <row r="1545" customFormat="false" ht="11.25" hidden="false" customHeight="true" outlineLevel="0" collapsed="false"/>
    <row r="1546" customFormat="false" ht="11.25" hidden="false" customHeight="true" outlineLevel="0" collapsed="false"/>
    <row r="1547" customFormat="false" ht="11.25" hidden="false" customHeight="true" outlineLevel="0" collapsed="false"/>
    <row r="1548" customFormat="false" ht="11.25" hidden="false" customHeight="true" outlineLevel="0" collapsed="false"/>
    <row r="1549" customFormat="false" ht="11.25" hidden="false" customHeight="true" outlineLevel="0" collapsed="false"/>
    <row r="1550" customFormat="false" ht="11.25" hidden="false" customHeight="true" outlineLevel="0" collapsed="false"/>
    <row r="1551" customFormat="false" ht="11.25" hidden="false" customHeight="true" outlineLevel="0" collapsed="false"/>
    <row r="1552" customFormat="false" ht="11.25" hidden="false" customHeight="true" outlineLevel="0" collapsed="false"/>
    <row r="1553" customFormat="false" ht="11.25" hidden="false" customHeight="true" outlineLevel="0" collapsed="false"/>
    <row r="1554" customFormat="false" ht="11.25" hidden="false" customHeight="true" outlineLevel="0" collapsed="false"/>
    <row r="1555" customFormat="false" ht="11.25" hidden="false" customHeight="true" outlineLevel="0" collapsed="false"/>
    <row r="1556" customFormat="false" ht="11.25" hidden="false" customHeight="true" outlineLevel="0" collapsed="false"/>
    <row r="1557" customFormat="false" ht="11.25" hidden="false" customHeight="true" outlineLevel="0" collapsed="false"/>
    <row r="1558" customFormat="false" ht="11.25" hidden="false" customHeight="true" outlineLevel="0" collapsed="false"/>
    <row r="1559" customFormat="false" ht="11.25" hidden="false" customHeight="true" outlineLevel="0" collapsed="false"/>
    <row r="1560" customFormat="false" ht="11.25" hidden="false" customHeight="true" outlineLevel="0" collapsed="false"/>
    <row r="1561" customFormat="false" ht="11.25" hidden="false" customHeight="true" outlineLevel="0" collapsed="false"/>
    <row r="1562" customFormat="false" ht="11.25" hidden="false" customHeight="true" outlineLevel="0" collapsed="false"/>
    <row r="1563" customFormat="false" ht="11.25" hidden="false" customHeight="true" outlineLevel="0" collapsed="false"/>
    <row r="1564" customFormat="false" ht="11.25" hidden="false" customHeight="true" outlineLevel="0" collapsed="false"/>
    <row r="1565" customFormat="false" ht="11.25" hidden="false" customHeight="true" outlineLevel="0" collapsed="false"/>
    <row r="1566" customFormat="false" ht="11.25" hidden="false" customHeight="true" outlineLevel="0" collapsed="false"/>
    <row r="1567" customFormat="false" ht="11.25" hidden="false" customHeight="true" outlineLevel="0" collapsed="false"/>
    <row r="1568" customFormat="false" ht="11.25" hidden="false" customHeight="true" outlineLevel="0" collapsed="false"/>
    <row r="1569" customFormat="false" ht="11.25" hidden="false" customHeight="true" outlineLevel="0" collapsed="false"/>
    <row r="1570" customFormat="false" ht="11.25" hidden="false" customHeight="true" outlineLevel="0" collapsed="false"/>
    <row r="1571" customFormat="false" ht="11.25" hidden="false" customHeight="true" outlineLevel="0" collapsed="false"/>
    <row r="1572" customFormat="false" ht="11.25" hidden="false" customHeight="true" outlineLevel="0" collapsed="false"/>
    <row r="1573" customFormat="false" ht="11.25" hidden="false" customHeight="true" outlineLevel="0" collapsed="false"/>
    <row r="1574" customFormat="false" ht="11.25" hidden="false" customHeight="true" outlineLevel="0" collapsed="false"/>
    <row r="1575" customFormat="false" ht="11.25" hidden="false" customHeight="true" outlineLevel="0" collapsed="false"/>
    <row r="1576" customFormat="false" ht="11.25" hidden="false" customHeight="true" outlineLevel="0" collapsed="false"/>
    <row r="1577" customFormat="false" ht="11.25" hidden="false" customHeight="true" outlineLevel="0" collapsed="false"/>
    <row r="1578" customFormat="false" ht="11.25" hidden="false" customHeight="true" outlineLevel="0" collapsed="false"/>
    <row r="1579" customFormat="false" ht="11.25" hidden="false" customHeight="true" outlineLevel="0" collapsed="false"/>
    <row r="1580" customFormat="false" ht="11.25" hidden="false" customHeight="true" outlineLevel="0" collapsed="false"/>
    <row r="1581" customFormat="false" ht="11.25" hidden="false" customHeight="true" outlineLevel="0" collapsed="false"/>
    <row r="1582" customFormat="false" ht="11.25" hidden="false" customHeight="true" outlineLevel="0" collapsed="false"/>
    <row r="1583" customFormat="false" ht="11.25" hidden="false" customHeight="true" outlineLevel="0" collapsed="false"/>
    <row r="1584" customFormat="false" ht="11.25" hidden="false" customHeight="true" outlineLevel="0" collapsed="false"/>
    <row r="1585" customFormat="false" ht="11.25" hidden="false" customHeight="true" outlineLevel="0" collapsed="false"/>
    <row r="1586" customFormat="false" ht="11.25" hidden="false" customHeight="true" outlineLevel="0" collapsed="false"/>
    <row r="1587" customFormat="false" ht="11.25" hidden="false" customHeight="true" outlineLevel="0" collapsed="false"/>
    <row r="1588" customFormat="false" ht="11.25" hidden="false" customHeight="true" outlineLevel="0" collapsed="false"/>
    <row r="1589" customFormat="false" ht="11.25" hidden="false" customHeight="true" outlineLevel="0" collapsed="false"/>
    <row r="1590" customFormat="false" ht="11.25" hidden="false" customHeight="true" outlineLevel="0" collapsed="false"/>
    <row r="1591" customFormat="false" ht="11.25" hidden="false" customHeight="true" outlineLevel="0" collapsed="false"/>
    <row r="1592" customFormat="false" ht="11.25" hidden="false" customHeight="true" outlineLevel="0" collapsed="false"/>
    <row r="1593" customFormat="false" ht="11.25" hidden="false" customHeight="true" outlineLevel="0" collapsed="false"/>
    <row r="1594" customFormat="false" ht="11.25" hidden="false" customHeight="true" outlineLevel="0" collapsed="false"/>
    <row r="1595" customFormat="false" ht="11.25" hidden="false" customHeight="true" outlineLevel="0" collapsed="false"/>
    <row r="1596" customFormat="false" ht="11.25" hidden="false" customHeight="true" outlineLevel="0" collapsed="false"/>
    <row r="1597" customFormat="false" ht="11.25" hidden="false" customHeight="true" outlineLevel="0" collapsed="false"/>
    <row r="1598" customFormat="false" ht="11.25" hidden="false" customHeight="true" outlineLevel="0" collapsed="false"/>
    <row r="1599" customFormat="false" ht="11.25" hidden="false" customHeight="true" outlineLevel="0" collapsed="false"/>
    <row r="1600" customFormat="false" ht="11.25" hidden="false" customHeight="true" outlineLevel="0" collapsed="false"/>
    <row r="1601" customFormat="false" ht="11.25" hidden="false" customHeight="true" outlineLevel="0" collapsed="false"/>
    <row r="1602" customFormat="false" ht="11.25" hidden="false" customHeight="true" outlineLevel="0" collapsed="false"/>
    <row r="1603" customFormat="false" ht="11.25" hidden="false" customHeight="true" outlineLevel="0" collapsed="false"/>
    <row r="1604" customFormat="false" ht="11.25" hidden="false" customHeight="true" outlineLevel="0" collapsed="false"/>
    <row r="1605" customFormat="false" ht="11.25" hidden="false" customHeight="true" outlineLevel="0" collapsed="false"/>
    <row r="1606" customFormat="false" ht="11.25" hidden="false" customHeight="true" outlineLevel="0" collapsed="false"/>
    <row r="1607" customFormat="false" ht="11.25" hidden="false" customHeight="true" outlineLevel="0" collapsed="false"/>
    <row r="1608" customFormat="false" ht="11.25" hidden="false" customHeight="true" outlineLevel="0" collapsed="false"/>
    <row r="1609" customFormat="false" ht="11.25" hidden="false" customHeight="true" outlineLevel="0" collapsed="false"/>
    <row r="1610" customFormat="false" ht="11.25" hidden="false" customHeight="true" outlineLevel="0" collapsed="false"/>
    <row r="1611" customFormat="false" ht="11.25" hidden="false" customHeight="true" outlineLevel="0" collapsed="false"/>
    <row r="1612" customFormat="false" ht="11.25" hidden="false" customHeight="true" outlineLevel="0" collapsed="false"/>
    <row r="1613" customFormat="false" ht="11.25" hidden="false" customHeight="true" outlineLevel="0" collapsed="false"/>
    <row r="1614" customFormat="false" ht="11.25" hidden="false" customHeight="true" outlineLevel="0" collapsed="false"/>
    <row r="1615" customFormat="false" ht="11.25" hidden="false" customHeight="true" outlineLevel="0" collapsed="false"/>
    <row r="1616" customFormat="false" ht="11.25" hidden="false" customHeight="true" outlineLevel="0" collapsed="false"/>
    <row r="1617" customFormat="false" ht="11.25" hidden="false" customHeight="true" outlineLevel="0" collapsed="false"/>
    <row r="1618" customFormat="false" ht="11.25" hidden="false" customHeight="true" outlineLevel="0" collapsed="false"/>
    <row r="1619" customFormat="false" ht="11.25" hidden="false" customHeight="true" outlineLevel="0" collapsed="false"/>
    <row r="1620" customFormat="false" ht="11.25" hidden="false" customHeight="true" outlineLevel="0" collapsed="false"/>
    <row r="1621" customFormat="false" ht="11.25" hidden="false" customHeight="true" outlineLevel="0" collapsed="false"/>
    <row r="1622" customFormat="false" ht="11.25" hidden="false" customHeight="true" outlineLevel="0" collapsed="false"/>
    <row r="1623" customFormat="false" ht="11.25" hidden="false" customHeight="true" outlineLevel="0" collapsed="false"/>
    <row r="1624" customFormat="false" ht="11.25" hidden="false" customHeight="true" outlineLevel="0" collapsed="false"/>
    <row r="1625" customFormat="false" ht="11.25" hidden="false" customHeight="true" outlineLevel="0" collapsed="false"/>
    <row r="1626" customFormat="false" ht="11.25" hidden="false" customHeight="true" outlineLevel="0" collapsed="false"/>
    <row r="1627" customFormat="false" ht="11.25" hidden="false" customHeight="true" outlineLevel="0" collapsed="false"/>
    <row r="1628" customFormat="false" ht="11.25" hidden="false" customHeight="true" outlineLevel="0" collapsed="false"/>
    <row r="1629" customFormat="false" ht="11.25" hidden="false" customHeight="true" outlineLevel="0" collapsed="false"/>
    <row r="1630" customFormat="false" ht="11.25" hidden="false" customHeight="true" outlineLevel="0" collapsed="false"/>
    <row r="1631" customFormat="false" ht="11.25" hidden="false" customHeight="true" outlineLevel="0" collapsed="false"/>
    <row r="1632" customFormat="false" ht="11.25" hidden="false" customHeight="true" outlineLevel="0" collapsed="false"/>
    <row r="1633" customFormat="false" ht="11.25" hidden="false" customHeight="true" outlineLevel="0" collapsed="false"/>
    <row r="1634" customFormat="false" ht="11.25" hidden="false" customHeight="true" outlineLevel="0" collapsed="false"/>
    <row r="1635" customFormat="false" ht="11.25" hidden="false" customHeight="true" outlineLevel="0" collapsed="false"/>
    <row r="1636" customFormat="false" ht="11.25" hidden="false" customHeight="true" outlineLevel="0" collapsed="false"/>
    <row r="1637" customFormat="false" ht="11.25" hidden="false" customHeight="true" outlineLevel="0" collapsed="false"/>
    <row r="1638" customFormat="false" ht="11.25" hidden="false" customHeight="true" outlineLevel="0" collapsed="false"/>
    <row r="1639" customFormat="false" ht="11.25" hidden="false" customHeight="true" outlineLevel="0" collapsed="false"/>
    <row r="1640" customFormat="false" ht="11.25" hidden="false" customHeight="true" outlineLevel="0" collapsed="false"/>
    <row r="1641" customFormat="false" ht="11.25" hidden="false" customHeight="true" outlineLevel="0" collapsed="false"/>
    <row r="1642" customFormat="false" ht="11.25" hidden="false" customHeight="true" outlineLevel="0" collapsed="false"/>
    <row r="1643" customFormat="false" ht="11.25" hidden="false" customHeight="true" outlineLevel="0" collapsed="false"/>
    <row r="1644" customFormat="false" ht="11.25" hidden="false" customHeight="true" outlineLevel="0" collapsed="false"/>
    <row r="1645" customFormat="false" ht="11.25" hidden="false" customHeight="true" outlineLevel="0" collapsed="false"/>
    <row r="1646" customFormat="false" ht="11.25" hidden="false" customHeight="true" outlineLevel="0" collapsed="false"/>
    <row r="1647" customFormat="false" ht="11.25" hidden="false" customHeight="true" outlineLevel="0" collapsed="false"/>
    <row r="1648" customFormat="false" ht="11.25" hidden="false" customHeight="true" outlineLevel="0" collapsed="false"/>
    <row r="1649" customFormat="false" ht="11.25" hidden="false" customHeight="true" outlineLevel="0" collapsed="false"/>
    <row r="1650" customFormat="false" ht="11.25" hidden="false" customHeight="true" outlineLevel="0" collapsed="false"/>
    <row r="1651" customFormat="false" ht="11.25" hidden="false" customHeight="true" outlineLevel="0" collapsed="false"/>
    <row r="1652" customFormat="false" ht="11.25" hidden="false" customHeight="true" outlineLevel="0" collapsed="false"/>
    <row r="1653" customFormat="false" ht="11.25" hidden="false" customHeight="true" outlineLevel="0" collapsed="false"/>
    <row r="1654" customFormat="false" ht="11.25" hidden="false" customHeight="true" outlineLevel="0" collapsed="false"/>
    <row r="1655" customFormat="false" ht="11.25" hidden="false" customHeight="true" outlineLevel="0" collapsed="false"/>
    <row r="1656" customFormat="false" ht="11.25" hidden="false" customHeight="true" outlineLevel="0" collapsed="false"/>
    <row r="1657" customFormat="false" ht="11.25" hidden="false" customHeight="true" outlineLevel="0" collapsed="false"/>
    <row r="1658" customFormat="false" ht="11.25" hidden="false" customHeight="true" outlineLevel="0" collapsed="false"/>
    <row r="1659" customFormat="false" ht="11.25" hidden="false" customHeight="true" outlineLevel="0" collapsed="false"/>
    <row r="1660" customFormat="false" ht="11.25" hidden="false" customHeight="true" outlineLevel="0" collapsed="false"/>
    <row r="1661" customFormat="false" ht="11.25" hidden="false" customHeight="true" outlineLevel="0" collapsed="false"/>
    <row r="1662" customFormat="false" ht="11.25" hidden="false" customHeight="true" outlineLevel="0" collapsed="false"/>
    <row r="1663" customFormat="false" ht="11.25" hidden="false" customHeight="true" outlineLevel="0" collapsed="false"/>
    <row r="1664" customFormat="false" ht="11.25" hidden="false" customHeight="true" outlineLevel="0" collapsed="false"/>
    <row r="1665" customFormat="false" ht="11.25" hidden="false" customHeight="true" outlineLevel="0" collapsed="false"/>
    <row r="1666" customFormat="false" ht="11.25" hidden="false" customHeight="true" outlineLevel="0" collapsed="false"/>
    <row r="1667" customFormat="false" ht="11.25" hidden="false" customHeight="true" outlineLevel="0" collapsed="false"/>
    <row r="1668" customFormat="false" ht="11.25" hidden="false" customHeight="true" outlineLevel="0" collapsed="false"/>
    <row r="1669" customFormat="false" ht="11.25" hidden="false" customHeight="true" outlineLevel="0" collapsed="false"/>
    <row r="1670" customFormat="false" ht="11.25" hidden="false" customHeight="true" outlineLevel="0" collapsed="false"/>
    <row r="1671" customFormat="false" ht="11.25" hidden="false" customHeight="true" outlineLevel="0" collapsed="false"/>
    <row r="1672" customFormat="false" ht="11.25" hidden="false" customHeight="true" outlineLevel="0" collapsed="false"/>
    <row r="1673" customFormat="false" ht="11.25" hidden="false" customHeight="true" outlineLevel="0" collapsed="false"/>
    <row r="1674" customFormat="false" ht="11.25" hidden="false" customHeight="true" outlineLevel="0" collapsed="false"/>
    <row r="1675" customFormat="false" ht="11.25" hidden="false" customHeight="true" outlineLevel="0" collapsed="false"/>
    <row r="1676" customFormat="false" ht="11.25" hidden="false" customHeight="true" outlineLevel="0" collapsed="false"/>
    <row r="1677" customFormat="false" ht="11.25" hidden="false" customHeight="true" outlineLevel="0" collapsed="false"/>
    <row r="1678" customFormat="false" ht="11.25" hidden="false" customHeight="true" outlineLevel="0" collapsed="false"/>
    <row r="1679" customFormat="false" ht="11.25" hidden="false" customHeight="true" outlineLevel="0" collapsed="false"/>
    <row r="1680" customFormat="false" ht="11.25" hidden="false" customHeight="true" outlineLevel="0" collapsed="false"/>
    <row r="1681" customFormat="false" ht="11.25" hidden="false" customHeight="true" outlineLevel="0" collapsed="false"/>
    <row r="1682" customFormat="false" ht="11.25" hidden="false" customHeight="true" outlineLevel="0" collapsed="false"/>
    <row r="1683" customFormat="false" ht="11.25" hidden="false" customHeight="true" outlineLevel="0" collapsed="false"/>
    <row r="1684" customFormat="false" ht="11.25" hidden="false" customHeight="true" outlineLevel="0" collapsed="false"/>
    <row r="1685" customFormat="false" ht="11.25" hidden="false" customHeight="true" outlineLevel="0" collapsed="false"/>
    <row r="1686" customFormat="false" ht="11.25" hidden="false" customHeight="true" outlineLevel="0" collapsed="false"/>
    <row r="1687" customFormat="false" ht="11.25" hidden="false" customHeight="true" outlineLevel="0" collapsed="false"/>
    <row r="1688" customFormat="false" ht="11.25" hidden="false" customHeight="true" outlineLevel="0" collapsed="false"/>
    <row r="1689" customFormat="false" ht="11.25" hidden="false" customHeight="true" outlineLevel="0" collapsed="false"/>
    <row r="1690" customFormat="false" ht="11.25" hidden="false" customHeight="true" outlineLevel="0" collapsed="false"/>
    <row r="1691" customFormat="false" ht="11.25" hidden="false" customHeight="true" outlineLevel="0" collapsed="false"/>
    <row r="1692" customFormat="false" ht="11.25" hidden="false" customHeight="true" outlineLevel="0" collapsed="false"/>
    <row r="1693" customFormat="false" ht="11.25" hidden="false" customHeight="true" outlineLevel="0" collapsed="false"/>
    <row r="1694" customFormat="false" ht="11.25" hidden="false" customHeight="true" outlineLevel="0" collapsed="false"/>
    <row r="1695" customFormat="false" ht="11.25" hidden="false" customHeight="true" outlineLevel="0" collapsed="false"/>
    <row r="1696" customFormat="false" ht="11.25" hidden="false" customHeight="true" outlineLevel="0" collapsed="false"/>
    <row r="1697" customFormat="false" ht="11.25" hidden="false" customHeight="true" outlineLevel="0" collapsed="false"/>
    <row r="1698" customFormat="false" ht="11.25" hidden="false" customHeight="true" outlineLevel="0" collapsed="false"/>
    <row r="1699" customFormat="false" ht="11.25" hidden="false" customHeight="true" outlineLevel="0" collapsed="false"/>
    <row r="1700" customFormat="false" ht="11.25" hidden="false" customHeight="true" outlineLevel="0" collapsed="false"/>
    <row r="1701" customFormat="false" ht="11.25" hidden="false" customHeight="true" outlineLevel="0" collapsed="false"/>
    <row r="1702" customFormat="false" ht="11.25" hidden="false" customHeight="true" outlineLevel="0" collapsed="false"/>
    <row r="1703" customFormat="false" ht="11.25" hidden="false" customHeight="true" outlineLevel="0" collapsed="false"/>
    <row r="1704" customFormat="false" ht="11.25" hidden="false" customHeight="true" outlineLevel="0" collapsed="false"/>
    <row r="1705" customFormat="false" ht="11.25" hidden="false" customHeight="true" outlineLevel="0" collapsed="false"/>
    <row r="1706" customFormat="false" ht="11.25" hidden="false" customHeight="true" outlineLevel="0" collapsed="false"/>
    <row r="1707" customFormat="false" ht="11.25" hidden="false" customHeight="true" outlineLevel="0" collapsed="false"/>
    <row r="1708" customFormat="false" ht="11.25" hidden="false" customHeight="true" outlineLevel="0" collapsed="false"/>
    <row r="1709" customFormat="false" ht="11.25" hidden="false" customHeight="true" outlineLevel="0" collapsed="false"/>
    <row r="1710" customFormat="false" ht="11.25" hidden="false" customHeight="true" outlineLevel="0" collapsed="false"/>
    <row r="1711" customFormat="false" ht="11.25" hidden="false" customHeight="true" outlineLevel="0" collapsed="false"/>
    <row r="1712" customFormat="false" ht="11.25" hidden="false" customHeight="true" outlineLevel="0" collapsed="false"/>
    <row r="1713" customFormat="false" ht="11.25" hidden="false" customHeight="true" outlineLevel="0" collapsed="false"/>
    <row r="1714" customFormat="false" ht="11.25" hidden="false" customHeight="true" outlineLevel="0" collapsed="false"/>
    <row r="1715" customFormat="false" ht="11.25" hidden="false" customHeight="true" outlineLevel="0" collapsed="false"/>
    <row r="1716" customFormat="false" ht="11.25" hidden="false" customHeight="true" outlineLevel="0" collapsed="false"/>
    <row r="1717" customFormat="false" ht="11.25" hidden="false" customHeight="true" outlineLevel="0" collapsed="false"/>
    <row r="1718" customFormat="false" ht="11.25" hidden="false" customHeight="true" outlineLevel="0" collapsed="false"/>
    <row r="1719" customFormat="false" ht="11.25" hidden="false" customHeight="true" outlineLevel="0" collapsed="false"/>
    <row r="1720" customFormat="false" ht="11.25" hidden="false" customHeight="true" outlineLevel="0" collapsed="false"/>
    <row r="1721" customFormat="false" ht="11.25" hidden="false" customHeight="true" outlineLevel="0" collapsed="false"/>
    <row r="1722" customFormat="false" ht="11.25" hidden="false" customHeight="true" outlineLevel="0" collapsed="false"/>
    <row r="1723" customFormat="false" ht="11.25" hidden="false" customHeight="true" outlineLevel="0" collapsed="false"/>
    <row r="1724" customFormat="false" ht="11.25" hidden="false" customHeight="true" outlineLevel="0" collapsed="false"/>
    <row r="1725" customFormat="false" ht="11.25" hidden="false" customHeight="true" outlineLevel="0" collapsed="false"/>
    <row r="1726" customFormat="false" ht="11.25" hidden="false" customHeight="true" outlineLevel="0" collapsed="false"/>
    <row r="1727" customFormat="false" ht="11.25" hidden="false" customHeight="true" outlineLevel="0" collapsed="false"/>
    <row r="1728" customFormat="false" ht="11.25" hidden="false" customHeight="true" outlineLevel="0" collapsed="false"/>
    <row r="1729" customFormat="false" ht="11.25" hidden="false" customHeight="true" outlineLevel="0" collapsed="false"/>
    <row r="1730" customFormat="false" ht="11.25" hidden="false" customHeight="true" outlineLevel="0" collapsed="false"/>
    <row r="1731" customFormat="false" ht="11.25" hidden="false" customHeight="true" outlineLevel="0" collapsed="false"/>
    <row r="1732" customFormat="false" ht="11.25" hidden="false" customHeight="true" outlineLevel="0" collapsed="false"/>
    <row r="1733" customFormat="false" ht="11.25" hidden="false" customHeight="true" outlineLevel="0" collapsed="false"/>
    <row r="1734" customFormat="false" ht="11.25" hidden="false" customHeight="true" outlineLevel="0" collapsed="false"/>
    <row r="1735" customFormat="false" ht="11.25" hidden="false" customHeight="true" outlineLevel="0" collapsed="false"/>
    <row r="1736" customFormat="false" ht="11.25" hidden="false" customHeight="true" outlineLevel="0" collapsed="false"/>
    <row r="1737" customFormat="false" ht="11.25" hidden="false" customHeight="true" outlineLevel="0" collapsed="false"/>
    <row r="1738" customFormat="false" ht="11.25" hidden="false" customHeight="true" outlineLevel="0" collapsed="false"/>
    <row r="1739" customFormat="false" ht="11.25" hidden="false" customHeight="true" outlineLevel="0" collapsed="false"/>
    <row r="1740" customFormat="false" ht="11.25" hidden="false" customHeight="true" outlineLevel="0" collapsed="false"/>
    <row r="1741" customFormat="false" ht="11.25" hidden="false" customHeight="true" outlineLevel="0" collapsed="false"/>
    <row r="1742" customFormat="false" ht="11.25" hidden="false" customHeight="true" outlineLevel="0" collapsed="false"/>
    <row r="1743" customFormat="false" ht="11.25" hidden="false" customHeight="true" outlineLevel="0" collapsed="false"/>
    <row r="1744" customFormat="false" ht="11.25" hidden="false" customHeight="true" outlineLevel="0" collapsed="false"/>
    <row r="1745" customFormat="false" ht="11.25" hidden="false" customHeight="true" outlineLevel="0" collapsed="false"/>
    <row r="1746" customFormat="false" ht="11.25" hidden="false" customHeight="true" outlineLevel="0" collapsed="false"/>
    <row r="1747" customFormat="false" ht="11.25" hidden="false" customHeight="true" outlineLevel="0" collapsed="false"/>
    <row r="1748" customFormat="false" ht="11.25" hidden="false" customHeight="true" outlineLevel="0" collapsed="false"/>
    <row r="1749" customFormat="false" ht="11.25" hidden="false" customHeight="true" outlineLevel="0" collapsed="false"/>
    <row r="1750" customFormat="false" ht="11.25" hidden="false" customHeight="true" outlineLevel="0" collapsed="false"/>
    <row r="1751" customFormat="false" ht="11.25" hidden="false" customHeight="true" outlineLevel="0" collapsed="false"/>
    <row r="1752" customFormat="false" ht="11.25" hidden="false" customHeight="true" outlineLevel="0" collapsed="false"/>
    <row r="1753" customFormat="false" ht="11.25" hidden="false" customHeight="true" outlineLevel="0" collapsed="false"/>
    <row r="1754" customFormat="false" ht="11.25" hidden="false" customHeight="true" outlineLevel="0" collapsed="false"/>
    <row r="1755" customFormat="false" ht="11.25" hidden="false" customHeight="true" outlineLevel="0" collapsed="false"/>
    <row r="1756" customFormat="false" ht="11.25" hidden="false" customHeight="true" outlineLevel="0" collapsed="false"/>
    <row r="1757" customFormat="false" ht="11.25" hidden="false" customHeight="true" outlineLevel="0" collapsed="false"/>
    <row r="1758" customFormat="false" ht="11.25" hidden="false" customHeight="true" outlineLevel="0" collapsed="false"/>
    <row r="1759" customFormat="false" ht="11.25" hidden="false" customHeight="true" outlineLevel="0" collapsed="false"/>
    <row r="1760" customFormat="false" ht="11.25" hidden="false" customHeight="true" outlineLevel="0" collapsed="false"/>
    <row r="1761" customFormat="false" ht="11.25" hidden="false" customHeight="true" outlineLevel="0" collapsed="false"/>
    <row r="1762" customFormat="false" ht="11.25" hidden="false" customHeight="true" outlineLevel="0" collapsed="false"/>
    <row r="1763" customFormat="false" ht="11.25" hidden="false" customHeight="true" outlineLevel="0" collapsed="false"/>
    <row r="1764" customFormat="false" ht="11.25" hidden="false" customHeight="true" outlineLevel="0" collapsed="false"/>
    <row r="1765" customFormat="false" ht="11.25" hidden="false" customHeight="true" outlineLevel="0" collapsed="false"/>
    <row r="1766" customFormat="false" ht="11.25" hidden="false" customHeight="true" outlineLevel="0" collapsed="false"/>
    <row r="1767" customFormat="false" ht="11.25" hidden="false" customHeight="true" outlineLevel="0" collapsed="false"/>
    <row r="1768" customFormat="false" ht="11.25" hidden="false" customHeight="true" outlineLevel="0" collapsed="false"/>
    <row r="1769" customFormat="false" ht="11.25" hidden="false" customHeight="true" outlineLevel="0" collapsed="false"/>
    <row r="1770" customFormat="false" ht="11.25" hidden="false" customHeight="true" outlineLevel="0" collapsed="false"/>
    <row r="1771" customFormat="false" ht="11.25" hidden="false" customHeight="true" outlineLevel="0" collapsed="false"/>
    <row r="1772" customFormat="false" ht="11.25" hidden="false" customHeight="true" outlineLevel="0" collapsed="false"/>
    <row r="1773" customFormat="false" ht="11.25" hidden="false" customHeight="true" outlineLevel="0" collapsed="false"/>
    <row r="1774" customFormat="false" ht="11.25" hidden="false" customHeight="true" outlineLevel="0" collapsed="false"/>
    <row r="1775" customFormat="false" ht="11.25" hidden="false" customHeight="true" outlineLevel="0" collapsed="false"/>
    <row r="1776" customFormat="false" ht="11.25" hidden="false" customHeight="true" outlineLevel="0" collapsed="false"/>
    <row r="1777" customFormat="false" ht="11.25" hidden="false" customHeight="true" outlineLevel="0" collapsed="false"/>
    <row r="1778" customFormat="false" ht="11.25" hidden="false" customHeight="true" outlineLevel="0" collapsed="false"/>
    <row r="1779" customFormat="false" ht="11.25" hidden="false" customHeight="true" outlineLevel="0" collapsed="false"/>
    <row r="1780" customFormat="false" ht="11.25" hidden="false" customHeight="true" outlineLevel="0" collapsed="false"/>
    <row r="1781" customFormat="false" ht="11.25" hidden="false" customHeight="true" outlineLevel="0" collapsed="false"/>
    <row r="1782" customFormat="false" ht="11.25" hidden="false" customHeight="true" outlineLevel="0" collapsed="false"/>
    <row r="1783" customFormat="false" ht="11.25" hidden="false" customHeight="true" outlineLevel="0" collapsed="false"/>
    <row r="1784" customFormat="false" ht="11.25" hidden="false" customHeight="true" outlineLevel="0" collapsed="false"/>
    <row r="1785" customFormat="false" ht="11.25" hidden="false" customHeight="true" outlineLevel="0" collapsed="false"/>
    <row r="1786" customFormat="false" ht="11.25" hidden="false" customHeight="true" outlineLevel="0" collapsed="false"/>
    <row r="1787" customFormat="false" ht="11.25" hidden="false" customHeight="true" outlineLevel="0" collapsed="false"/>
    <row r="1788" customFormat="false" ht="11.25" hidden="false" customHeight="true" outlineLevel="0" collapsed="false"/>
    <row r="1789" customFormat="false" ht="11.25" hidden="false" customHeight="true" outlineLevel="0" collapsed="false"/>
    <row r="1790" customFormat="false" ht="11.25" hidden="false" customHeight="true" outlineLevel="0" collapsed="false"/>
    <row r="1791" customFormat="false" ht="11.25" hidden="false" customHeight="true" outlineLevel="0" collapsed="false"/>
    <row r="1792" customFormat="false" ht="11.25" hidden="false" customHeight="true" outlineLevel="0" collapsed="false"/>
    <row r="1793" customFormat="false" ht="11.25" hidden="false" customHeight="true" outlineLevel="0" collapsed="false"/>
    <row r="1794" customFormat="false" ht="11.25" hidden="false" customHeight="true" outlineLevel="0" collapsed="false"/>
    <row r="1795" customFormat="false" ht="11.25" hidden="false" customHeight="true" outlineLevel="0" collapsed="false"/>
    <row r="1796" customFormat="false" ht="11.25" hidden="false" customHeight="true" outlineLevel="0" collapsed="false"/>
    <row r="1797" customFormat="false" ht="11.25" hidden="false" customHeight="true" outlineLevel="0" collapsed="false"/>
    <row r="1798" customFormat="false" ht="11.25" hidden="false" customHeight="true" outlineLevel="0" collapsed="false"/>
    <row r="1799" customFormat="false" ht="11.25" hidden="false" customHeight="true" outlineLevel="0" collapsed="false"/>
    <row r="1800" customFormat="false" ht="11.25" hidden="false" customHeight="true" outlineLevel="0" collapsed="false"/>
    <row r="1801" customFormat="false" ht="11.25" hidden="false" customHeight="true" outlineLevel="0" collapsed="false"/>
    <row r="1802" customFormat="false" ht="11.25" hidden="false" customHeight="true" outlineLevel="0" collapsed="false"/>
    <row r="1803" customFormat="false" ht="11.25" hidden="false" customHeight="true" outlineLevel="0" collapsed="false"/>
    <row r="1804" customFormat="false" ht="11.25" hidden="false" customHeight="true" outlineLevel="0" collapsed="false"/>
    <row r="1805" customFormat="false" ht="11.25" hidden="false" customHeight="true" outlineLevel="0" collapsed="false"/>
    <row r="1806" customFormat="false" ht="11.25" hidden="false" customHeight="true" outlineLevel="0" collapsed="false"/>
    <row r="1807" customFormat="false" ht="11.25" hidden="false" customHeight="true" outlineLevel="0" collapsed="false"/>
    <row r="1808" customFormat="false" ht="11.25" hidden="false" customHeight="true" outlineLevel="0" collapsed="false"/>
    <row r="1809" customFormat="false" ht="11.25" hidden="false" customHeight="true" outlineLevel="0" collapsed="false"/>
    <row r="1810" customFormat="false" ht="11.25" hidden="false" customHeight="true" outlineLevel="0" collapsed="false"/>
    <row r="1811" customFormat="false" ht="11.25" hidden="false" customHeight="true" outlineLevel="0" collapsed="false"/>
    <row r="1812" customFormat="false" ht="11.25" hidden="false" customHeight="true" outlineLevel="0" collapsed="false"/>
    <row r="1813" customFormat="false" ht="11.25" hidden="false" customHeight="true" outlineLevel="0" collapsed="false"/>
    <row r="1814" customFormat="false" ht="11.25" hidden="false" customHeight="true" outlineLevel="0" collapsed="false"/>
    <row r="1815" customFormat="false" ht="11.25" hidden="false" customHeight="true" outlineLevel="0" collapsed="false"/>
    <row r="1816" customFormat="false" ht="11.25" hidden="false" customHeight="true" outlineLevel="0" collapsed="false"/>
    <row r="1817" customFormat="false" ht="11.25" hidden="false" customHeight="true" outlineLevel="0" collapsed="false"/>
    <row r="1818" customFormat="false" ht="11.25" hidden="false" customHeight="true" outlineLevel="0" collapsed="false"/>
    <row r="1819" customFormat="false" ht="11.25" hidden="false" customHeight="true" outlineLevel="0" collapsed="false"/>
    <row r="1820" customFormat="false" ht="11.25" hidden="false" customHeight="true" outlineLevel="0" collapsed="false"/>
    <row r="1821" customFormat="false" ht="11.25" hidden="false" customHeight="true" outlineLevel="0" collapsed="false"/>
    <row r="1822" customFormat="false" ht="11.25" hidden="false" customHeight="true" outlineLevel="0" collapsed="false"/>
    <row r="1823" customFormat="false" ht="11.25" hidden="false" customHeight="true" outlineLevel="0" collapsed="false"/>
    <row r="1824" customFormat="false" ht="11.25" hidden="false" customHeight="true" outlineLevel="0" collapsed="false"/>
    <row r="1825" customFormat="false" ht="11.25" hidden="false" customHeight="true" outlineLevel="0" collapsed="false"/>
    <row r="1826" customFormat="false" ht="11.25" hidden="false" customHeight="true" outlineLevel="0" collapsed="false"/>
    <row r="1827" customFormat="false" ht="11.25" hidden="false" customHeight="true" outlineLevel="0" collapsed="false"/>
    <row r="1828" customFormat="false" ht="11.25" hidden="false" customHeight="true" outlineLevel="0" collapsed="false"/>
    <row r="1829" customFormat="false" ht="11.25" hidden="false" customHeight="true" outlineLevel="0" collapsed="false"/>
    <row r="1830" customFormat="false" ht="11.25" hidden="false" customHeight="true" outlineLevel="0" collapsed="false"/>
    <row r="1831" customFormat="false" ht="11.25" hidden="false" customHeight="true" outlineLevel="0" collapsed="false"/>
    <row r="1832" customFormat="false" ht="11.25" hidden="false" customHeight="true" outlineLevel="0" collapsed="false"/>
    <row r="1833" customFormat="false" ht="11.25" hidden="false" customHeight="true" outlineLevel="0" collapsed="false"/>
    <row r="1834" customFormat="false" ht="11.25" hidden="false" customHeight="true" outlineLevel="0" collapsed="false"/>
    <row r="1835" customFormat="false" ht="11.25" hidden="false" customHeight="true" outlineLevel="0" collapsed="false"/>
    <row r="1836" customFormat="false" ht="11.25" hidden="false" customHeight="true" outlineLevel="0" collapsed="false"/>
    <row r="1837" customFormat="false" ht="11.25" hidden="false" customHeight="true" outlineLevel="0" collapsed="false"/>
    <row r="1838" customFormat="false" ht="11.25" hidden="false" customHeight="true" outlineLevel="0" collapsed="false"/>
    <row r="1839" customFormat="false" ht="11.25" hidden="false" customHeight="true" outlineLevel="0" collapsed="false"/>
    <row r="1840" customFormat="false" ht="11.25" hidden="false" customHeight="true" outlineLevel="0" collapsed="false"/>
    <row r="1841" customFormat="false" ht="11.25" hidden="false" customHeight="true" outlineLevel="0" collapsed="false"/>
    <row r="1842" customFormat="false" ht="11.25" hidden="false" customHeight="true" outlineLevel="0" collapsed="false"/>
    <row r="1843" customFormat="false" ht="11.25" hidden="false" customHeight="true" outlineLevel="0" collapsed="false"/>
    <row r="1844" customFormat="false" ht="11.25" hidden="false" customHeight="true" outlineLevel="0" collapsed="false"/>
    <row r="1845" customFormat="false" ht="11.25" hidden="false" customHeight="true" outlineLevel="0" collapsed="false"/>
    <row r="1846" customFormat="false" ht="11.25" hidden="false" customHeight="true" outlineLevel="0" collapsed="false"/>
    <row r="1847" customFormat="false" ht="11.25" hidden="false" customHeight="true" outlineLevel="0" collapsed="false"/>
    <row r="1848" customFormat="false" ht="11.25" hidden="false" customHeight="true" outlineLevel="0" collapsed="false"/>
    <row r="1849" customFormat="false" ht="11.25" hidden="false" customHeight="true" outlineLevel="0" collapsed="false"/>
    <row r="1850" customFormat="false" ht="11.25" hidden="false" customHeight="true" outlineLevel="0" collapsed="false"/>
    <row r="1851" customFormat="false" ht="11.25" hidden="false" customHeight="true" outlineLevel="0" collapsed="false"/>
    <row r="1852" customFormat="false" ht="11.25" hidden="false" customHeight="true" outlineLevel="0" collapsed="false"/>
    <row r="1853" customFormat="false" ht="11.25" hidden="false" customHeight="true" outlineLevel="0" collapsed="false"/>
    <row r="1854" customFormat="false" ht="11.25" hidden="false" customHeight="true" outlineLevel="0" collapsed="false"/>
    <row r="1855" customFormat="false" ht="11.25" hidden="false" customHeight="true" outlineLevel="0" collapsed="false"/>
    <row r="1856" customFormat="false" ht="11.25" hidden="false" customHeight="true" outlineLevel="0" collapsed="false"/>
    <row r="1857" customFormat="false" ht="11.25" hidden="false" customHeight="true" outlineLevel="0" collapsed="false"/>
    <row r="1858" customFormat="false" ht="11.25" hidden="false" customHeight="true" outlineLevel="0" collapsed="false"/>
    <row r="1859" customFormat="false" ht="11.25" hidden="false" customHeight="true" outlineLevel="0" collapsed="false"/>
    <row r="1860" customFormat="false" ht="11.25" hidden="false" customHeight="true" outlineLevel="0" collapsed="false"/>
    <row r="1861" customFormat="false" ht="11.25" hidden="false" customHeight="true" outlineLevel="0" collapsed="false"/>
    <row r="1862" customFormat="false" ht="11.25" hidden="false" customHeight="true" outlineLevel="0" collapsed="false"/>
    <row r="1863" customFormat="false" ht="11.25" hidden="false" customHeight="true" outlineLevel="0" collapsed="false"/>
    <row r="1864" customFormat="false" ht="11.25" hidden="false" customHeight="true" outlineLevel="0" collapsed="false"/>
    <row r="1865" customFormat="false" ht="11.25" hidden="false" customHeight="true" outlineLevel="0" collapsed="false"/>
    <row r="1866" customFormat="false" ht="11.25" hidden="false" customHeight="true" outlineLevel="0" collapsed="false"/>
    <row r="1867" customFormat="false" ht="11.25" hidden="false" customHeight="true" outlineLevel="0" collapsed="false"/>
    <row r="1868" customFormat="false" ht="11.25" hidden="false" customHeight="true" outlineLevel="0" collapsed="false"/>
    <row r="1869" customFormat="false" ht="11.25" hidden="false" customHeight="true" outlineLevel="0" collapsed="false"/>
    <row r="1870" customFormat="false" ht="11.25" hidden="false" customHeight="true" outlineLevel="0" collapsed="false"/>
    <row r="1871" customFormat="false" ht="11.25" hidden="false" customHeight="true" outlineLevel="0" collapsed="false"/>
    <row r="1872" customFormat="false" ht="11.25" hidden="false" customHeight="true" outlineLevel="0" collapsed="false"/>
    <row r="1873" customFormat="false" ht="11.25" hidden="false" customHeight="true" outlineLevel="0" collapsed="false"/>
    <row r="1874" customFormat="false" ht="11.25" hidden="false" customHeight="true" outlineLevel="0" collapsed="false"/>
    <row r="1875" customFormat="false" ht="11.25" hidden="false" customHeight="true" outlineLevel="0" collapsed="false"/>
    <row r="1876" customFormat="false" ht="11.25" hidden="false" customHeight="true" outlineLevel="0" collapsed="false"/>
    <row r="1877" customFormat="false" ht="11.25" hidden="false" customHeight="true" outlineLevel="0" collapsed="false"/>
    <row r="1878" customFormat="false" ht="11.25" hidden="false" customHeight="true" outlineLevel="0" collapsed="false"/>
    <row r="1879" customFormat="false" ht="11.25" hidden="false" customHeight="true" outlineLevel="0" collapsed="false"/>
    <row r="1880" customFormat="false" ht="11.25" hidden="false" customHeight="true" outlineLevel="0" collapsed="false"/>
    <row r="1881" customFormat="false" ht="11.25" hidden="false" customHeight="true" outlineLevel="0" collapsed="false"/>
    <row r="1882" customFormat="false" ht="11.25" hidden="false" customHeight="true" outlineLevel="0" collapsed="false"/>
    <row r="1883" customFormat="false" ht="11.25" hidden="false" customHeight="true" outlineLevel="0" collapsed="false"/>
    <row r="1884" customFormat="false" ht="11.25" hidden="false" customHeight="true" outlineLevel="0" collapsed="false"/>
    <row r="1885" customFormat="false" ht="11.25" hidden="false" customHeight="true" outlineLevel="0" collapsed="false"/>
    <row r="1886" customFormat="false" ht="11.25" hidden="false" customHeight="true" outlineLevel="0" collapsed="false"/>
    <row r="1887" customFormat="false" ht="11.25" hidden="false" customHeight="true" outlineLevel="0" collapsed="false"/>
    <row r="1888" customFormat="false" ht="11.25" hidden="false" customHeight="true" outlineLevel="0" collapsed="false"/>
    <row r="1889" customFormat="false" ht="11.25" hidden="false" customHeight="true" outlineLevel="0" collapsed="false"/>
    <row r="1890" customFormat="false" ht="11.25" hidden="false" customHeight="true" outlineLevel="0" collapsed="false"/>
    <row r="1891" customFormat="false" ht="11.25" hidden="false" customHeight="true" outlineLevel="0" collapsed="false"/>
    <row r="1892" customFormat="false" ht="11.25" hidden="false" customHeight="true" outlineLevel="0" collapsed="false"/>
    <row r="1893" customFormat="false" ht="11.25" hidden="false" customHeight="true" outlineLevel="0" collapsed="false"/>
    <row r="1894" customFormat="false" ht="11.25" hidden="false" customHeight="true" outlineLevel="0" collapsed="false"/>
    <row r="1895" customFormat="false" ht="11.25" hidden="false" customHeight="true" outlineLevel="0" collapsed="false"/>
    <row r="1896" customFormat="false" ht="11.25" hidden="false" customHeight="true" outlineLevel="0" collapsed="false"/>
    <row r="1897" customFormat="false" ht="11.25" hidden="false" customHeight="true" outlineLevel="0" collapsed="false"/>
    <row r="1898" customFormat="false" ht="11.25" hidden="false" customHeight="true" outlineLevel="0" collapsed="false"/>
    <row r="1899" customFormat="false" ht="11.25" hidden="false" customHeight="true" outlineLevel="0" collapsed="false"/>
    <row r="1900" customFormat="false" ht="11.25" hidden="false" customHeight="true" outlineLevel="0" collapsed="false"/>
    <row r="1901" customFormat="false" ht="11.25" hidden="false" customHeight="true" outlineLevel="0" collapsed="false"/>
    <row r="1902" customFormat="false" ht="11.25" hidden="false" customHeight="true" outlineLevel="0" collapsed="false"/>
    <row r="1903" customFormat="false" ht="11.25" hidden="false" customHeight="true" outlineLevel="0" collapsed="false"/>
    <row r="1904" customFormat="false" ht="11.25" hidden="false" customHeight="true" outlineLevel="0" collapsed="false"/>
    <row r="1905" customFormat="false" ht="11.25" hidden="false" customHeight="true" outlineLevel="0" collapsed="false"/>
    <row r="1906" customFormat="false" ht="11.25" hidden="false" customHeight="true" outlineLevel="0" collapsed="false"/>
    <row r="1907" customFormat="false" ht="11.25" hidden="false" customHeight="true" outlineLevel="0" collapsed="false"/>
    <row r="1908" customFormat="false" ht="11.25" hidden="false" customHeight="true" outlineLevel="0" collapsed="false"/>
    <row r="1909" customFormat="false" ht="11.25" hidden="false" customHeight="true" outlineLevel="0" collapsed="false"/>
    <row r="1910" customFormat="false" ht="11.25" hidden="false" customHeight="true" outlineLevel="0" collapsed="false"/>
    <row r="1911" customFormat="false" ht="11.25" hidden="false" customHeight="true" outlineLevel="0" collapsed="false"/>
    <row r="1912" customFormat="false" ht="11.25" hidden="false" customHeight="true" outlineLevel="0" collapsed="false"/>
    <row r="1913" customFormat="false" ht="11.25" hidden="false" customHeight="true" outlineLevel="0" collapsed="false"/>
    <row r="1914" customFormat="false" ht="11.25" hidden="false" customHeight="true" outlineLevel="0" collapsed="false"/>
    <row r="1915" customFormat="false" ht="11.25" hidden="false" customHeight="true" outlineLevel="0" collapsed="false"/>
    <row r="1916" customFormat="false" ht="11.25" hidden="false" customHeight="true" outlineLevel="0" collapsed="false"/>
    <row r="1917" customFormat="false" ht="11.25" hidden="false" customHeight="true" outlineLevel="0" collapsed="false"/>
    <row r="1918" customFormat="false" ht="11.25" hidden="false" customHeight="true" outlineLevel="0" collapsed="false"/>
    <row r="1919" customFormat="false" ht="11.25" hidden="false" customHeight="true" outlineLevel="0" collapsed="false"/>
    <row r="1920" customFormat="false" ht="11.25" hidden="false" customHeight="true" outlineLevel="0" collapsed="false"/>
    <row r="1921" customFormat="false" ht="11.25" hidden="false" customHeight="true" outlineLevel="0" collapsed="false"/>
    <row r="1922" customFormat="false" ht="11.25" hidden="false" customHeight="true" outlineLevel="0" collapsed="false"/>
    <row r="1923" customFormat="false" ht="11.25" hidden="false" customHeight="true" outlineLevel="0" collapsed="false"/>
    <row r="1924" customFormat="false" ht="11.25" hidden="false" customHeight="true" outlineLevel="0" collapsed="false"/>
    <row r="1925" customFormat="false" ht="11.25" hidden="false" customHeight="true" outlineLevel="0" collapsed="false"/>
    <row r="1926" customFormat="false" ht="11.25" hidden="false" customHeight="true" outlineLevel="0" collapsed="false"/>
    <row r="1927" customFormat="false" ht="11.25" hidden="false" customHeight="true" outlineLevel="0" collapsed="false"/>
    <row r="1928" customFormat="false" ht="11.25" hidden="false" customHeight="true" outlineLevel="0" collapsed="false"/>
    <row r="1929" customFormat="false" ht="11.25" hidden="false" customHeight="true" outlineLevel="0" collapsed="false"/>
    <row r="1930" customFormat="false" ht="11.25" hidden="false" customHeight="true" outlineLevel="0" collapsed="false"/>
    <row r="1931" customFormat="false" ht="11.25" hidden="false" customHeight="true" outlineLevel="0" collapsed="false"/>
    <row r="1932" customFormat="false" ht="11.25" hidden="false" customHeight="true" outlineLevel="0" collapsed="false"/>
    <row r="1933" customFormat="false" ht="11.25" hidden="false" customHeight="true" outlineLevel="0" collapsed="false"/>
    <row r="1934" customFormat="false" ht="11.25" hidden="false" customHeight="true" outlineLevel="0" collapsed="false"/>
    <row r="1935" customFormat="false" ht="11.25" hidden="false" customHeight="true" outlineLevel="0" collapsed="false"/>
    <row r="1936" customFormat="false" ht="11.25" hidden="false" customHeight="true" outlineLevel="0" collapsed="false"/>
    <row r="1937" customFormat="false" ht="11.25" hidden="false" customHeight="true" outlineLevel="0" collapsed="false"/>
    <row r="1938" customFormat="false" ht="11.25" hidden="false" customHeight="true" outlineLevel="0" collapsed="false"/>
    <row r="1939" customFormat="false" ht="11.25" hidden="false" customHeight="true" outlineLevel="0" collapsed="false"/>
    <row r="1940" customFormat="false" ht="11.25" hidden="false" customHeight="true" outlineLevel="0" collapsed="false"/>
    <row r="1941" customFormat="false" ht="11.25" hidden="false" customHeight="true" outlineLevel="0" collapsed="false"/>
    <row r="1942" customFormat="false" ht="11.25" hidden="false" customHeight="true" outlineLevel="0" collapsed="false"/>
    <row r="1943" customFormat="false" ht="11.25" hidden="false" customHeight="true" outlineLevel="0" collapsed="false"/>
    <row r="1944" customFormat="false" ht="11.25" hidden="false" customHeight="true" outlineLevel="0" collapsed="false"/>
    <row r="1945" customFormat="false" ht="11.25" hidden="false" customHeight="true" outlineLevel="0" collapsed="false"/>
    <row r="1946" customFormat="false" ht="11.25" hidden="false" customHeight="true" outlineLevel="0" collapsed="false"/>
    <row r="1947" customFormat="false" ht="11.25" hidden="false" customHeight="true" outlineLevel="0" collapsed="false"/>
    <row r="1948" customFormat="false" ht="11.25" hidden="false" customHeight="true" outlineLevel="0" collapsed="false"/>
    <row r="1949" customFormat="false" ht="11.25" hidden="false" customHeight="true" outlineLevel="0" collapsed="false"/>
    <row r="1950" customFormat="false" ht="11.25" hidden="false" customHeight="true" outlineLevel="0" collapsed="false"/>
    <row r="1951" customFormat="false" ht="11.25" hidden="false" customHeight="true" outlineLevel="0" collapsed="false"/>
    <row r="1952" customFormat="false" ht="11.25" hidden="false" customHeight="true" outlineLevel="0" collapsed="false"/>
    <row r="1953" customFormat="false" ht="11.25" hidden="false" customHeight="true" outlineLevel="0" collapsed="false"/>
    <row r="1954" customFormat="false" ht="11.25" hidden="false" customHeight="true" outlineLevel="0" collapsed="false"/>
    <row r="1955" customFormat="false" ht="11.25" hidden="false" customHeight="true" outlineLevel="0" collapsed="false"/>
    <row r="1956" customFormat="false" ht="11.25" hidden="false" customHeight="true" outlineLevel="0" collapsed="false"/>
    <row r="1957" customFormat="false" ht="11.25" hidden="false" customHeight="true" outlineLevel="0" collapsed="false"/>
    <row r="1958" customFormat="false" ht="11.25" hidden="false" customHeight="true" outlineLevel="0" collapsed="false"/>
    <row r="1959" customFormat="false" ht="11.25" hidden="false" customHeight="true" outlineLevel="0" collapsed="false"/>
    <row r="1960" customFormat="false" ht="11.25" hidden="false" customHeight="true" outlineLevel="0" collapsed="false"/>
    <row r="1961" customFormat="false" ht="11.25" hidden="false" customHeight="true" outlineLevel="0" collapsed="false"/>
    <row r="1962" customFormat="false" ht="11.25" hidden="false" customHeight="true" outlineLevel="0" collapsed="false"/>
    <row r="1963" customFormat="false" ht="11.25" hidden="false" customHeight="true" outlineLevel="0" collapsed="false"/>
    <row r="1964" customFormat="false" ht="11.25" hidden="false" customHeight="true" outlineLevel="0" collapsed="false"/>
    <row r="1965" customFormat="false" ht="11.25" hidden="false" customHeight="true" outlineLevel="0" collapsed="false"/>
    <row r="1966" customFormat="false" ht="11.25" hidden="false" customHeight="true" outlineLevel="0" collapsed="false"/>
    <row r="1967" customFormat="false" ht="11.25" hidden="false" customHeight="true" outlineLevel="0" collapsed="false"/>
    <row r="1968" customFormat="false" ht="11.25" hidden="false" customHeight="true" outlineLevel="0" collapsed="false"/>
    <row r="1969" customFormat="false" ht="11.25" hidden="false" customHeight="true" outlineLevel="0" collapsed="false"/>
    <row r="1970" customFormat="false" ht="11.25" hidden="false" customHeight="true" outlineLevel="0" collapsed="false"/>
    <row r="1971" customFormat="false" ht="11.25" hidden="false" customHeight="true" outlineLevel="0" collapsed="false"/>
    <row r="1972" customFormat="false" ht="11.25" hidden="false" customHeight="true" outlineLevel="0" collapsed="false"/>
    <row r="1973" customFormat="false" ht="11.25" hidden="false" customHeight="true" outlineLevel="0" collapsed="false"/>
    <row r="1974" customFormat="false" ht="11.25" hidden="false" customHeight="true" outlineLevel="0" collapsed="false"/>
    <row r="1975" customFormat="false" ht="11.25" hidden="false" customHeight="true" outlineLevel="0" collapsed="false"/>
    <row r="1976" customFormat="false" ht="11.25" hidden="false" customHeight="true" outlineLevel="0" collapsed="false"/>
    <row r="1977" customFormat="false" ht="11.25" hidden="false" customHeight="true" outlineLevel="0" collapsed="false"/>
    <row r="1978" customFormat="false" ht="11.25" hidden="false" customHeight="true" outlineLevel="0" collapsed="false"/>
    <row r="1979" customFormat="false" ht="11.25" hidden="false" customHeight="true" outlineLevel="0" collapsed="false"/>
    <row r="1980" customFormat="false" ht="11.25" hidden="false" customHeight="true" outlineLevel="0" collapsed="false"/>
    <row r="1981" customFormat="false" ht="11.25" hidden="false" customHeight="true" outlineLevel="0" collapsed="false"/>
    <row r="1982" customFormat="false" ht="11.25" hidden="false" customHeight="true" outlineLevel="0" collapsed="false"/>
    <row r="1983" customFormat="false" ht="11.25" hidden="false" customHeight="true" outlineLevel="0" collapsed="false"/>
    <row r="1984" customFormat="false" ht="11.25" hidden="false" customHeight="true" outlineLevel="0" collapsed="false"/>
    <row r="1985" customFormat="false" ht="11.25" hidden="false" customHeight="true" outlineLevel="0" collapsed="false"/>
    <row r="1986" customFormat="false" ht="11.25" hidden="false" customHeight="true" outlineLevel="0" collapsed="false"/>
    <row r="1987" customFormat="false" ht="11.25" hidden="false" customHeight="true" outlineLevel="0" collapsed="false"/>
    <row r="1988" customFormat="false" ht="11.25" hidden="false" customHeight="true" outlineLevel="0" collapsed="false"/>
    <row r="1989" customFormat="false" ht="11.25" hidden="false" customHeight="true" outlineLevel="0" collapsed="false"/>
    <row r="1990" customFormat="false" ht="11.25" hidden="false" customHeight="true" outlineLevel="0" collapsed="false"/>
    <row r="1991" customFormat="false" ht="11.25" hidden="false" customHeight="true" outlineLevel="0" collapsed="false"/>
    <row r="1992" customFormat="false" ht="11.25" hidden="false" customHeight="true" outlineLevel="0" collapsed="false"/>
    <row r="1993" customFormat="false" ht="11.25" hidden="false" customHeight="true" outlineLevel="0" collapsed="false"/>
    <row r="1994" customFormat="false" ht="11.25" hidden="false" customHeight="true" outlineLevel="0" collapsed="false"/>
    <row r="1995" customFormat="false" ht="11.25" hidden="false" customHeight="true" outlineLevel="0" collapsed="false"/>
    <row r="1996" customFormat="false" ht="11.25" hidden="false" customHeight="true" outlineLevel="0" collapsed="false"/>
    <row r="1997" customFormat="false" ht="11.25" hidden="false" customHeight="true" outlineLevel="0" collapsed="false"/>
    <row r="1998" customFormat="false" ht="11.25" hidden="false" customHeight="true" outlineLevel="0" collapsed="false"/>
    <row r="1999" customFormat="false" ht="11.25" hidden="false" customHeight="true" outlineLevel="0" collapsed="false"/>
    <row r="2000" customFormat="false" ht="11.25" hidden="false" customHeight="true" outlineLevel="0" collapsed="false"/>
    <row r="2001" customFormat="false" ht="11.25" hidden="false" customHeight="true" outlineLevel="0" collapsed="false"/>
    <row r="2002" customFormat="false" ht="11.25" hidden="false" customHeight="true" outlineLevel="0" collapsed="false"/>
    <row r="2003" customFormat="false" ht="11.25" hidden="false" customHeight="true" outlineLevel="0" collapsed="false"/>
    <row r="2004" customFormat="false" ht="11.25" hidden="false" customHeight="true" outlineLevel="0" collapsed="false"/>
    <row r="2005" customFormat="false" ht="11.25" hidden="false" customHeight="true" outlineLevel="0" collapsed="false"/>
    <row r="2006" customFormat="false" ht="11.25" hidden="false" customHeight="true" outlineLevel="0" collapsed="false"/>
    <row r="2007" customFormat="false" ht="11.25" hidden="false" customHeight="true" outlineLevel="0" collapsed="false"/>
    <row r="2008" customFormat="false" ht="11.25" hidden="false" customHeight="true" outlineLevel="0" collapsed="false"/>
    <row r="2009" customFormat="false" ht="11.25" hidden="false" customHeight="true" outlineLevel="0" collapsed="false"/>
    <row r="2010" customFormat="false" ht="11.25" hidden="false" customHeight="true" outlineLevel="0" collapsed="false"/>
    <row r="2011" customFormat="false" ht="11.25" hidden="false" customHeight="true" outlineLevel="0" collapsed="false"/>
    <row r="2012" customFormat="false" ht="11.25" hidden="false" customHeight="true" outlineLevel="0" collapsed="false"/>
    <row r="2013" customFormat="false" ht="11.25" hidden="false" customHeight="true" outlineLevel="0" collapsed="false"/>
    <row r="2014" customFormat="false" ht="11.25" hidden="false" customHeight="true" outlineLevel="0" collapsed="false"/>
    <row r="2015" customFormat="false" ht="11.25" hidden="false" customHeight="true" outlineLevel="0" collapsed="false"/>
    <row r="2016" customFormat="false" ht="11.25" hidden="false" customHeight="true" outlineLevel="0" collapsed="false"/>
    <row r="2017" customFormat="false" ht="11.25" hidden="false" customHeight="true" outlineLevel="0" collapsed="false"/>
    <row r="2018" customFormat="false" ht="11.25" hidden="false" customHeight="true" outlineLevel="0" collapsed="false"/>
    <row r="2019" customFormat="false" ht="11.25" hidden="false" customHeight="true" outlineLevel="0" collapsed="false"/>
    <row r="2020" customFormat="false" ht="11.25" hidden="false" customHeight="true" outlineLevel="0" collapsed="false"/>
    <row r="2021" customFormat="false" ht="11.25" hidden="false" customHeight="true" outlineLevel="0" collapsed="false"/>
    <row r="2022" customFormat="false" ht="11.25" hidden="false" customHeight="true" outlineLevel="0" collapsed="false"/>
    <row r="2023" customFormat="false" ht="11.25" hidden="false" customHeight="true" outlineLevel="0" collapsed="false"/>
    <row r="2024" customFormat="false" ht="11.25" hidden="false" customHeight="true" outlineLevel="0" collapsed="false"/>
    <row r="2025" customFormat="false" ht="11.25" hidden="false" customHeight="true" outlineLevel="0" collapsed="false"/>
    <row r="2026" customFormat="false" ht="11.25" hidden="false" customHeight="true" outlineLevel="0" collapsed="false"/>
    <row r="2027" customFormat="false" ht="11.25" hidden="false" customHeight="true" outlineLevel="0" collapsed="false"/>
    <row r="2028" customFormat="false" ht="11.25" hidden="false" customHeight="true" outlineLevel="0" collapsed="false"/>
    <row r="2029" customFormat="false" ht="11.25" hidden="false" customHeight="true" outlineLevel="0" collapsed="false"/>
    <row r="2030" customFormat="false" ht="11.25" hidden="false" customHeight="true" outlineLevel="0" collapsed="false"/>
    <row r="2031" customFormat="false" ht="11.25" hidden="false" customHeight="true" outlineLevel="0" collapsed="false"/>
    <row r="2032" customFormat="false" ht="11.25" hidden="false" customHeight="true" outlineLevel="0" collapsed="false"/>
    <row r="2033" customFormat="false" ht="11.25" hidden="false" customHeight="true" outlineLevel="0" collapsed="false"/>
    <row r="2034" customFormat="false" ht="11.25" hidden="false" customHeight="true" outlineLevel="0" collapsed="false"/>
    <row r="2035" customFormat="false" ht="11.25" hidden="false" customHeight="true" outlineLevel="0" collapsed="false"/>
    <row r="2036" customFormat="false" ht="11.25" hidden="false" customHeight="true" outlineLevel="0" collapsed="false"/>
    <row r="2037" customFormat="false" ht="11.25" hidden="false" customHeight="true" outlineLevel="0" collapsed="false"/>
    <row r="2038" customFormat="false" ht="11.25" hidden="false" customHeight="true" outlineLevel="0" collapsed="false"/>
    <row r="2039" customFormat="false" ht="11.25" hidden="false" customHeight="true" outlineLevel="0" collapsed="false"/>
    <row r="2040" customFormat="false" ht="11.25" hidden="false" customHeight="true" outlineLevel="0" collapsed="false"/>
    <row r="2041" customFormat="false" ht="11.25" hidden="false" customHeight="true" outlineLevel="0" collapsed="false"/>
    <row r="2042" customFormat="false" ht="11.25" hidden="false" customHeight="true" outlineLevel="0" collapsed="false"/>
    <row r="2043" customFormat="false" ht="11.25" hidden="false" customHeight="true" outlineLevel="0" collapsed="false"/>
    <row r="2044" customFormat="false" ht="11.25" hidden="false" customHeight="true" outlineLevel="0" collapsed="false"/>
    <row r="2045" customFormat="false" ht="11.25" hidden="false" customHeight="true" outlineLevel="0" collapsed="false"/>
    <row r="2046" customFormat="false" ht="11.25" hidden="false" customHeight="true" outlineLevel="0" collapsed="false"/>
    <row r="2047" customFormat="false" ht="11.25" hidden="false" customHeight="true" outlineLevel="0" collapsed="false"/>
    <row r="2048" customFormat="false" ht="11.25" hidden="false" customHeight="true" outlineLevel="0" collapsed="false"/>
    <row r="2049" customFormat="false" ht="11.25" hidden="false" customHeight="true" outlineLevel="0" collapsed="false"/>
    <row r="2050" customFormat="false" ht="11.25" hidden="false" customHeight="true" outlineLevel="0" collapsed="false"/>
    <row r="2051" customFormat="false" ht="11.25" hidden="false" customHeight="true" outlineLevel="0" collapsed="false"/>
    <row r="2052" customFormat="false" ht="11.25" hidden="false" customHeight="true" outlineLevel="0" collapsed="false"/>
    <row r="2053" customFormat="false" ht="11.25" hidden="false" customHeight="true" outlineLevel="0" collapsed="false"/>
    <row r="2054" customFormat="false" ht="11.25" hidden="false" customHeight="true" outlineLevel="0" collapsed="false"/>
    <row r="2055" customFormat="false" ht="11.25" hidden="false" customHeight="true" outlineLevel="0" collapsed="false"/>
    <row r="2056" customFormat="false" ht="11.25" hidden="false" customHeight="true" outlineLevel="0" collapsed="false"/>
    <row r="2057" customFormat="false" ht="11.25" hidden="false" customHeight="true" outlineLevel="0" collapsed="false"/>
    <row r="2058" customFormat="false" ht="11.25" hidden="false" customHeight="true" outlineLevel="0" collapsed="false"/>
    <row r="2059" customFormat="false" ht="11.25" hidden="false" customHeight="true" outlineLevel="0" collapsed="false"/>
    <row r="2060" customFormat="false" ht="11.25" hidden="false" customHeight="true" outlineLevel="0" collapsed="false"/>
    <row r="2061" customFormat="false" ht="11.25" hidden="false" customHeight="true" outlineLevel="0" collapsed="false"/>
    <row r="2062" customFormat="false" ht="11.25" hidden="false" customHeight="true" outlineLevel="0" collapsed="false"/>
    <row r="2063" customFormat="false" ht="11.25" hidden="false" customHeight="true" outlineLevel="0" collapsed="false"/>
    <row r="2064" customFormat="false" ht="11.25" hidden="false" customHeight="true" outlineLevel="0" collapsed="false"/>
    <row r="2065" customFormat="false" ht="11.25" hidden="false" customHeight="true" outlineLevel="0" collapsed="false"/>
    <row r="2066" customFormat="false" ht="11.25" hidden="false" customHeight="true" outlineLevel="0" collapsed="false"/>
    <row r="2067" customFormat="false" ht="11.25" hidden="false" customHeight="true" outlineLevel="0" collapsed="false"/>
    <row r="2068" customFormat="false" ht="11.25" hidden="false" customHeight="true" outlineLevel="0" collapsed="false"/>
    <row r="2069" customFormat="false" ht="11.25" hidden="false" customHeight="true" outlineLevel="0" collapsed="false"/>
    <row r="2070" customFormat="false" ht="11.25" hidden="false" customHeight="true" outlineLevel="0" collapsed="false"/>
    <row r="2071" customFormat="false" ht="11.25" hidden="false" customHeight="true" outlineLevel="0" collapsed="false"/>
    <row r="2072" customFormat="false" ht="11.25" hidden="false" customHeight="true" outlineLevel="0" collapsed="false"/>
    <row r="2073" customFormat="false" ht="11.25" hidden="false" customHeight="true" outlineLevel="0" collapsed="false"/>
    <row r="2074" customFormat="false" ht="11.25" hidden="false" customHeight="true" outlineLevel="0" collapsed="false"/>
    <row r="2075" customFormat="false" ht="11.25" hidden="false" customHeight="true" outlineLevel="0" collapsed="false"/>
    <row r="2076" customFormat="false" ht="11.25" hidden="false" customHeight="true" outlineLevel="0" collapsed="false"/>
    <row r="2077" customFormat="false" ht="11.25" hidden="false" customHeight="true" outlineLevel="0" collapsed="false"/>
    <row r="2078" customFormat="false" ht="11.25" hidden="false" customHeight="true" outlineLevel="0" collapsed="false"/>
    <row r="2079" customFormat="false" ht="11.25" hidden="false" customHeight="true" outlineLevel="0" collapsed="false"/>
    <row r="2080" customFormat="false" ht="11.25" hidden="false" customHeight="true" outlineLevel="0" collapsed="false"/>
    <row r="2081" customFormat="false" ht="11.25" hidden="false" customHeight="true" outlineLevel="0" collapsed="false"/>
    <row r="2082" customFormat="false" ht="11.25" hidden="false" customHeight="true" outlineLevel="0" collapsed="false"/>
    <row r="2083" customFormat="false" ht="11.25" hidden="false" customHeight="true" outlineLevel="0" collapsed="false"/>
    <row r="2084" customFormat="false" ht="11.25" hidden="false" customHeight="true" outlineLevel="0" collapsed="false"/>
    <row r="2085" customFormat="false" ht="11.25" hidden="false" customHeight="true" outlineLevel="0" collapsed="false"/>
    <row r="2086" customFormat="false" ht="11.25" hidden="false" customHeight="true" outlineLevel="0" collapsed="false"/>
    <row r="2087" customFormat="false" ht="11.25" hidden="false" customHeight="true" outlineLevel="0" collapsed="false"/>
    <row r="2088" customFormat="false" ht="11.25" hidden="false" customHeight="true" outlineLevel="0" collapsed="false"/>
    <row r="2089" customFormat="false" ht="11.25" hidden="false" customHeight="true" outlineLevel="0" collapsed="false"/>
    <row r="2090" customFormat="false" ht="11.25" hidden="false" customHeight="true" outlineLevel="0" collapsed="false"/>
    <row r="2091" customFormat="false" ht="11.25" hidden="false" customHeight="true" outlineLevel="0" collapsed="false"/>
    <row r="2092" customFormat="false" ht="11.25" hidden="false" customHeight="true" outlineLevel="0" collapsed="false"/>
    <row r="2093" customFormat="false" ht="11.25" hidden="false" customHeight="true" outlineLevel="0" collapsed="false"/>
    <row r="2094" customFormat="false" ht="11.25" hidden="false" customHeight="true" outlineLevel="0" collapsed="false"/>
    <row r="2095" customFormat="false" ht="11.25" hidden="false" customHeight="true" outlineLevel="0" collapsed="false"/>
    <row r="2096" customFormat="false" ht="11.25" hidden="false" customHeight="true" outlineLevel="0" collapsed="false"/>
    <row r="2097" customFormat="false" ht="11.25" hidden="false" customHeight="true" outlineLevel="0" collapsed="false"/>
    <row r="2098" customFormat="false" ht="11.25" hidden="false" customHeight="true" outlineLevel="0" collapsed="false"/>
    <row r="2099" customFormat="false" ht="11.25" hidden="false" customHeight="true" outlineLevel="0" collapsed="false"/>
    <row r="2100" customFormat="false" ht="11.25" hidden="false" customHeight="true" outlineLevel="0" collapsed="false"/>
    <row r="2101" customFormat="false" ht="11.25" hidden="false" customHeight="true" outlineLevel="0" collapsed="false"/>
    <row r="2102" customFormat="false" ht="11.25" hidden="false" customHeight="true" outlineLevel="0" collapsed="false"/>
    <row r="2103" customFormat="false" ht="11.25" hidden="false" customHeight="true" outlineLevel="0" collapsed="false"/>
    <row r="2104" customFormat="false" ht="11.25" hidden="false" customHeight="true" outlineLevel="0" collapsed="false"/>
    <row r="2105" customFormat="false" ht="11.25" hidden="false" customHeight="true" outlineLevel="0" collapsed="false"/>
    <row r="2106" customFormat="false" ht="11.25" hidden="false" customHeight="true" outlineLevel="0" collapsed="false"/>
    <row r="2107" customFormat="false" ht="11.25" hidden="false" customHeight="true" outlineLevel="0" collapsed="false"/>
    <row r="2108" customFormat="false" ht="11.25" hidden="false" customHeight="true" outlineLevel="0" collapsed="false"/>
    <row r="2109" customFormat="false" ht="11.25" hidden="false" customHeight="true" outlineLevel="0" collapsed="false"/>
    <row r="2110" customFormat="false" ht="11.25" hidden="false" customHeight="true" outlineLevel="0" collapsed="false"/>
    <row r="2111" customFormat="false" ht="11.25" hidden="false" customHeight="true" outlineLevel="0" collapsed="false"/>
    <row r="2112" customFormat="false" ht="11.25" hidden="false" customHeight="true" outlineLevel="0" collapsed="false"/>
    <row r="2113" customFormat="false" ht="11.25" hidden="false" customHeight="true" outlineLevel="0" collapsed="false"/>
    <row r="2114" customFormat="false" ht="11.25" hidden="false" customHeight="true" outlineLevel="0" collapsed="false"/>
    <row r="2115" customFormat="false" ht="11.25" hidden="false" customHeight="true" outlineLevel="0" collapsed="false"/>
    <row r="2116" customFormat="false" ht="11.25" hidden="false" customHeight="true" outlineLevel="0" collapsed="false"/>
    <row r="2117" customFormat="false" ht="11.25" hidden="false" customHeight="true" outlineLevel="0" collapsed="false"/>
    <row r="2118" customFormat="false" ht="11.25" hidden="false" customHeight="true" outlineLevel="0" collapsed="false"/>
    <row r="2119" customFormat="false" ht="11.25" hidden="false" customHeight="true" outlineLevel="0" collapsed="false"/>
    <row r="2120" customFormat="false" ht="11.25" hidden="false" customHeight="true" outlineLevel="0" collapsed="false"/>
    <row r="2121" customFormat="false" ht="11.25" hidden="false" customHeight="true" outlineLevel="0" collapsed="false"/>
    <row r="2122" customFormat="false" ht="11.25" hidden="false" customHeight="true" outlineLevel="0" collapsed="false"/>
    <row r="2123" customFormat="false" ht="11.25" hidden="false" customHeight="true" outlineLevel="0" collapsed="false"/>
    <row r="2124" customFormat="false" ht="11.25" hidden="false" customHeight="true" outlineLevel="0" collapsed="false"/>
    <row r="2125" customFormat="false" ht="11.25" hidden="false" customHeight="true" outlineLevel="0" collapsed="false"/>
    <row r="2126" customFormat="false" ht="11.25" hidden="false" customHeight="true" outlineLevel="0" collapsed="false"/>
    <row r="2127" customFormat="false" ht="11.25" hidden="false" customHeight="true" outlineLevel="0" collapsed="false"/>
    <row r="2128" customFormat="false" ht="11.25" hidden="false" customHeight="true" outlineLevel="0" collapsed="false"/>
    <row r="2129" customFormat="false" ht="11.25" hidden="false" customHeight="true" outlineLevel="0" collapsed="false"/>
    <row r="2130" customFormat="false" ht="11.25" hidden="false" customHeight="true" outlineLevel="0" collapsed="false"/>
    <row r="2131" customFormat="false" ht="11.25" hidden="false" customHeight="true" outlineLevel="0" collapsed="false"/>
    <row r="2132" customFormat="false" ht="11.25" hidden="false" customHeight="true" outlineLevel="0" collapsed="false"/>
    <row r="2133" customFormat="false" ht="11.25" hidden="false" customHeight="true" outlineLevel="0" collapsed="false"/>
    <row r="2134" customFormat="false" ht="11.25" hidden="false" customHeight="true" outlineLevel="0" collapsed="false"/>
    <row r="2135" customFormat="false" ht="11.25" hidden="false" customHeight="true" outlineLevel="0" collapsed="false"/>
    <row r="2136" customFormat="false" ht="11.25" hidden="false" customHeight="true" outlineLevel="0" collapsed="false"/>
    <row r="2137" customFormat="false" ht="11.25" hidden="false" customHeight="true" outlineLevel="0" collapsed="false"/>
    <row r="2138" customFormat="false" ht="11.25" hidden="false" customHeight="true" outlineLevel="0" collapsed="false"/>
    <row r="2139" customFormat="false" ht="11.25" hidden="false" customHeight="true" outlineLevel="0" collapsed="false"/>
    <row r="2140" customFormat="false" ht="11.25" hidden="false" customHeight="true" outlineLevel="0" collapsed="false"/>
    <row r="2141" customFormat="false" ht="11.25" hidden="false" customHeight="true" outlineLevel="0" collapsed="false"/>
    <row r="2142" customFormat="false" ht="11.25" hidden="false" customHeight="true" outlineLevel="0" collapsed="false"/>
    <row r="2143" customFormat="false" ht="11.25" hidden="false" customHeight="true" outlineLevel="0" collapsed="false"/>
    <row r="2144" customFormat="false" ht="11.25" hidden="false" customHeight="true" outlineLevel="0" collapsed="false"/>
    <row r="2145" customFormat="false" ht="11.25" hidden="false" customHeight="true" outlineLevel="0" collapsed="false"/>
    <row r="2146" customFormat="false" ht="11.25" hidden="false" customHeight="true" outlineLevel="0" collapsed="false"/>
    <row r="2147" customFormat="false" ht="11.25" hidden="false" customHeight="true" outlineLevel="0" collapsed="false"/>
    <row r="2148" customFormat="false" ht="11.25" hidden="false" customHeight="true" outlineLevel="0" collapsed="false"/>
    <row r="2149" customFormat="false" ht="11.25" hidden="false" customHeight="true" outlineLevel="0" collapsed="false"/>
    <row r="2150" customFormat="false" ht="11.25" hidden="false" customHeight="true" outlineLevel="0" collapsed="false"/>
    <row r="2151" customFormat="false" ht="11.25" hidden="false" customHeight="true" outlineLevel="0" collapsed="false"/>
    <row r="2152" customFormat="false" ht="11.25" hidden="false" customHeight="true" outlineLevel="0" collapsed="false"/>
    <row r="2153" customFormat="false" ht="11.25" hidden="false" customHeight="true" outlineLevel="0" collapsed="false"/>
    <row r="2154" customFormat="false" ht="11.25" hidden="false" customHeight="true" outlineLevel="0" collapsed="false"/>
    <row r="2155" customFormat="false" ht="11.25" hidden="false" customHeight="true" outlineLevel="0" collapsed="false"/>
    <row r="2156" customFormat="false" ht="11.25" hidden="false" customHeight="true" outlineLevel="0" collapsed="false"/>
    <row r="2157" customFormat="false" ht="11.25" hidden="false" customHeight="true" outlineLevel="0" collapsed="false"/>
    <row r="2158" customFormat="false" ht="11.25" hidden="false" customHeight="true" outlineLevel="0" collapsed="false"/>
    <row r="2159" customFormat="false" ht="11.25" hidden="false" customHeight="true" outlineLevel="0" collapsed="false"/>
    <row r="2160" customFormat="false" ht="11.25" hidden="false" customHeight="true" outlineLevel="0" collapsed="false"/>
    <row r="2161" customFormat="false" ht="11.25" hidden="false" customHeight="true" outlineLevel="0" collapsed="false"/>
    <row r="2162" customFormat="false" ht="11.25" hidden="false" customHeight="true" outlineLevel="0" collapsed="false"/>
    <row r="2163" customFormat="false" ht="11.25" hidden="false" customHeight="true" outlineLevel="0" collapsed="false"/>
    <row r="2164" customFormat="false" ht="11.25" hidden="false" customHeight="true" outlineLevel="0" collapsed="false"/>
    <row r="2165" customFormat="false" ht="11.25" hidden="false" customHeight="true" outlineLevel="0" collapsed="false"/>
    <row r="2166" customFormat="false" ht="11.25" hidden="false" customHeight="true" outlineLevel="0" collapsed="false"/>
    <row r="2167" customFormat="false" ht="11.25" hidden="false" customHeight="true" outlineLevel="0" collapsed="false"/>
    <row r="2168" customFormat="false" ht="11.25" hidden="false" customHeight="true" outlineLevel="0" collapsed="false"/>
    <row r="2169" customFormat="false" ht="11.25" hidden="false" customHeight="true" outlineLevel="0" collapsed="false"/>
    <row r="2170" customFormat="false" ht="11.25" hidden="false" customHeight="true" outlineLevel="0" collapsed="false"/>
    <row r="2171" customFormat="false" ht="11.25" hidden="false" customHeight="true" outlineLevel="0" collapsed="false"/>
    <row r="2172" customFormat="false" ht="11.25" hidden="false" customHeight="true" outlineLevel="0" collapsed="false"/>
    <row r="2173" customFormat="false" ht="11.25" hidden="false" customHeight="true" outlineLevel="0" collapsed="false"/>
    <row r="2174" customFormat="false" ht="11.25" hidden="false" customHeight="true" outlineLevel="0" collapsed="false"/>
    <row r="2175" customFormat="false" ht="11.25" hidden="false" customHeight="true" outlineLevel="0" collapsed="false"/>
    <row r="2176" customFormat="false" ht="11.25" hidden="false" customHeight="true" outlineLevel="0" collapsed="false"/>
    <row r="2177" customFormat="false" ht="11.25" hidden="false" customHeight="true" outlineLevel="0" collapsed="false"/>
    <row r="2178" customFormat="false" ht="11.25" hidden="false" customHeight="true" outlineLevel="0" collapsed="false"/>
    <row r="2179" customFormat="false" ht="11.25" hidden="false" customHeight="true" outlineLevel="0" collapsed="false"/>
    <row r="2180" customFormat="false" ht="11.25" hidden="false" customHeight="true" outlineLevel="0" collapsed="false"/>
    <row r="2181" customFormat="false" ht="11.25" hidden="false" customHeight="true" outlineLevel="0" collapsed="false"/>
    <row r="2182" customFormat="false" ht="11.25" hidden="false" customHeight="true" outlineLevel="0" collapsed="false"/>
    <row r="2183" customFormat="false" ht="11.25" hidden="false" customHeight="true" outlineLevel="0" collapsed="false"/>
    <row r="2184" customFormat="false" ht="11.25" hidden="false" customHeight="true" outlineLevel="0" collapsed="false"/>
    <row r="2185" customFormat="false" ht="11.25" hidden="false" customHeight="true" outlineLevel="0" collapsed="false"/>
    <row r="2186" customFormat="false" ht="11.25" hidden="false" customHeight="true" outlineLevel="0" collapsed="false"/>
    <row r="2187" customFormat="false" ht="11.25" hidden="false" customHeight="true" outlineLevel="0" collapsed="false"/>
    <row r="2188" customFormat="false" ht="11.25" hidden="false" customHeight="true" outlineLevel="0" collapsed="false"/>
    <row r="2189" customFormat="false" ht="11.25" hidden="false" customHeight="true" outlineLevel="0" collapsed="false"/>
    <row r="2190" customFormat="false" ht="11.25" hidden="false" customHeight="true" outlineLevel="0" collapsed="false"/>
    <row r="2191" customFormat="false" ht="11.25" hidden="false" customHeight="true" outlineLevel="0" collapsed="false"/>
    <row r="2192" customFormat="false" ht="11.25" hidden="false" customHeight="true" outlineLevel="0" collapsed="false"/>
    <row r="2193" customFormat="false" ht="11.25" hidden="false" customHeight="true" outlineLevel="0" collapsed="false"/>
    <row r="2194" customFormat="false" ht="11.25" hidden="false" customHeight="true" outlineLevel="0" collapsed="false"/>
    <row r="2195" customFormat="false" ht="11.25" hidden="false" customHeight="true" outlineLevel="0" collapsed="false"/>
    <row r="2196" customFormat="false" ht="11.25" hidden="false" customHeight="true" outlineLevel="0" collapsed="false"/>
    <row r="2197" customFormat="false" ht="11.25" hidden="false" customHeight="true" outlineLevel="0" collapsed="false"/>
    <row r="2198" customFormat="false" ht="11.25" hidden="false" customHeight="true" outlineLevel="0" collapsed="false"/>
    <row r="2199" customFormat="false" ht="11.25" hidden="false" customHeight="true" outlineLevel="0" collapsed="false"/>
    <row r="2200" customFormat="false" ht="11.25" hidden="false" customHeight="true" outlineLevel="0" collapsed="false"/>
    <row r="2201" customFormat="false" ht="11.25" hidden="false" customHeight="true" outlineLevel="0" collapsed="false"/>
    <row r="2202" customFormat="false" ht="11.25" hidden="false" customHeight="true" outlineLevel="0" collapsed="false"/>
    <row r="2203" customFormat="false" ht="11.25" hidden="false" customHeight="true" outlineLevel="0" collapsed="false"/>
    <row r="2204" customFormat="false" ht="11.25" hidden="false" customHeight="true" outlineLevel="0" collapsed="false"/>
    <row r="2205" customFormat="false" ht="11.25" hidden="false" customHeight="true" outlineLevel="0" collapsed="false"/>
    <row r="2206" customFormat="false" ht="11.25" hidden="false" customHeight="true" outlineLevel="0" collapsed="false"/>
    <row r="2207" customFormat="false" ht="11.25" hidden="false" customHeight="true" outlineLevel="0" collapsed="false"/>
    <row r="2208" customFormat="false" ht="11.25" hidden="false" customHeight="true" outlineLevel="0" collapsed="false"/>
    <row r="2209" customFormat="false" ht="11.25" hidden="false" customHeight="true" outlineLevel="0" collapsed="false"/>
    <row r="2210" customFormat="false" ht="11.25" hidden="false" customHeight="true" outlineLevel="0" collapsed="false"/>
    <row r="2211" customFormat="false" ht="11.25" hidden="false" customHeight="true" outlineLevel="0" collapsed="false"/>
    <row r="2212" customFormat="false" ht="11.25" hidden="false" customHeight="true" outlineLevel="0" collapsed="false"/>
    <row r="2213" customFormat="false" ht="11.25" hidden="false" customHeight="true" outlineLevel="0" collapsed="false"/>
    <row r="2214" customFormat="false" ht="11.25" hidden="false" customHeight="true" outlineLevel="0" collapsed="false"/>
    <row r="2215" customFormat="false" ht="11.25" hidden="false" customHeight="true" outlineLevel="0" collapsed="false"/>
    <row r="2216" customFormat="false" ht="11.25" hidden="false" customHeight="true" outlineLevel="0" collapsed="false"/>
    <row r="2217" customFormat="false" ht="11.25" hidden="false" customHeight="true" outlineLevel="0" collapsed="false"/>
    <row r="2218" customFormat="false" ht="11.25" hidden="false" customHeight="true" outlineLevel="0" collapsed="false"/>
    <row r="2219" customFormat="false" ht="11.25" hidden="false" customHeight="true" outlineLevel="0" collapsed="false"/>
    <row r="2220" customFormat="false" ht="11.25" hidden="false" customHeight="true" outlineLevel="0" collapsed="false"/>
    <row r="2221" customFormat="false" ht="11.25" hidden="false" customHeight="true" outlineLevel="0" collapsed="false"/>
    <row r="2222" customFormat="false" ht="11.25" hidden="false" customHeight="true" outlineLevel="0" collapsed="false"/>
    <row r="2223" customFormat="false" ht="11.25" hidden="false" customHeight="true" outlineLevel="0" collapsed="false"/>
    <row r="2224" customFormat="false" ht="11.25" hidden="false" customHeight="true" outlineLevel="0" collapsed="false"/>
    <row r="2225" customFormat="false" ht="11.25" hidden="false" customHeight="true" outlineLevel="0" collapsed="false"/>
    <row r="2226" customFormat="false" ht="11.25" hidden="false" customHeight="true" outlineLevel="0" collapsed="false"/>
    <row r="2227" customFormat="false" ht="11.25" hidden="false" customHeight="true" outlineLevel="0" collapsed="false"/>
    <row r="2228" customFormat="false" ht="11.25" hidden="false" customHeight="true" outlineLevel="0" collapsed="false"/>
    <row r="2229" customFormat="false" ht="11.25" hidden="false" customHeight="true" outlineLevel="0" collapsed="false"/>
    <row r="2230" customFormat="false" ht="11.25" hidden="false" customHeight="true" outlineLevel="0" collapsed="false"/>
    <row r="2231" customFormat="false" ht="11.25" hidden="false" customHeight="true" outlineLevel="0" collapsed="false"/>
    <row r="2232" customFormat="false" ht="11.25" hidden="false" customHeight="true" outlineLevel="0" collapsed="false"/>
    <row r="2233" customFormat="false" ht="11.25" hidden="false" customHeight="true" outlineLevel="0" collapsed="false"/>
    <row r="2234" customFormat="false" ht="11.25" hidden="false" customHeight="true" outlineLevel="0" collapsed="false"/>
    <row r="2235" customFormat="false" ht="11.25" hidden="false" customHeight="true" outlineLevel="0" collapsed="false"/>
    <row r="2236" customFormat="false" ht="11.25" hidden="false" customHeight="true" outlineLevel="0" collapsed="false"/>
    <row r="2237" customFormat="false" ht="11.25" hidden="false" customHeight="true" outlineLevel="0" collapsed="false"/>
    <row r="2238" customFormat="false" ht="11.25" hidden="false" customHeight="true" outlineLevel="0" collapsed="false"/>
    <row r="2239" customFormat="false" ht="11.25" hidden="false" customHeight="true" outlineLevel="0" collapsed="false"/>
    <row r="2240" customFormat="false" ht="11.25" hidden="false" customHeight="true" outlineLevel="0" collapsed="false"/>
    <row r="2241" customFormat="false" ht="11.25" hidden="false" customHeight="true" outlineLevel="0" collapsed="false"/>
    <row r="2242" customFormat="false" ht="11.25" hidden="false" customHeight="true" outlineLevel="0" collapsed="false"/>
    <row r="2243" customFormat="false" ht="11.25" hidden="false" customHeight="true" outlineLevel="0" collapsed="false"/>
    <row r="2244" customFormat="false" ht="11.25" hidden="false" customHeight="true" outlineLevel="0" collapsed="false"/>
    <row r="2245" customFormat="false" ht="11.25" hidden="false" customHeight="true" outlineLevel="0" collapsed="false"/>
    <row r="2246" customFormat="false" ht="11.25" hidden="false" customHeight="true" outlineLevel="0" collapsed="false"/>
    <row r="2247" customFormat="false" ht="11.25" hidden="false" customHeight="true" outlineLevel="0" collapsed="false"/>
    <row r="2248" customFormat="false" ht="11.25" hidden="false" customHeight="true" outlineLevel="0" collapsed="false"/>
    <row r="2249" customFormat="false" ht="11.25" hidden="false" customHeight="true" outlineLevel="0" collapsed="false"/>
    <row r="2250" customFormat="false" ht="11.25" hidden="false" customHeight="true" outlineLevel="0" collapsed="false"/>
    <row r="2251" customFormat="false" ht="11.25" hidden="false" customHeight="true" outlineLevel="0" collapsed="false"/>
    <row r="2252" customFormat="false" ht="11.25" hidden="false" customHeight="true" outlineLevel="0" collapsed="false"/>
    <row r="2253" customFormat="false" ht="11.25" hidden="false" customHeight="true" outlineLevel="0" collapsed="false"/>
    <row r="2254" customFormat="false" ht="11.25" hidden="false" customHeight="true" outlineLevel="0" collapsed="false"/>
    <row r="2255" customFormat="false" ht="11.25" hidden="false" customHeight="true" outlineLevel="0" collapsed="false"/>
    <row r="2256" customFormat="false" ht="11.25" hidden="false" customHeight="true" outlineLevel="0" collapsed="false"/>
    <row r="2257" customFormat="false" ht="11.25" hidden="false" customHeight="true" outlineLevel="0" collapsed="false"/>
    <row r="2258" customFormat="false" ht="11.25" hidden="false" customHeight="true" outlineLevel="0" collapsed="false"/>
    <row r="2259" customFormat="false" ht="11.25" hidden="false" customHeight="true" outlineLevel="0" collapsed="false"/>
    <row r="2260" customFormat="false" ht="11.25" hidden="false" customHeight="true" outlineLevel="0" collapsed="false"/>
    <row r="2261" customFormat="false" ht="11.25" hidden="false" customHeight="true" outlineLevel="0" collapsed="false"/>
    <row r="2262" customFormat="false" ht="11.25" hidden="false" customHeight="true" outlineLevel="0" collapsed="false"/>
    <row r="2263" customFormat="false" ht="11.25" hidden="false" customHeight="true" outlineLevel="0" collapsed="false"/>
    <row r="2264" customFormat="false" ht="11.25" hidden="false" customHeight="true" outlineLevel="0" collapsed="false"/>
    <row r="2265" customFormat="false" ht="11.25" hidden="false" customHeight="true" outlineLevel="0" collapsed="false"/>
    <row r="2266" customFormat="false" ht="11.25" hidden="false" customHeight="true" outlineLevel="0" collapsed="false"/>
    <row r="2267" customFormat="false" ht="11.25" hidden="false" customHeight="true" outlineLevel="0" collapsed="false"/>
    <row r="2268" customFormat="false" ht="11.25" hidden="false" customHeight="true" outlineLevel="0" collapsed="false"/>
    <row r="2269" customFormat="false" ht="11.25" hidden="false" customHeight="true" outlineLevel="0" collapsed="false"/>
    <row r="2270" customFormat="false" ht="11.25" hidden="false" customHeight="true" outlineLevel="0" collapsed="false"/>
    <row r="2271" customFormat="false" ht="11.25" hidden="false" customHeight="true" outlineLevel="0" collapsed="false"/>
    <row r="2272" customFormat="false" ht="11.25" hidden="false" customHeight="true" outlineLevel="0" collapsed="false"/>
    <row r="2273" customFormat="false" ht="11.25" hidden="false" customHeight="true" outlineLevel="0" collapsed="false"/>
    <row r="2274" customFormat="false" ht="11.25" hidden="false" customHeight="true" outlineLevel="0" collapsed="false"/>
    <row r="2275" customFormat="false" ht="11.25" hidden="false" customHeight="true" outlineLevel="0" collapsed="false"/>
    <row r="2276" customFormat="false" ht="11.25" hidden="false" customHeight="true" outlineLevel="0" collapsed="false"/>
    <row r="2277" customFormat="false" ht="11.25" hidden="false" customHeight="true" outlineLevel="0" collapsed="false"/>
    <row r="2278" customFormat="false" ht="11.25" hidden="false" customHeight="true" outlineLevel="0" collapsed="false"/>
    <row r="2279" customFormat="false" ht="11.25" hidden="false" customHeight="true" outlineLevel="0" collapsed="false"/>
    <row r="2280" customFormat="false" ht="11.25" hidden="false" customHeight="true" outlineLevel="0" collapsed="false"/>
    <row r="2281" customFormat="false" ht="11.25" hidden="false" customHeight="true" outlineLevel="0" collapsed="false"/>
    <row r="2282" customFormat="false" ht="11.25" hidden="false" customHeight="true" outlineLevel="0" collapsed="false"/>
    <row r="2283" customFormat="false" ht="11.25" hidden="false" customHeight="true" outlineLevel="0" collapsed="false"/>
    <row r="2284" customFormat="false" ht="11.25" hidden="false" customHeight="true" outlineLevel="0" collapsed="false"/>
    <row r="2285" customFormat="false" ht="11.25" hidden="false" customHeight="true" outlineLevel="0" collapsed="false"/>
    <row r="2286" customFormat="false" ht="11.25" hidden="false" customHeight="true" outlineLevel="0" collapsed="false"/>
    <row r="2287" customFormat="false" ht="11.25" hidden="false" customHeight="true" outlineLevel="0" collapsed="false"/>
    <row r="2288" customFormat="false" ht="11.25" hidden="false" customHeight="true" outlineLevel="0" collapsed="false"/>
    <row r="2289" customFormat="false" ht="11.25" hidden="false" customHeight="true" outlineLevel="0" collapsed="false"/>
    <row r="2290" customFormat="false" ht="11.25" hidden="false" customHeight="true" outlineLevel="0" collapsed="false"/>
    <row r="2291" customFormat="false" ht="11.25" hidden="false" customHeight="true" outlineLevel="0" collapsed="false"/>
    <row r="2292" customFormat="false" ht="11.25" hidden="false" customHeight="true" outlineLevel="0" collapsed="false"/>
    <row r="2293" customFormat="false" ht="11.25" hidden="false" customHeight="true" outlineLevel="0" collapsed="false"/>
    <row r="2294" customFormat="false" ht="11.25" hidden="false" customHeight="true" outlineLevel="0" collapsed="false"/>
    <row r="2295" customFormat="false" ht="11.25" hidden="false" customHeight="true" outlineLevel="0" collapsed="false"/>
    <row r="2296" customFormat="false" ht="11.25" hidden="false" customHeight="true" outlineLevel="0" collapsed="false"/>
    <row r="2297" customFormat="false" ht="11.25" hidden="false" customHeight="true" outlineLevel="0" collapsed="false"/>
    <row r="2298" customFormat="false" ht="11.25" hidden="false" customHeight="true" outlineLevel="0" collapsed="false"/>
    <row r="2299" customFormat="false" ht="11.25" hidden="false" customHeight="true" outlineLevel="0" collapsed="false"/>
    <row r="2300" customFormat="false" ht="11.25" hidden="false" customHeight="true" outlineLevel="0" collapsed="false"/>
    <row r="2301" customFormat="false" ht="11.25" hidden="false" customHeight="true" outlineLevel="0" collapsed="false"/>
    <row r="2302" customFormat="false" ht="11.25" hidden="false" customHeight="true" outlineLevel="0" collapsed="false"/>
    <row r="2303" customFormat="false" ht="11.25" hidden="false" customHeight="true" outlineLevel="0" collapsed="false"/>
    <row r="2304" customFormat="false" ht="11.25" hidden="false" customHeight="true" outlineLevel="0" collapsed="false"/>
    <row r="2305" customFormat="false" ht="11.25" hidden="false" customHeight="true" outlineLevel="0" collapsed="false"/>
    <row r="2306" customFormat="false" ht="11.25" hidden="false" customHeight="true" outlineLevel="0" collapsed="false"/>
    <row r="2307" customFormat="false" ht="11.25" hidden="false" customHeight="true" outlineLevel="0" collapsed="false"/>
    <row r="2308" customFormat="false" ht="11.25" hidden="false" customHeight="true" outlineLevel="0" collapsed="false"/>
    <row r="2309" customFormat="false" ht="11.25" hidden="false" customHeight="true" outlineLevel="0" collapsed="false"/>
    <row r="2310" customFormat="false" ht="11.25" hidden="false" customHeight="true" outlineLevel="0" collapsed="false"/>
    <row r="2311" customFormat="false" ht="11.25" hidden="false" customHeight="true" outlineLevel="0" collapsed="false"/>
    <row r="2312" customFormat="false" ht="11.25" hidden="false" customHeight="true" outlineLevel="0" collapsed="false"/>
    <row r="2313" customFormat="false" ht="11.25" hidden="false" customHeight="true" outlineLevel="0" collapsed="false"/>
    <row r="2314" customFormat="false" ht="11.25" hidden="false" customHeight="true" outlineLevel="0" collapsed="false"/>
    <row r="2315" customFormat="false" ht="11.25" hidden="false" customHeight="true" outlineLevel="0" collapsed="false"/>
    <row r="2316" customFormat="false" ht="11.25" hidden="false" customHeight="true" outlineLevel="0" collapsed="false"/>
    <row r="2317" customFormat="false" ht="11.25" hidden="false" customHeight="true" outlineLevel="0" collapsed="false"/>
    <row r="2318" customFormat="false" ht="11.25" hidden="false" customHeight="true" outlineLevel="0" collapsed="false"/>
    <row r="2319" customFormat="false" ht="11.25" hidden="false" customHeight="true" outlineLevel="0" collapsed="false"/>
    <row r="2320" customFormat="false" ht="11.25" hidden="false" customHeight="true" outlineLevel="0" collapsed="false"/>
    <row r="2321" customFormat="false" ht="11.25" hidden="false" customHeight="true" outlineLevel="0" collapsed="false"/>
    <row r="2322" customFormat="false" ht="11.25" hidden="false" customHeight="true" outlineLevel="0" collapsed="false"/>
    <row r="2323" customFormat="false" ht="11.25" hidden="false" customHeight="true" outlineLevel="0" collapsed="false"/>
    <row r="2324" customFormat="false" ht="11.25" hidden="false" customHeight="true" outlineLevel="0" collapsed="false"/>
    <row r="2325" customFormat="false" ht="11.25" hidden="false" customHeight="true" outlineLevel="0" collapsed="false"/>
    <row r="2326" customFormat="false" ht="11.25" hidden="false" customHeight="true" outlineLevel="0" collapsed="false"/>
    <row r="2327" customFormat="false" ht="11.25" hidden="false" customHeight="true" outlineLevel="0" collapsed="false"/>
    <row r="2328" customFormat="false" ht="11.25" hidden="false" customHeight="true" outlineLevel="0" collapsed="false"/>
    <row r="2329" customFormat="false" ht="11.25" hidden="false" customHeight="true" outlineLevel="0" collapsed="false"/>
    <row r="2330" customFormat="false" ht="11.25" hidden="false" customHeight="true" outlineLevel="0" collapsed="false"/>
    <row r="2331" customFormat="false" ht="11.25" hidden="false" customHeight="true" outlineLevel="0" collapsed="false"/>
    <row r="2332" customFormat="false" ht="11.25" hidden="false" customHeight="true" outlineLevel="0" collapsed="false"/>
    <row r="2333" customFormat="false" ht="11.25" hidden="false" customHeight="true" outlineLevel="0" collapsed="false"/>
    <row r="2334" customFormat="false" ht="11.25" hidden="false" customHeight="true" outlineLevel="0" collapsed="false"/>
    <row r="2335" customFormat="false" ht="11.25" hidden="false" customHeight="true" outlineLevel="0" collapsed="false"/>
    <row r="2336" customFormat="false" ht="11.25" hidden="false" customHeight="true" outlineLevel="0" collapsed="false"/>
    <row r="2337" customFormat="false" ht="11.25" hidden="false" customHeight="true" outlineLevel="0" collapsed="false"/>
    <row r="2338" customFormat="false" ht="11.25" hidden="false" customHeight="true" outlineLevel="0" collapsed="false"/>
    <row r="2339" customFormat="false" ht="11.25" hidden="false" customHeight="true" outlineLevel="0" collapsed="false"/>
    <row r="2340" customFormat="false" ht="11.25" hidden="false" customHeight="true" outlineLevel="0" collapsed="false"/>
    <row r="2341" customFormat="false" ht="11.25" hidden="false" customHeight="true" outlineLevel="0" collapsed="false"/>
    <row r="2342" customFormat="false" ht="11.25" hidden="false" customHeight="true" outlineLevel="0" collapsed="false"/>
    <row r="2343" customFormat="false" ht="11.25" hidden="false" customHeight="true" outlineLevel="0" collapsed="false"/>
    <row r="2344" customFormat="false" ht="11.25" hidden="false" customHeight="true" outlineLevel="0" collapsed="false"/>
    <row r="2345" customFormat="false" ht="11.25" hidden="false" customHeight="true" outlineLevel="0" collapsed="false"/>
    <row r="2346" customFormat="false" ht="11.25" hidden="false" customHeight="true" outlineLevel="0" collapsed="false"/>
    <row r="2347" customFormat="false" ht="11.25" hidden="false" customHeight="true" outlineLevel="0" collapsed="false"/>
    <row r="2348" customFormat="false" ht="11.25" hidden="false" customHeight="true" outlineLevel="0" collapsed="false"/>
    <row r="2349" customFormat="false" ht="11.25" hidden="false" customHeight="true" outlineLevel="0" collapsed="false"/>
    <row r="2350" customFormat="false" ht="11.25" hidden="false" customHeight="true" outlineLevel="0" collapsed="false"/>
    <row r="2351" customFormat="false" ht="11.25" hidden="false" customHeight="true" outlineLevel="0" collapsed="false"/>
    <row r="2352" customFormat="false" ht="11.25" hidden="false" customHeight="true" outlineLevel="0" collapsed="false"/>
    <row r="2353" customFormat="false" ht="11.25" hidden="false" customHeight="true" outlineLevel="0" collapsed="false"/>
    <row r="2354" customFormat="false" ht="11.25" hidden="false" customHeight="true" outlineLevel="0" collapsed="false"/>
    <row r="2355" customFormat="false" ht="11.25" hidden="false" customHeight="true" outlineLevel="0" collapsed="false"/>
    <row r="2356" customFormat="false" ht="11.25" hidden="false" customHeight="true" outlineLevel="0" collapsed="false"/>
    <row r="2357" customFormat="false" ht="11.25" hidden="false" customHeight="true" outlineLevel="0" collapsed="false"/>
    <row r="2358" customFormat="false" ht="11.25" hidden="false" customHeight="true" outlineLevel="0" collapsed="false"/>
    <row r="2359" customFormat="false" ht="11.25" hidden="false" customHeight="true" outlineLevel="0" collapsed="false"/>
    <row r="2360" customFormat="false" ht="11.25" hidden="false" customHeight="true" outlineLevel="0" collapsed="false"/>
    <row r="2361" customFormat="false" ht="11.25" hidden="false" customHeight="true" outlineLevel="0" collapsed="false"/>
    <row r="2362" customFormat="false" ht="11.25" hidden="false" customHeight="true" outlineLevel="0" collapsed="false"/>
    <row r="2363" customFormat="false" ht="11.25" hidden="false" customHeight="true" outlineLevel="0" collapsed="false"/>
    <row r="2364" customFormat="false" ht="11.25" hidden="false" customHeight="true" outlineLevel="0" collapsed="false"/>
    <row r="2365" customFormat="false" ht="11.25" hidden="false" customHeight="true" outlineLevel="0" collapsed="false"/>
    <row r="2366" customFormat="false" ht="11.25" hidden="false" customHeight="true" outlineLevel="0" collapsed="false"/>
    <row r="2367" customFormat="false" ht="11.25" hidden="false" customHeight="true" outlineLevel="0" collapsed="false"/>
    <row r="2368" customFormat="false" ht="11.25" hidden="false" customHeight="true" outlineLevel="0" collapsed="false"/>
    <row r="2369" customFormat="false" ht="11.25" hidden="false" customHeight="true" outlineLevel="0" collapsed="false"/>
    <row r="2370" customFormat="false" ht="11.25" hidden="false" customHeight="true" outlineLevel="0" collapsed="false"/>
    <row r="2371" customFormat="false" ht="11.25" hidden="false" customHeight="true" outlineLevel="0" collapsed="false"/>
    <row r="2372" customFormat="false" ht="11.25" hidden="false" customHeight="true" outlineLevel="0" collapsed="false"/>
    <row r="2373" customFormat="false" ht="11.25" hidden="false" customHeight="true" outlineLevel="0" collapsed="false"/>
    <row r="2374" customFormat="false" ht="11.25" hidden="false" customHeight="true" outlineLevel="0" collapsed="false"/>
    <row r="2375" customFormat="false" ht="11.25" hidden="false" customHeight="true" outlineLevel="0" collapsed="false"/>
    <row r="2376" customFormat="false" ht="11.25" hidden="false" customHeight="true" outlineLevel="0" collapsed="false"/>
    <row r="2377" customFormat="false" ht="11.25" hidden="false" customHeight="true" outlineLevel="0" collapsed="false"/>
    <row r="2378" customFormat="false" ht="11.25" hidden="false" customHeight="true" outlineLevel="0" collapsed="false"/>
    <row r="2379" customFormat="false" ht="11.25" hidden="false" customHeight="true" outlineLevel="0" collapsed="false"/>
    <row r="2380" customFormat="false" ht="11.25" hidden="false" customHeight="true" outlineLevel="0" collapsed="false"/>
    <row r="2381" customFormat="false" ht="11.25" hidden="false" customHeight="true" outlineLevel="0" collapsed="false"/>
    <row r="2382" customFormat="false" ht="11.25" hidden="false" customHeight="true" outlineLevel="0" collapsed="false"/>
    <row r="2383" customFormat="false" ht="11.25" hidden="false" customHeight="true" outlineLevel="0" collapsed="false"/>
    <row r="2384" customFormat="false" ht="11.25" hidden="false" customHeight="true" outlineLevel="0" collapsed="false"/>
    <row r="2385" customFormat="false" ht="11.25" hidden="false" customHeight="true" outlineLevel="0" collapsed="false"/>
    <row r="2386" customFormat="false" ht="11.25" hidden="false" customHeight="true" outlineLevel="0" collapsed="false"/>
    <row r="2387" customFormat="false" ht="11.25" hidden="false" customHeight="true" outlineLevel="0" collapsed="false"/>
    <row r="2388" customFormat="false" ht="11.25" hidden="false" customHeight="true" outlineLevel="0" collapsed="false"/>
    <row r="2389" customFormat="false" ht="11.25" hidden="false" customHeight="true" outlineLevel="0" collapsed="false"/>
    <row r="2390" customFormat="false" ht="11.25" hidden="false" customHeight="true" outlineLevel="0" collapsed="false"/>
    <row r="2391" customFormat="false" ht="11.25" hidden="false" customHeight="true" outlineLevel="0" collapsed="false"/>
    <row r="2392" customFormat="false" ht="11.25" hidden="false" customHeight="true" outlineLevel="0" collapsed="false"/>
    <row r="2393" customFormat="false" ht="11.25" hidden="false" customHeight="true" outlineLevel="0" collapsed="false"/>
    <row r="2394" customFormat="false" ht="11.25" hidden="false" customHeight="true" outlineLevel="0" collapsed="false"/>
    <row r="2395" customFormat="false" ht="11.25" hidden="false" customHeight="true" outlineLevel="0" collapsed="false"/>
    <row r="2396" customFormat="false" ht="11.25" hidden="false" customHeight="true" outlineLevel="0" collapsed="false"/>
    <row r="2397" customFormat="false" ht="11.25" hidden="false" customHeight="true" outlineLevel="0" collapsed="false"/>
    <row r="2398" customFormat="false" ht="11.25" hidden="false" customHeight="true" outlineLevel="0" collapsed="false"/>
    <row r="2399" customFormat="false" ht="11.25" hidden="false" customHeight="true" outlineLevel="0" collapsed="false"/>
    <row r="2400" customFormat="false" ht="11.25" hidden="false" customHeight="true" outlineLevel="0" collapsed="false"/>
    <row r="2401" customFormat="false" ht="11.25" hidden="false" customHeight="true" outlineLevel="0" collapsed="false"/>
    <row r="2402" customFormat="false" ht="11.25" hidden="false" customHeight="true" outlineLevel="0" collapsed="false"/>
    <row r="2403" customFormat="false" ht="11.25" hidden="false" customHeight="true" outlineLevel="0" collapsed="false"/>
    <row r="2404" customFormat="false" ht="11.25" hidden="false" customHeight="true" outlineLevel="0" collapsed="false"/>
    <row r="2405" customFormat="false" ht="11.25" hidden="false" customHeight="true" outlineLevel="0" collapsed="false"/>
    <row r="2406" customFormat="false" ht="11.25" hidden="false" customHeight="true" outlineLevel="0" collapsed="false"/>
    <row r="2407" customFormat="false" ht="11.25" hidden="false" customHeight="true" outlineLevel="0" collapsed="false"/>
    <row r="2408" customFormat="false" ht="11.25" hidden="false" customHeight="true" outlineLevel="0" collapsed="false"/>
    <row r="2409" customFormat="false" ht="11.25" hidden="false" customHeight="true" outlineLevel="0" collapsed="false"/>
    <row r="2410" customFormat="false" ht="11.25" hidden="false" customHeight="true" outlineLevel="0" collapsed="false"/>
    <row r="2411" customFormat="false" ht="11.25" hidden="false" customHeight="true" outlineLevel="0" collapsed="false"/>
    <row r="2412" customFormat="false" ht="11.25" hidden="false" customHeight="true" outlineLevel="0" collapsed="false"/>
    <row r="2413" customFormat="false" ht="11.25" hidden="false" customHeight="true" outlineLevel="0" collapsed="false"/>
    <row r="2414" customFormat="false" ht="11.25" hidden="false" customHeight="true" outlineLevel="0" collapsed="false"/>
    <row r="2415" customFormat="false" ht="11.25" hidden="false" customHeight="true" outlineLevel="0" collapsed="false"/>
    <row r="2416" customFormat="false" ht="11.25" hidden="false" customHeight="true" outlineLevel="0" collapsed="false"/>
    <row r="2417" customFormat="false" ht="11.25" hidden="false" customHeight="true" outlineLevel="0" collapsed="false"/>
    <row r="2418" customFormat="false" ht="11.25" hidden="false" customHeight="true" outlineLevel="0" collapsed="false"/>
    <row r="2419" customFormat="false" ht="11.25" hidden="false" customHeight="true" outlineLevel="0" collapsed="false"/>
    <row r="2420" customFormat="false" ht="11.25" hidden="false" customHeight="true" outlineLevel="0" collapsed="false"/>
    <row r="2421" customFormat="false" ht="11.25" hidden="false" customHeight="true" outlineLevel="0" collapsed="false"/>
    <row r="2422" customFormat="false" ht="11.25" hidden="false" customHeight="true" outlineLevel="0" collapsed="false"/>
    <row r="2423" customFormat="false" ht="11.25" hidden="false" customHeight="true" outlineLevel="0" collapsed="false"/>
    <row r="2424" customFormat="false" ht="11.25" hidden="false" customHeight="true" outlineLevel="0" collapsed="false"/>
    <row r="2425" customFormat="false" ht="11.25" hidden="false" customHeight="true" outlineLevel="0" collapsed="false"/>
    <row r="2426" customFormat="false" ht="11.25" hidden="false" customHeight="true" outlineLevel="0" collapsed="false"/>
    <row r="2427" customFormat="false" ht="11.25" hidden="false" customHeight="true" outlineLevel="0" collapsed="false"/>
    <row r="2428" customFormat="false" ht="11.25" hidden="false" customHeight="true" outlineLevel="0" collapsed="false"/>
    <row r="2429" customFormat="false" ht="11.25" hidden="false" customHeight="true" outlineLevel="0" collapsed="false"/>
    <row r="2430" customFormat="false" ht="11.25" hidden="false" customHeight="true" outlineLevel="0" collapsed="false"/>
    <row r="2431" customFormat="false" ht="11.25" hidden="false" customHeight="true" outlineLevel="0" collapsed="false"/>
    <row r="2432" customFormat="false" ht="11.25" hidden="false" customHeight="true" outlineLevel="0" collapsed="false"/>
    <row r="2433" customFormat="false" ht="11.25" hidden="false" customHeight="true" outlineLevel="0" collapsed="false"/>
    <row r="2434" customFormat="false" ht="11.25" hidden="false" customHeight="true" outlineLevel="0" collapsed="false"/>
    <row r="2435" customFormat="false" ht="11.25" hidden="false" customHeight="true" outlineLevel="0" collapsed="false"/>
    <row r="2436" customFormat="false" ht="11.25" hidden="false" customHeight="true" outlineLevel="0" collapsed="false"/>
    <row r="2437" customFormat="false" ht="11.25" hidden="false" customHeight="true" outlineLevel="0" collapsed="false"/>
    <row r="2438" customFormat="false" ht="11.25" hidden="false" customHeight="true" outlineLevel="0" collapsed="false"/>
    <row r="2439" customFormat="false" ht="11.25" hidden="false" customHeight="true" outlineLevel="0" collapsed="false"/>
    <row r="2440" customFormat="false" ht="11.25" hidden="false" customHeight="true" outlineLevel="0" collapsed="false"/>
    <row r="2441" customFormat="false" ht="11.25" hidden="false" customHeight="true" outlineLevel="0" collapsed="false"/>
    <row r="2442" customFormat="false" ht="11.25" hidden="false" customHeight="true" outlineLevel="0" collapsed="false"/>
    <row r="2443" customFormat="false" ht="11.25" hidden="false" customHeight="true" outlineLevel="0" collapsed="false"/>
    <row r="2444" customFormat="false" ht="11.25" hidden="false" customHeight="true" outlineLevel="0" collapsed="false"/>
    <row r="2445" customFormat="false" ht="11.25" hidden="false" customHeight="true" outlineLevel="0" collapsed="false"/>
    <row r="2446" customFormat="false" ht="11.25" hidden="false" customHeight="true" outlineLevel="0" collapsed="false"/>
    <row r="2447" customFormat="false" ht="11.25" hidden="false" customHeight="true" outlineLevel="0" collapsed="false"/>
    <row r="2448" customFormat="false" ht="11.25" hidden="false" customHeight="true" outlineLevel="0" collapsed="false"/>
    <row r="2449" customFormat="false" ht="11.25" hidden="false" customHeight="true" outlineLevel="0" collapsed="false"/>
    <row r="2450" customFormat="false" ht="11.25" hidden="false" customHeight="true" outlineLevel="0" collapsed="false"/>
    <row r="2451" customFormat="false" ht="11.25" hidden="false" customHeight="true" outlineLevel="0" collapsed="false"/>
    <row r="2452" customFormat="false" ht="11.25" hidden="false" customHeight="true" outlineLevel="0" collapsed="false"/>
    <row r="2453" customFormat="false" ht="11.25" hidden="false" customHeight="true" outlineLevel="0" collapsed="false"/>
    <row r="2454" customFormat="false" ht="11.25" hidden="false" customHeight="true" outlineLevel="0" collapsed="false"/>
    <row r="2455" customFormat="false" ht="11.25" hidden="false" customHeight="true" outlineLevel="0" collapsed="false"/>
    <row r="2456" customFormat="false" ht="11.25" hidden="false" customHeight="true" outlineLevel="0" collapsed="false"/>
    <row r="2457" customFormat="false" ht="11.25" hidden="false" customHeight="true" outlineLevel="0" collapsed="false"/>
    <row r="2458" customFormat="false" ht="11.25" hidden="false" customHeight="true" outlineLevel="0" collapsed="false"/>
    <row r="2459" customFormat="false" ht="11.25" hidden="false" customHeight="true" outlineLevel="0" collapsed="false"/>
    <row r="2460" customFormat="false" ht="11.25" hidden="false" customHeight="true" outlineLevel="0" collapsed="false"/>
    <row r="2461" customFormat="false" ht="11.25" hidden="false" customHeight="true" outlineLevel="0" collapsed="false"/>
    <row r="2462" customFormat="false" ht="11.25" hidden="false" customHeight="true" outlineLevel="0" collapsed="false"/>
    <row r="2463" customFormat="false" ht="11.25" hidden="false" customHeight="true" outlineLevel="0" collapsed="false"/>
    <row r="2464" customFormat="false" ht="11.25" hidden="false" customHeight="true" outlineLevel="0" collapsed="false"/>
    <row r="2465" customFormat="false" ht="11.25" hidden="false" customHeight="true" outlineLevel="0" collapsed="false"/>
    <row r="2466" customFormat="false" ht="11.25" hidden="false" customHeight="true" outlineLevel="0" collapsed="false"/>
    <row r="2467" customFormat="false" ht="11.25" hidden="false" customHeight="true" outlineLevel="0" collapsed="false"/>
    <row r="2468" customFormat="false" ht="11.25" hidden="false" customHeight="true" outlineLevel="0" collapsed="false"/>
    <row r="2469" customFormat="false" ht="11.25" hidden="false" customHeight="true" outlineLevel="0" collapsed="false"/>
    <row r="2470" customFormat="false" ht="11.25" hidden="false" customHeight="true" outlineLevel="0" collapsed="false"/>
    <row r="2471" customFormat="false" ht="11.25" hidden="false" customHeight="true" outlineLevel="0" collapsed="false"/>
    <row r="2472" customFormat="false" ht="11.25" hidden="false" customHeight="true" outlineLevel="0" collapsed="false"/>
    <row r="2473" customFormat="false" ht="11.25" hidden="false" customHeight="true" outlineLevel="0" collapsed="false"/>
    <row r="2474" customFormat="false" ht="11.25" hidden="false" customHeight="true" outlineLevel="0" collapsed="false"/>
    <row r="2475" customFormat="false" ht="11.25" hidden="false" customHeight="true" outlineLevel="0" collapsed="false"/>
    <row r="2476" customFormat="false" ht="11.25" hidden="false" customHeight="true" outlineLevel="0" collapsed="false"/>
    <row r="2477" customFormat="false" ht="11.25" hidden="false" customHeight="true" outlineLevel="0" collapsed="false"/>
    <row r="2478" customFormat="false" ht="11.25" hidden="false" customHeight="true" outlineLevel="0" collapsed="false"/>
    <row r="2479" customFormat="false" ht="11.25" hidden="false" customHeight="true" outlineLevel="0" collapsed="false"/>
    <row r="2480" customFormat="false" ht="11.25" hidden="false" customHeight="true" outlineLevel="0" collapsed="false"/>
    <row r="2481" customFormat="false" ht="11.25" hidden="false" customHeight="true" outlineLevel="0" collapsed="false"/>
    <row r="2482" customFormat="false" ht="11.25" hidden="false" customHeight="true" outlineLevel="0" collapsed="false"/>
    <row r="2483" customFormat="false" ht="11.25" hidden="false" customHeight="true" outlineLevel="0" collapsed="false"/>
    <row r="2484" customFormat="false" ht="11.25" hidden="false" customHeight="true" outlineLevel="0" collapsed="false"/>
    <row r="2485" customFormat="false" ht="11.25" hidden="false" customHeight="true" outlineLevel="0" collapsed="false"/>
    <row r="2486" customFormat="false" ht="11.25" hidden="false" customHeight="true" outlineLevel="0" collapsed="false"/>
    <row r="2487" customFormat="false" ht="11.25" hidden="false" customHeight="true" outlineLevel="0" collapsed="false"/>
    <row r="2488" customFormat="false" ht="11.25" hidden="false" customHeight="true" outlineLevel="0" collapsed="false"/>
    <row r="2489" customFormat="false" ht="11.25" hidden="false" customHeight="true" outlineLevel="0" collapsed="false"/>
    <row r="2490" customFormat="false" ht="11.25" hidden="false" customHeight="true" outlineLevel="0" collapsed="false"/>
    <row r="2491" customFormat="false" ht="11.25" hidden="false" customHeight="true" outlineLevel="0" collapsed="false"/>
    <row r="2492" customFormat="false" ht="11.25" hidden="false" customHeight="true" outlineLevel="0" collapsed="false"/>
    <row r="2493" customFormat="false" ht="11.25" hidden="false" customHeight="true" outlineLevel="0" collapsed="false"/>
    <row r="2494" customFormat="false" ht="11.25" hidden="false" customHeight="true" outlineLevel="0" collapsed="false"/>
    <row r="2495" customFormat="false" ht="11.25" hidden="false" customHeight="true" outlineLevel="0" collapsed="false"/>
    <row r="2496" customFormat="false" ht="11.25" hidden="false" customHeight="true" outlineLevel="0" collapsed="false"/>
    <row r="2497" customFormat="false" ht="11.25" hidden="false" customHeight="true" outlineLevel="0" collapsed="false"/>
    <row r="2498" customFormat="false" ht="11.25" hidden="false" customHeight="true" outlineLevel="0" collapsed="false"/>
    <row r="2499" customFormat="false" ht="11.25" hidden="false" customHeight="true" outlineLevel="0" collapsed="false"/>
    <row r="2500" customFormat="false" ht="11.25" hidden="false" customHeight="true" outlineLevel="0" collapsed="false"/>
    <row r="2501" customFormat="false" ht="11.25" hidden="false" customHeight="true" outlineLevel="0" collapsed="false"/>
    <row r="2502" customFormat="false" ht="11.25" hidden="false" customHeight="true" outlineLevel="0" collapsed="false"/>
    <row r="2503" customFormat="false" ht="11.25" hidden="false" customHeight="true" outlineLevel="0" collapsed="false"/>
    <row r="2504" customFormat="false" ht="11.25" hidden="false" customHeight="true" outlineLevel="0" collapsed="false"/>
    <row r="2505" customFormat="false" ht="11.25" hidden="false" customHeight="true" outlineLevel="0" collapsed="false"/>
    <row r="2506" customFormat="false" ht="11.25" hidden="false" customHeight="true" outlineLevel="0" collapsed="false"/>
    <row r="2507" customFormat="false" ht="11.25" hidden="false" customHeight="true" outlineLevel="0" collapsed="false"/>
    <row r="2508" customFormat="false" ht="11.25" hidden="false" customHeight="true" outlineLevel="0" collapsed="false"/>
    <row r="2509" customFormat="false" ht="11.25" hidden="false" customHeight="true" outlineLevel="0" collapsed="false"/>
    <row r="2510" customFormat="false" ht="11.25" hidden="false" customHeight="true" outlineLevel="0" collapsed="false"/>
    <row r="2511" customFormat="false" ht="11.25" hidden="false" customHeight="true" outlineLevel="0" collapsed="false"/>
    <row r="2512" customFormat="false" ht="11.25" hidden="false" customHeight="true" outlineLevel="0" collapsed="false"/>
    <row r="2513" customFormat="false" ht="11.25" hidden="false" customHeight="true" outlineLevel="0" collapsed="false"/>
    <row r="2514" customFormat="false" ht="11.25" hidden="false" customHeight="true" outlineLevel="0" collapsed="false"/>
    <row r="2515" customFormat="false" ht="11.25" hidden="false" customHeight="true" outlineLevel="0" collapsed="false"/>
    <row r="2516" customFormat="false" ht="11.25" hidden="false" customHeight="true" outlineLevel="0" collapsed="false"/>
    <row r="2517" customFormat="false" ht="11.25" hidden="false" customHeight="true" outlineLevel="0" collapsed="false"/>
    <row r="2518" customFormat="false" ht="11.25" hidden="false" customHeight="true" outlineLevel="0" collapsed="false"/>
    <row r="2519" customFormat="false" ht="11.25" hidden="false" customHeight="true" outlineLevel="0" collapsed="false"/>
    <row r="2520" customFormat="false" ht="11.25" hidden="false" customHeight="true" outlineLevel="0" collapsed="false"/>
    <row r="2521" customFormat="false" ht="11.25" hidden="false" customHeight="true" outlineLevel="0" collapsed="false"/>
    <row r="2522" customFormat="false" ht="11.25" hidden="false" customHeight="true" outlineLevel="0" collapsed="false"/>
    <row r="2523" customFormat="false" ht="11.25" hidden="false" customHeight="true" outlineLevel="0" collapsed="false"/>
    <row r="2524" customFormat="false" ht="11.25" hidden="false" customHeight="true" outlineLevel="0" collapsed="false"/>
    <row r="2525" customFormat="false" ht="11.25" hidden="false" customHeight="true" outlineLevel="0" collapsed="false"/>
    <row r="2526" customFormat="false" ht="11.25" hidden="false" customHeight="true" outlineLevel="0" collapsed="false"/>
    <row r="2527" customFormat="false" ht="11.25" hidden="false" customHeight="true" outlineLevel="0" collapsed="false"/>
    <row r="2528" customFormat="false" ht="11.25" hidden="false" customHeight="true" outlineLevel="0" collapsed="false"/>
    <row r="2529" customFormat="false" ht="11.25" hidden="false" customHeight="true" outlineLevel="0" collapsed="false"/>
    <row r="2530" customFormat="false" ht="11.25" hidden="false" customHeight="true" outlineLevel="0" collapsed="false"/>
    <row r="2531" customFormat="false" ht="11.25" hidden="false" customHeight="true" outlineLevel="0" collapsed="false"/>
    <row r="2532" customFormat="false" ht="11.25" hidden="false" customHeight="true" outlineLevel="0" collapsed="false"/>
    <row r="2533" customFormat="false" ht="11.25" hidden="false" customHeight="true" outlineLevel="0" collapsed="false"/>
    <row r="2534" customFormat="false" ht="11.25" hidden="false" customHeight="true" outlineLevel="0" collapsed="false"/>
    <row r="2535" customFormat="false" ht="11.25" hidden="false" customHeight="true" outlineLevel="0" collapsed="false"/>
    <row r="2536" customFormat="false" ht="11.25" hidden="false" customHeight="true" outlineLevel="0" collapsed="false"/>
    <row r="2537" customFormat="false" ht="11.25" hidden="false" customHeight="true" outlineLevel="0" collapsed="false"/>
    <row r="2538" customFormat="false" ht="11.25" hidden="false" customHeight="true" outlineLevel="0" collapsed="false"/>
    <row r="2539" customFormat="false" ht="11.25" hidden="false" customHeight="true" outlineLevel="0" collapsed="false"/>
    <row r="2540" customFormat="false" ht="11.25" hidden="false" customHeight="true" outlineLevel="0" collapsed="false"/>
    <row r="2541" customFormat="false" ht="11.25" hidden="false" customHeight="true" outlineLevel="0" collapsed="false"/>
    <row r="2542" customFormat="false" ht="11.25" hidden="false" customHeight="true" outlineLevel="0" collapsed="false"/>
    <row r="2543" customFormat="false" ht="11.25" hidden="false" customHeight="true" outlineLevel="0" collapsed="false"/>
    <row r="2544" customFormat="false" ht="11.25" hidden="false" customHeight="true" outlineLevel="0" collapsed="false"/>
    <row r="2545" customFormat="false" ht="11.25" hidden="false" customHeight="true" outlineLevel="0" collapsed="false"/>
    <row r="2546" customFormat="false" ht="11.25" hidden="false" customHeight="true" outlineLevel="0" collapsed="false"/>
    <row r="2547" customFormat="false" ht="11.25" hidden="false" customHeight="true" outlineLevel="0" collapsed="false"/>
    <row r="2548" customFormat="false" ht="11.25" hidden="false" customHeight="true" outlineLevel="0" collapsed="false"/>
    <row r="2549" customFormat="false" ht="11.25" hidden="false" customHeight="true" outlineLevel="0" collapsed="false"/>
    <row r="2550" customFormat="false" ht="11.25" hidden="false" customHeight="true" outlineLevel="0" collapsed="false"/>
    <row r="2551" customFormat="false" ht="11.25" hidden="false" customHeight="true" outlineLevel="0" collapsed="false"/>
    <row r="2552" customFormat="false" ht="11.25" hidden="false" customHeight="true" outlineLevel="0" collapsed="false"/>
    <row r="2553" customFormat="false" ht="11.25" hidden="false" customHeight="true" outlineLevel="0" collapsed="false"/>
    <row r="2554" customFormat="false" ht="11.25" hidden="false" customHeight="true" outlineLevel="0" collapsed="false"/>
    <row r="2555" customFormat="false" ht="11.25" hidden="false" customHeight="true" outlineLevel="0" collapsed="false"/>
    <row r="2556" customFormat="false" ht="11.25" hidden="false" customHeight="true" outlineLevel="0" collapsed="false"/>
    <row r="2557" customFormat="false" ht="11.25" hidden="false" customHeight="true" outlineLevel="0" collapsed="false"/>
    <row r="2558" customFormat="false" ht="11.25" hidden="false" customHeight="true" outlineLevel="0" collapsed="false"/>
    <row r="2559" customFormat="false" ht="11.25" hidden="false" customHeight="true" outlineLevel="0" collapsed="false"/>
    <row r="2560" customFormat="false" ht="11.25" hidden="false" customHeight="true" outlineLevel="0" collapsed="false"/>
    <row r="2561" customFormat="false" ht="11.25" hidden="false" customHeight="true" outlineLevel="0" collapsed="false"/>
    <row r="2562" customFormat="false" ht="11.25" hidden="false" customHeight="true" outlineLevel="0" collapsed="false"/>
    <row r="2563" customFormat="false" ht="11.25" hidden="false" customHeight="true" outlineLevel="0" collapsed="false"/>
    <row r="2564" customFormat="false" ht="11.25" hidden="false" customHeight="true" outlineLevel="0" collapsed="false"/>
    <row r="2565" customFormat="false" ht="11.25" hidden="false" customHeight="true" outlineLevel="0" collapsed="false"/>
    <row r="2566" customFormat="false" ht="11.25" hidden="false" customHeight="true" outlineLevel="0" collapsed="false"/>
    <row r="2567" customFormat="false" ht="11.25" hidden="false" customHeight="true" outlineLevel="0" collapsed="false"/>
    <row r="2568" customFormat="false" ht="11.25" hidden="false" customHeight="true" outlineLevel="0" collapsed="false"/>
    <row r="2569" customFormat="false" ht="11.25" hidden="false" customHeight="true" outlineLevel="0" collapsed="false"/>
    <row r="2570" customFormat="false" ht="11.25" hidden="false" customHeight="true" outlineLevel="0" collapsed="false"/>
    <row r="2571" customFormat="false" ht="11.25" hidden="false" customHeight="true" outlineLevel="0" collapsed="false"/>
    <row r="2572" customFormat="false" ht="11.25" hidden="false" customHeight="true" outlineLevel="0" collapsed="false"/>
    <row r="2573" customFormat="false" ht="11.25" hidden="false" customHeight="true" outlineLevel="0" collapsed="false"/>
    <row r="2574" customFormat="false" ht="11.25" hidden="false" customHeight="true" outlineLevel="0" collapsed="false"/>
    <row r="2575" customFormat="false" ht="11.25" hidden="false" customHeight="true" outlineLevel="0" collapsed="false"/>
    <row r="2576" customFormat="false" ht="11.25" hidden="false" customHeight="true" outlineLevel="0" collapsed="false"/>
    <row r="2577" customFormat="false" ht="11.25" hidden="false" customHeight="true" outlineLevel="0" collapsed="false"/>
    <row r="2578" customFormat="false" ht="11.25" hidden="false" customHeight="true" outlineLevel="0" collapsed="false"/>
    <row r="2579" customFormat="false" ht="11.25" hidden="false" customHeight="true" outlineLevel="0" collapsed="false"/>
    <row r="2580" customFormat="false" ht="11.25" hidden="false" customHeight="true" outlineLevel="0" collapsed="false"/>
    <row r="2581" customFormat="false" ht="11.25" hidden="false" customHeight="true" outlineLevel="0" collapsed="false"/>
    <row r="2582" customFormat="false" ht="11.25" hidden="false" customHeight="true" outlineLevel="0" collapsed="false"/>
    <row r="2583" customFormat="false" ht="11.25" hidden="false" customHeight="true" outlineLevel="0" collapsed="false"/>
    <row r="2584" customFormat="false" ht="11.25" hidden="false" customHeight="true" outlineLevel="0" collapsed="false"/>
    <row r="2585" customFormat="false" ht="11.25" hidden="false" customHeight="true" outlineLevel="0" collapsed="false"/>
    <row r="2586" customFormat="false" ht="11.25" hidden="false" customHeight="true" outlineLevel="0" collapsed="false"/>
    <row r="2587" customFormat="false" ht="11.25" hidden="false" customHeight="true" outlineLevel="0" collapsed="false"/>
    <row r="2588" customFormat="false" ht="11.25" hidden="false" customHeight="true" outlineLevel="0" collapsed="false"/>
    <row r="2589" customFormat="false" ht="11.25" hidden="false" customHeight="true" outlineLevel="0" collapsed="false"/>
    <row r="2590" customFormat="false" ht="11.25" hidden="false" customHeight="true" outlineLevel="0" collapsed="false"/>
    <row r="2591" customFormat="false" ht="11.25" hidden="false" customHeight="true" outlineLevel="0" collapsed="false"/>
    <row r="2592" customFormat="false" ht="11.25" hidden="false" customHeight="true" outlineLevel="0" collapsed="false"/>
    <row r="2593" customFormat="false" ht="11.25" hidden="false" customHeight="true" outlineLevel="0" collapsed="false"/>
    <row r="2594" customFormat="false" ht="11.25" hidden="false" customHeight="true" outlineLevel="0" collapsed="false"/>
    <row r="2595" customFormat="false" ht="11.25" hidden="false" customHeight="true" outlineLevel="0" collapsed="false"/>
    <row r="2596" customFormat="false" ht="11.25" hidden="false" customHeight="true" outlineLevel="0" collapsed="false"/>
    <row r="2597" customFormat="false" ht="11.25" hidden="false" customHeight="true" outlineLevel="0" collapsed="false"/>
    <row r="2598" customFormat="false" ht="11.25" hidden="false" customHeight="true" outlineLevel="0" collapsed="false"/>
    <row r="2599" customFormat="false" ht="11.25" hidden="false" customHeight="true" outlineLevel="0" collapsed="false"/>
    <row r="2600" customFormat="false" ht="11.25" hidden="false" customHeight="true" outlineLevel="0" collapsed="false"/>
    <row r="2601" customFormat="false" ht="11.25" hidden="false" customHeight="true" outlineLevel="0" collapsed="false"/>
    <row r="2602" customFormat="false" ht="11.25" hidden="false" customHeight="true" outlineLevel="0" collapsed="false"/>
    <row r="2603" customFormat="false" ht="11.25" hidden="false" customHeight="true" outlineLevel="0" collapsed="false"/>
    <row r="2604" customFormat="false" ht="11.25" hidden="false" customHeight="true" outlineLevel="0" collapsed="false"/>
    <row r="2605" customFormat="false" ht="11.25" hidden="false" customHeight="true" outlineLevel="0" collapsed="false"/>
    <row r="2606" customFormat="false" ht="11.25" hidden="false" customHeight="true" outlineLevel="0" collapsed="false"/>
    <row r="2607" customFormat="false" ht="11.25" hidden="false" customHeight="true" outlineLevel="0" collapsed="false"/>
    <row r="2608" customFormat="false" ht="11.25" hidden="false" customHeight="true" outlineLevel="0" collapsed="false"/>
    <row r="2609" customFormat="false" ht="11.25" hidden="false" customHeight="true" outlineLevel="0" collapsed="false"/>
    <row r="2610" customFormat="false" ht="11.25" hidden="false" customHeight="true" outlineLevel="0" collapsed="false"/>
    <row r="2611" customFormat="false" ht="11.25" hidden="false" customHeight="true" outlineLevel="0" collapsed="false"/>
    <row r="2612" customFormat="false" ht="11.25" hidden="false" customHeight="true" outlineLevel="0" collapsed="false"/>
    <row r="2613" customFormat="false" ht="11.25" hidden="false" customHeight="true" outlineLevel="0" collapsed="false"/>
    <row r="2614" customFormat="false" ht="11.25" hidden="false" customHeight="true" outlineLevel="0" collapsed="false"/>
    <row r="2615" customFormat="false" ht="11.25" hidden="false" customHeight="true" outlineLevel="0" collapsed="false"/>
    <row r="2616" customFormat="false" ht="11.25" hidden="false" customHeight="true" outlineLevel="0" collapsed="false"/>
    <row r="2617" customFormat="false" ht="11.25" hidden="false" customHeight="true" outlineLevel="0" collapsed="false"/>
    <row r="2618" customFormat="false" ht="11.25" hidden="false" customHeight="true" outlineLevel="0" collapsed="false"/>
    <row r="2619" customFormat="false" ht="11.25" hidden="false" customHeight="true" outlineLevel="0" collapsed="false"/>
    <row r="2620" customFormat="false" ht="11.25" hidden="false" customHeight="true" outlineLevel="0" collapsed="false"/>
    <row r="2621" customFormat="false" ht="11.25" hidden="false" customHeight="true" outlineLevel="0" collapsed="false"/>
    <row r="2622" customFormat="false" ht="11.25" hidden="false" customHeight="true" outlineLevel="0" collapsed="false"/>
    <row r="2623" customFormat="false" ht="11.25" hidden="false" customHeight="true" outlineLevel="0" collapsed="false"/>
    <row r="2624" customFormat="false" ht="11.25" hidden="false" customHeight="true" outlineLevel="0" collapsed="false"/>
    <row r="2625" customFormat="false" ht="11.25" hidden="false" customHeight="true" outlineLevel="0" collapsed="false"/>
    <row r="2626" customFormat="false" ht="11.25" hidden="false" customHeight="true" outlineLevel="0" collapsed="false"/>
    <row r="2627" customFormat="false" ht="11.25" hidden="false" customHeight="true" outlineLevel="0" collapsed="false"/>
    <row r="2628" customFormat="false" ht="11.25" hidden="false" customHeight="true" outlineLevel="0" collapsed="false"/>
    <row r="2629" customFormat="false" ht="11.25" hidden="false" customHeight="true" outlineLevel="0" collapsed="false"/>
    <row r="2630" customFormat="false" ht="11.25" hidden="false" customHeight="true" outlineLevel="0" collapsed="false"/>
    <row r="2631" customFormat="false" ht="11.25" hidden="false" customHeight="true" outlineLevel="0" collapsed="false"/>
    <row r="2632" customFormat="false" ht="11.25" hidden="false" customHeight="true" outlineLevel="0" collapsed="false"/>
    <row r="2633" customFormat="false" ht="11.25" hidden="false" customHeight="true" outlineLevel="0" collapsed="false"/>
    <row r="2634" customFormat="false" ht="11.25" hidden="false" customHeight="true" outlineLevel="0" collapsed="false"/>
    <row r="2635" customFormat="false" ht="11.25" hidden="false" customHeight="true" outlineLevel="0" collapsed="false"/>
    <row r="2636" customFormat="false" ht="11.25" hidden="false" customHeight="true" outlineLevel="0" collapsed="false"/>
    <row r="2637" customFormat="false" ht="11.25" hidden="false" customHeight="true" outlineLevel="0" collapsed="false"/>
    <row r="2638" customFormat="false" ht="11.25" hidden="false" customHeight="true" outlineLevel="0" collapsed="false"/>
    <row r="2639" customFormat="false" ht="11.25" hidden="false" customHeight="true" outlineLevel="0" collapsed="false"/>
    <row r="2640" customFormat="false" ht="11.25" hidden="false" customHeight="true" outlineLevel="0" collapsed="false"/>
    <row r="2641" customFormat="false" ht="11.25" hidden="false" customHeight="true" outlineLevel="0" collapsed="false"/>
    <row r="2642" customFormat="false" ht="11.25" hidden="false" customHeight="true" outlineLevel="0" collapsed="false"/>
    <row r="2643" customFormat="false" ht="11.25" hidden="false" customHeight="true" outlineLevel="0" collapsed="false"/>
    <row r="2644" customFormat="false" ht="11.25" hidden="false" customHeight="true" outlineLevel="0" collapsed="false"/>
    <row r="2645" customFormat="false" ht="11.25" hidden="false" customHeight="true" outlineLevel="0" collapsed="false"/>
    <row r="2646" customFormat="false" ht="11.25" hidden="false" customHeight="true" outlineLevel="0" collapsed="false"/>
    <row r="2647" customFormat="false" ht="11.25" hidden="false" customHeight="true" outlineLevel="0" collapsed="false"/>
    <row r="2648" customFormat="false" ht="11.25" hidden="false" customHeight="true" outlineLevel="0" collapsed="false"/>
    <row r="2649" customFormat="false" ht="11.25" hidden="false" customHeight="true" outlineLevel="0" collapsed="false"/>
    <row r="2650" customFormat="false" ht="11.25" hidden="false" customHeight="true" outlineLevel="0" collapsed="false"/>
    <row r="2651" customFormat="false" ht="11.25" hidden="false" customHeight="true" outlineLevel="0" collapsed="false"/>
    <row r="2652" customFormat="false" ht="11.25" hidden="false" customHeight="true" outlineLevel="0" collapsed="false"/>
    <row r="2653" customFormat="false" ht="11.25" hidden="false" customHeight="true" outlineLevel="0" collapsed="false"/>
    <row r="2654" customFormat="false" ht="11.25" hidden="false" customHeight="true" outlineLevel="0" collapsed="false"/>
    <row r="2655" customFormat="false" ht="11.25" hidden="false" customHeight="true" outlineLevel="0" collapsed="false"/>
    <row r="2656" customFormat="false" ht="11.25" hidden="false" customHeight="true" outlineLevel="0" collapsed="false"/>
    <row r="2657" customFormat="false" ht="11.25" hidden="false" customHeight="true" outlineLevel="0" collapsed="false"/>
    <row r="2658" customFormat="false" ht="11.25" hidden="false" customHeight="true" outlineLevel="0" collapsed="false"/>
    <row r="2659" customFormat="false" ht="11.25" hidden="false" customHeight="true" outlineLevel="0" collapsed="false"/>
    <row r="2660" customFormat="false" ht="11.25" hidden="false" customHeight="true" outlineLevel="0" collapsed="false"/>
    <row r="2661" customFormat="false" ht="11.25" hidden="false" customHeight="true" outlineLevel="0" collapsed="false"/>
    <row r="2662" customFormat="false" ht="11.25" hidden="false" customHeight="true" outlineLevel="0" collapsed="false"/>
    <row r="2663" customFormat="false" ht="11.25" hidden="false" customHeight="true" outlineLevel="0" collapsed="false"/>
    <row r="2664" customFormat="false" ht="11.25" hidden="false" customHeight="true" outlineLevel="0" collapsed="false"/>
    <row r="2665" customFormat="false" ht="11.25" hidden="false" customHeight="true" outlineLevel="0" collapsed="false"/>
    <row r="2666" customFormat="false" ht="11.25" hidden="false" customHeight="true" outlineLevel="0" collapsed="false"/>
    <row r="2667" customFormat="false" ht="11.25" hidden="false" customHeight="true" outlineLevel="0" collapsed="false"/>
    <row r="2668" customFormat="false" ht="11.25" hidden="false" customHeight="true" outlineLevel="0" collapsed="false"/>
    <row r="2669" customFormat="false" ht="11.25" hidden="false" customHeight="true" outlineLevel="0" collapsed="false"/>
    <row r="2670" customFormat="false" ht="11.25" hidden="false" customHeight="true" outlineLevel="0" collapsed="false"/>
    <row r="2671" customFormat="false" ht="11.25" hidden="false" customHeight="true" outlineLevel="0" collapsed="false"/>
    <row r="2672" customFormat="false" ht="11.25" hidden="false" customHeight="true" outlineLevel="0" collapsed="false"/>
    <row r="2673" customFormat="false" ht="11.25" hidden="false" customHeight="true" outlineLevel="0" collapsed="false"/>
    <row r="2674" customFormat="false" ht="11.25" hidden="false" customHeight="true" outlineLevel="0" collapsed="false"/>
    <row r="2675" customFormat="false" ht="11.25" hidden="false" customHeight="true" outlineLevel="0" collapsed="false"/>
    <row r="2676" customFormat="false" ht="11.25" hidden="false" customHeight="true" outlineLevel="0" collapsed="false"/>
    <row r="2677" customFormat="false" ht="11.25" hidden="false" customHeight="true" outlineLevel="0" collapsed="false"/>
    <row r="2678" customFormat="false" ht="11.25" hidden="false" customHeight="true" outlineLevel="0" collapsed="false"/>
    <row r="2679" customFormat="false" ht="11.25" hidden="false" customHeight="true" outlineLevel="0" collapsed="false"/>
    <row r="2680" customFormat="false" ht="11.25" hidden="false" customHeight="true" outlineLevel="0" collapsed="false"/>
    <row r="2681" customFormat="false" ht="11.25" hidden="false" customHeight="true" outlineLevel="0" collapsed="false"/>
    <row r="2682" customFormat="false" ht="11.25" hidden="false" customHeight="true" outlineLevel="0" collapsed="false"/>
    <row r="2683" customFormat="false" ht="11.25" hidden="false" customHeight="true" outlineLevel="0" collapsed="false"/>
    <row r="2684" customFormat="false" ht="11.25" hidden="false" customHeight="true" outlineLevel="0" collapsed="false"/>
    <row r="2685" customFormat="false" ht="11.25" hidden="false" customHeight="true" outlineLevel="0" collapsed="false"/>
    <row r="2686" customFormat="false" ht="11.25" hidden="false" customHeight="true" outlineLevel="0" collapsed="false"/>
    <row r="2687" customFormat="false" ht="11.25" hidden="false" customHeight="true" outlineLevel="0" collapsed="false"/>
    <row r="2688" customFormat="false" ht="11.25" hidden="false" customHeight="true" outlineLevel="0" collapsed="false"/>
    <row r="2689" customFormat="false" ht="11.25" hidden="false" customHeight="true" outlineLevel="0" collapsed="false"/>
    <row r="2690" customFormat="false" ht="11.25" hidden="false" customHeight="true" outlineLevel="0" collapsed="false"/>
    <row r="2691" customFormat="false" ht="11.25" hidden="false" customHeight="true" outlineLevel="0" collapsed="false"/>
    <row r="2692" customFormat="false" ht="11.25" hidden="false" customHeight="true" outlineLevel="0" collapsed="false"/>
    <row r="2693" customFormat="false" ht="11.25" hidden="false" customHeight="true" outlineLevel="0" collapsed="false"/>
    <row r="2694" customFormat="false" ht="11.25" hidden="false" customHeight="true" outlineLevel="0" collapsed="false"/>
    <row r="2695" customFormat="false" ht="11.25" hidden="false" customHeight="true" outlineLevel="0" collapsed="false"/>
    <row r="2696" customFormat="false" ht="11.25" hidden="false" customHeight="true" outlineLevel="0" collapsed="false"/>
    <row r="2697" customFormat="false" ht="11.25" hidden="false" customHeight="true" outlineLevel="0" collapsed="false"/>
    <row r="2698" customFormat="false" ht="11.25" hidden="false" customHeight="true" outlineLevel="0" collapsed="false"/>
    <row r="2699" customFormat="false" ht="11.25" hidden="false" customHeight="true" outlineLevel="0" collapsed="false"/>
    <row r="2700" customFormat="false" ht="11.25" hidden="false" customHeight="true" outlineLevel="0" collapsed="false"/>
    <row r="2701" customFormat="false" ht="11.25" hidden="false" customHeight="true" outlineLevel="0" collapsed="false"/>
    <row r="2702" customFormat="false" ht="11.25" hidden="false" customHeight="true" outlineLevel="0" collapsed="false"/>
    <row r="2703" customFormat="false" ht="11.25" hidden="false" customHeight="true" outlineLevel="0" collapsed="false"/>
    <row r="2704" customFormat="false" ht="11.25" hidden="false" customHeight="true" outlineLevel="0" collapsed="false"/>
    <row r="2705" customFormat="false" ht="11.25" hidden="false" customHeight="true" outlineLevel="0" collapsed="false"/>
    <row r="2706" customFormat="false" ht="11.25" hidden="false" customHeight="true" outlineLevel="0" collapsed="false"/>
    <row r="2707" customFormat="false" ht="11.25" hidden="false" customHeight="true" outlineLevel="0" collapsed="false"/>
    <row r="2708" customFormat="false" ht="11.25" hidden="false" customHeight="true" outlineLevel="0" collapsed="false"/>
    <row r="2709" customFormat="false" ht="11.25" hidden="false" customHeight="true" outlineLevel="0" collapsed="false"/>
    <row r="2710" customFormat="false" ht="11.25" hidden="false" customHeight="true" outlineLevel="0" collapsed="false"/>
    <row r="2711" customFormat="false" ht="11.25" hidden="false" customHeight="true" outlineLevel="0" collapsed="false"/>
    <row r="2712" customFormat="false" ht="11.25" hidden="false" customHeight="true" outlineLevel="0" collapsed="false"/>
    <row r="2713" customFormat="false" ht="11.25" hidden="false" customHeight="true" outlineLevel="0" collapsed="false"/>
    <row r="2714" customFormat="false" ht="11.25" hidden="false" customHeight="true" outlineLevel="0" collapsed="false"/>
    <row r="2715" customFormat="false" ht="11.25" hidden="false" customHeight="true" outlineLevel="0" collapsed="false"/>
    <row r="2716" customFormat="false" ht="11.25" hidden="false" customHeight="true" outlineLevel="0" collapsed="false"/>
    <row r="2717" customFormat="false" ht="11.25" hidden="false" customHeight="true" outlineLevel="0" collapsed="false"/>
    <row r="2718" customFormat="false" ht="11.25" hidden="false" customHeight="true" outlineLevel="0" collapsed="false"/>
    <row r="2719" customFormat="false" ht="11.25" hidden="false" customHeight="true" outlineLevel="0" collapsed="false"/>
    <row r="2720" customFormat="false" ht="11.25" hidden="false" customHeight="true" outlineLevel="0" collapsed="false"/>
    <row r="2721" customFormat="false" ht="11.25" hidden="false" customHeight="true" outlineLevel="0" collapsed="false"/>
    <row r="2722" customFormat="false" ht="11.25" hidden="false" customHeight="true" outlineLevel="0" collapsed="false"/>
    <row r="2723" customFormat="false" ht="11.25" hidden="false" customHeight="true" outlineLevel="0" collapsed="false"/>
    <row r="2724" customFormat="false" ht="11.25" hidden="false" customHeight="true" outlineLevel="0" collapsed="false"/>
    <row r="2725" customFormat="false" ht="11.25" hidden="false" customHeight="true" outlineLevel="0" collapsed="false"/>
    <row r="2726" customFormat="false" ht="11.25" hidden="false" customHeight="true" outlineLevel="0" collapsed="false"/>
    <row r="2727" customFormat="false" ht="11.25" hidden="false" customHeight="true" outlineLevel="0" collapsed="false"/>
    <row r="2728" customFormat="false" ht="11.25" hidden="false" customHeight="true" outlineLevel="0" collapsed="false"/>
    <row r="2729" customFormat="false" ht="11.25" hidden="false" customHeight="true" outlineLevel="0" collapsed="false"/>
    <row r="2730" customFormat="false" ht="11.25" hidden="false" customHeight="true" outlineLevel="0" collapsed="false"/>
    <row r="2731" customFormat="false" ht="11.25" hidden="false" customHeight="true" outlineLevel="0" collapsed="false"/>
    <row r="2732" customFormat="false" ht="11.25" hidden="false" customHeight="true" outlineLevel="0" collapsed="false"/>
    <row r="2733" customFormat="false" ht="11.25" hidden="false" customHeight="true" outlineLevel="0" collapsed="false"/>
    <row r="2734" customFormat="false" ht="11.25" hidden="false" customHeight="true" outlineLevel="0" collapsed="false"/>
    <row r="2735" customFormat="false" ht="11.25" hidden="false" customHeight="true" outlineLevel="0" collapsed="false"/>
    <row r="2736" customFormat="false" ht="11.25" hidden="false" customHeight="true" outlineLevel="0" collapsed="false"/>
    <row r="2737" customFormat="false" ht="11.25" hidden="false" customHeight="true" outlineLevel="0" collapsed="false"/>
    <row r="2738" customFormat="false" ht="11.25" hidden="false" customHeight="true" outlineLevel="0" collapsed="false"/>
    <row r="2739" customFormat="false" ht="11.25" hidden="false" customHeight="true" outlineLevel="0" collapsed="false"/>
    <row r="2740" customFormat="false" ht="11.25" hidden="false" customHeight="true" outlineLevel="0" collapsed="false"/>
    <row r="2741" customFormat="false" ht="11.25" hidden="false" customHeight="true" outlineLevel="0" collapsed="false"/>
    <row r="2742" customFormat="false" ht="11.25" hidden="false" customHeight="true" outlineLevel="0" collapsed="false"/>
    <row r="2743" customFormat="false" ht="11.25" hidden="false" customHeight="true" outlineLevel="0" collapsed="false"/>
    <row r="2744" customFormat="false" ht="11.25" hidden="false" customHeight="true" outlineLevel="0" collapsed="false"/>
    <row r="2745" customFormat="false" ht="11.25" hidden="false" customHeight="true" outlineLevel="0" collapsed="false"/>
    <row r="2746" customFormat="false" ht="11.25" hidden="false" customHeight="true" outlineLevel="0" collapsed="false"/>
    <row r="2747" customFormat="false" ht="11.25" hidden="false" customHeight="true" outlineLevel="0" collapsed="false"/>
    <row r="2748" customFormat="false" ht="11.25" hidden="false" customHeight="true" outlineLevel="0" collapsed="false"/>
    <row r="2749" customFormat="false" ht="11.25" hidden="false" customHeight="true" outlineLevel="0" collapsed="false"/>
    <row r="2750" customFormat="false" ht="11.25" hidden="false" customHeight="true" outlineLevel="0" collapsed="false"/>
    <row r="2751" customFormat="false" ht="11.25" hidden="false" customHeight="true" outlineLevel="0" collapsed="false"/>
    <row r="2752" customFormat="false" ht="11.25" hidden="false" customHeight="true" outlineLevel="0" collapsed="false"/>
    <row r="2753" customFormat="false" ht="11.25" hidden="false" customHeight="true" outlineLevel="0" collapsed="false"/>
    <row r="2754" customFormat="false" ht="11.25" hidden="false" customHeight="true" outlineLevel="0" collapsed="false"/>
    <row r="2755" customFormat="false" ht="11.25" hidden="false" customHeight="true" outlineLevel="0" collapsed="false"/>
    <row r="2756" customFormat="false" ht="11.25" hidden="false" customHeight="true" outlineLevel="0" collapsed="false"/>
    <row r="2757" customFormat="false" ht="11.25" hidden="false" customHeight="true" outlineLevel="0" collapsed="false"/>
    <row r="2758" customFormat="false" ht="11.25" hidden="false" customHeight="true" outlineLevel="0" collapsed="false"/>
    <row r="2759" customFormat="false" ht="11.25" hidden="false" customHeight="true" outlineLevel="0" collapsed="false"/>
    <row r="2760" customFormat="false" ht="11.25" hidden="false" customHeight="true" outlineLevel="0" collapsed="false"/>
    <row r="2761" customFormat="false" ht="11.25" hidden="false" customHeight="true" outlineLevel="0" collapsed="false"/>
    <row r="2762" customFormat="false" ht="11.25" hidden="false" customHeight="true" outlineLevel="0" collapsed="false"/>
    <row r="2763" customFormat="false" ht="11.25" hidden="false" customHeight="true" outlineLevel="0" collapsed="false"/>
    <row r="2764" customFormat="false" ht="11.25" hidden="false" customHeight="true" outlineLevel="0" collapsed="false"/>
    <row r="2765" customFormat="false" ht="11.25" hidden="false" customHeight="true" outlineLevel="0" collapsed="false"/>
    <row r="2766" customFormat="false" ht="11.25" hidden="false" customHeight="true" outlineLevel="0" collapsed="false"/>
    <row r="2767" customFormat="false" ht="11.25" hidden="false" customHeight="true" outlineLevel="0" collapsed="false"/>
    <row r="2768" customFormat="false" ht="11.25" hidden="false" customHeight="true" outlineLevel="0" collapsed="false"/>
    <row r="2769" customFormat="false" ht="11.25" hidden="false" customHeight="true" outlineLevel="0" collapsed="false"/>
    <row r="2770" customFormat="false" ht="11.25" hidden="false" customHeight="true" outlineLevel="0" collapsed="false"/>
    <row r="2771" customFormat="false" ht="11.25" hidden="false" customHeight="true" outlineLevel="0" collapsed="false"/>
    <row r="2772" customFormat="false" ht="11.25" hidden="false" customHeight="true" outlineLevel="0" collapsed="false"/>
    <row r="2773" customFormat="false" ht="11.25" hidden="false" customHeight="true" outlineLevel="0" collapsed="false"/>
    <row r="2774" customFormat="false" ht="11.25" hidden="false" customHeight="true" outlineLevel="0" collapsed="false"/>
    <row r="2775" customFormat="false" ht="11.25" hidden="false" customHeight="true" outlineLevel="0" collapsed="false"/>
    <row r="2776" customFormat="false" ht="11.25" hidden="false" customHeight="true" outlineLevel="0" collapsed="false"/>
    <row r="2777" customFormat="false" ht="11.25" hidden="false" customHeight="true" outlineLevel="0" collapsed="false"/>
    <row r="2778" customFormat="false" ht="11.25" hidden="false" customHeight="true" outlineLevel="0" collapsed="false"/>
    <row r="2779" customFormat="false" ht="11.25" hidden="false" customHeight="true" outlineLevel="0" collapsed="false"/>
    <row r="2780" customFormat="false" ht="11.25" hidden="false" customHeight="true" outlineLevel="0" collapsed="false"/>
    <row r="2781" customFormat="false" ht="11.25" hidden="false" customHeight="true" outlineLevel="0" collapsed="false"/>
    <row r="2782" customFormat="false" ht="11.25" hidden="false" customHeight="true" outlineLevel="0" collapsed="false"/>
    <row r="2783" customFormat="false" ht="11.25" hidden="false" customHeight="true" outlineLevel="0" collapsed="false"/>
    <row r="2784" customFormat="false" ht="11.25" hidden="false" customHeight="true" outlineLevel="0" collapsed="false"/>
    <row r="2785" customFormat="false" ht="11.25" hidden="false" customHeight="true" outlineLevel="0" collapsed="false"/>
    <row r="2786" customFormat="false" ht="11.25" hidden="false" customHeight="true" outlineLevel="0" collapsed="false"/>
    <row r="2787" customFormat="false" ht="11.25" hidden="false" customHeight="true" outlineLevel="0" collapsed="false"/>
    <row r="2788" customFormat="false" ht="11.25" hidden="false" customHeight="true" outlineLevel="0" collapsed="false"/>
    <row r="2789" customFormat="false" ht="11.25" hidden="false" customHeight="true" outlineLevel="0" collapsed="false"/>
    <row r="2790" customFormat="false" ht="11.25" hidden="false" customHeight="true" outlineLevel="0" collapsed="false"/>
    <row r="2791" customFormat="false" ht="11.25" hidden="false" customHeight="true" outlineLevel="0" collapsed="false"/>
    <row r="2792" customFormat="false" ht="11.25" hidden="false" customHeight="true" outlineLevel="0" collapsed="false"/>
    <row r="2793" customFormat="false" ht="11.25" hidden="false" customHeight="true" outlineLevel="0" collapsed="false"/>
    <row r="2794" customFormat="false" ht="11.25" hidden="false" customHeight="true" outlineLevel="0" collapsed="false"/>
    <row r="2795" customFormat="false" ht="11.25" hidden="false" customHeight="true" outlineLevel="0" collapsed="false"/>
    <row r="2796" customFormat="false" ht="11.25" hidden="false" customHeight="true" outlineLevel="0" collapsed="false"/>
    <row r="2797" customFormat="false" ht="11.25" hidden="false" customHeight="true" outlineLevel="0" collapsed="false"/>
    <row r="2798" customFormat="false" ht="11.25" hidden="false" customHeight="true" outlineLevel="0" collapsed="false"/>
    <row r="2799" customFormat="false" ht="11.25" hidden="false" customHeight="true" outlineLevel="0" collapsed="false"/>
    <row r="2800" customFormat="false" ht="11.25" hidden="false" customHeight="true" outlineLevel="0" collapsed="false"/>
    <row r="2801" customFormat="false" ht="11.25" hidden="false" customHeight="true" outlineLevel="0" collapsed="false"/>
    <row r="2802" customFormat="false" ht="11.25" hidden="false" customHeight="true" outlineLevel="0" collapsed="false"/>
    <row r="2803" customFormat="false" ht="11.25" hidden="false" customHeight="true" outlineLevel="0" collapsed="false"/>
    <row r="2804" customFormat="false" ht="11.25" hidden="false" customHeight="true" outlineLevel="0" collapsed="false"/>
    <row r="2805" customFormat="false" ht="11.25" hidden="false" customHeight="true" outlineLevel="0" collapsed="false"/>
    <row r="2806" customFormat="false" ht="11.25" hidden="false" customHeight="true" outlineLevel="0" collapsed="false"/>
    <row r="2807" customFormat="false" ht="11.25" hidden="false" customHeight="true" outlineLevel="0" collapsed="false"/>
    <row r="2808" customFormat="false" ht="11.25" hidden="false" customHeight="true" outlineLevel="0" collapsed="false"/>
    <row r="2809" customFormat="false" ht="11.25" hidden="false" customHeight="true" outlineLevel="0" collapsed="false"/>
    <row r="2810" customFormat="false" ht="11.25" hidden="false" customHeight="true" outlineLevel="0" collapsed="false"/>
    <row r="2811" customFormat="false" ht="11.25" hidden="false" customHeight="true" outlineLevel="0" collapsed="false"/>
    <row r="2812" customFormat="false" ht="11.25" hidden="false" customHeight="true" outlineLevel="0" collapsed="false"/>
    <row r="2813" customFormat="false" ht="11.25" hidden="false" customHeight="true" outlineLevel="0" collapsed="false"/>
    <row r="2814" customFormat="false" ht="11.25" hidden="false" customHeight="true" outlineLevel="0" collapsed="false"/>
    <row r="2815" customFormat="false" ht="11.25" hidden="false" customHeight="true" outlineLevel="0" collapsed="false"/>
    <row r="2816" customFormat="false" ht="11.25" hidden="false" customHeight="true" outlineLevel="0" collapsed="false"/>
    <row r="2817" customFormat="false" ht="11.25" hidden="false" customHeight="true" outlineLevel="0" collapsed="false"/>
    <row r="2818" customFormat="false" ht="11.25" hidden="false" customHeight="true" outlineLevel="0" collapsed="false"/>
    <row r="2819" customFormat="false" ht="11.25" hidden="false" customHeight="true" outlineLevel="0" collapsed="false"/>
    <row r="2820" customFormat="false" ht="11.25" hidden="false" customHeight="true" outlineLevel="0" collapsed="false"/>
    <row r="2821" customFormat="false" ht="11.25" hidden="false" customHeight="true" outlineLevel="0" collapsed="false"/>
    <row r="2822" customFormat="false" ht="11.25" hidden="false" customHeight="true" outlineLevel="0" collapsed="false"/>
    <row r="2823" customFormat="false" ht="11.25" hidden="false" customHeight="true" outlineLevel="0" collapsed="false"/>
    <row r="2824" customFormat="false" ht="11.25" hidden="false" customHeight="true" outlineLevel="0" collapsed="false"/>
    <row r="2825" customFormat="false" ht="11.25" hidden="false" customHeight="true" outlineLevel="0" collapsed="false"/>
    <row r="2826" customFormat="false" ht="11.25" hidden="false" customHeight="true" outlineLevel="0" collapsed="false"/>
    <row r="2827" customFormat="false" ht="11.25" hidden="false" customHeight="true" outlineLevel="0" collapsed="false"/>
    <row r="2828" customFormat="false" ht="11.25" hidden="false" customHeight="true" outlineLevel="0" collapsed="false"/>
    <row r="2829" customFormat="false" ht="11.25" hidden="false" customHeight="true" outlineLevel="0" collapsed="false"/>
    <row r="2830" customFormat="false" ht="11.25" hidden="false" customHeight="true" outlineLevel="0" collapsed="false"/>
    <row r="2831" customFormat="false" ht="11.25" hidden="false" customHeight="true" outlineLevel="0" collapsed="false"/>
    <row r="2832" customFormat="false" ht="11.25" hidden="false" customHeight="true" outlineLevel="0" collapsed="false"/>
    <row r="2833" customFormat="false" ht="11.25" hidden="false" customHeight="true" outlineLevel="0" collapsed="false"/>
    <row r="2834" customFormat="false" ht="11.25" hidden="false" customHeight="true" outlineLevel="0" collapsed="false"/>
    <row r="2835" customFormat="false" ht="11.25" hidden="false" customHeight="true" outlineLevel="0" collapsed="false"/>
    <row r="2836" customFormat="false" ht="11.25" hidden="false" customHeight="true" outlineLevel="0" collapsed="false"/>
    <row r="2837" customFormat="false" ht="11.25" hidden="false" customHeight="true" outlineLevel="0" collapsed="false"/>
    <row r="2838" customFormat="false" ht="11.25" hidden="false" customHeight="true" outlineLevel="0" collapsed="false"/>
    <row r="2839" customFormat="false" ht="11.25" hidden="false" customHeight="true" outlineLevel="0" collapsed="false"/>
    <row r="2840" customFormat="false" ht="11.25" hidden="false" customHeight="true" outlineLevel="0" collapsed="false"/>
    <row r="2841" customFormat="false" ht="11.25" hidden="false" customHeight="true" outlineLevel="0" collapsed="false"/>
    <row r="2842" customFormat="false" ht="11.25" hidden="false" customHeight="true" outlineLevel="0" collapsed="false"/>
    <row r="2843" customFormat="false" ht="11.25" hidden="false" customHeight="true" outlineLevel="0" collapsed="false"/>
    <row r="2844" customFormat="false" ht="11.25" hidden="false" customHeight="true" outlineLevel="0" collapsed="false"/>
    <row r="2845" customFormat="false" ht="11.25" hidden="false" customHeight="true" outlineLevel="0" collapsed="false"/>
    <row r="2846" customFormat="false" ht="11.25" hidden="false" customHeight="true" outlineLevel="0" collapsed="false"/>
    <row r="2847" customFormat="false" ht="11.25" hidden="false" customHeight="true" outlineLevel="0" collapsed="false"/>
    <row r="2848" customFormat="false" ht="11.25" hidden="false" customHeight="true" outlineLevel="0" collapsed="false"/>
    <row r="2849" customFormat="false" ht="11.25" hidden="false" customHeight="true" outlineLevel="0" collapsed="false"/>
    <row r="2850" customFormat="false" ht="11.25" hidden="false" customHeight="true" outlineLevel="0" collapsed="false"/>
    <row r="2851" customFormat="false" ht="11.25" hidden="false" customHeight="true" outlineLevel="0" collapsed="false"/>
    <row r="2852" customFormat="false" ht="11.25" hidden="false" customHeight="true" outlineLevel="0" collapsed="false"/>
    <row r="2853" customFormat="false" ht="11.25" hidden="false" customHeight="true" outlineLevel="0" collapsed="false"/>
    <row r="2854" customFormat="false" ht="11.25" hidden="false" customHeight="true" outlineLevel="0" collapsed="false"/>
    <row r="2855" customFormat="false" ht="11.25" hidden="false" customHeight="true" outlineLevel="0" collapsed="false"/>
    <row r="2856" customFormat="false" ht="11.25" hidden="false" customHeight="true" outlineLevel="0" collapsed="false"/>
    <row r="2857" customFormat="false" ht="11.25" hidden="false" customHeight="true" outlineLevel="0" collapsed="false"/>
    <row r="2858" customFormat="false" ht="11.25" hidden="false" customHeight="true" outlineLevel="0" collapsed="false"/>
    <row r="2859" customFormat="false" ht="11.25" hidden="false" customHeight="true" outlineLevel="0" collapsed="false"/>
    <row r="2860" customFormat="false" ht="11.25" hidden="false" customHeight="true" outlineLevel="0" collapsed="false"/>
    <row r="2861" customFormat="false" ht="11.25" hidden="false" customHeight="true" outlineLevel="0" collapsed="false"/>
    <row r="2862" customFormat="false" ht="11.25" hidden="false" customHeight="true" outlineLevel="0" collapsed="false"/>
    <row r="2863" customFormat="false" ht="11.25" hidden="false" customHeight="true" outlineLevel="0" collapsed="false"/>
    <row r="2864" customFormat="false" ht="11.25" hidden="false" customHeight="true" outlineLevel="0" collapsed="false"/>
    <row r="2865" customFormat="false" ht="11.25" hidden="false" customHeight="true" outlineLevel="0" collapsed="false"/>
    <row r="2866" customFormat="false" ht="11.25" hidden="false" customHeight="true" outlineLevel="0" collapsed="false"/>
    <row r="2867" customFormat="false" ht="11.25" hidden="false" customHeight="true" outlineLevel="0" collapsed="false"/>
    <row r="2868" customFormat="false" ht="11.25" hidden="false" customHeight="true" outlineLevel="0" collapsed="false"/>
    <row r="2869" customFormat="false" ht="11.25" hidden="false" customHeight="true" outlineLevel="0" collapsed="false"/>
    <row r="2870" customFormat="false" ht="11.25" hidden="false" customHeight="true" outlineLevel="0" collapsed="false"/>
    <row r="2871" customFormat="false" ht="11.25" hidden="false" customHeight="true" outlineLevel="0" collapsed="false"/>
    <row r="2872" customFormat="false" ht="11.25" hidden="false" customHeight="true" outlineLevel="0" collapsed="false"/>
    <row r="2873" customFormat="false" ht="11.25" hidden="false" customHeight="true" outlineLevel="0" collapsed="false"/>
    <row r="2874" customFormat="false" ht="11.25" hidden="false" customHeight="true" outlineLevel="0" collapsed="false"/>
    <row r="2875" customFormat="false" ht="11.25" hidden="false" customHeight="true" outlineLevel="0" collapsed="false"/>
    <row r="2876" customFormat="false" ht="11.25" hidden="false" customHeight="true" outlineLevel="0" collapsed="false"/>
    <row r="2877" customFormat="false" ht="11.25" hidden="false" customHeight="true" outlineLevel="0" collapsed="false"/>
    <row r="2878" customFormat="false" ht="11.25" hidden="false" customHeight="true" outlineLevel="0" collapsed="false"/>
    <row r="2879" customFormat="false" ht="11.25" hidden="false" customHeight="true" outlineLevel="0" collapsed="false"/>
    <row r="2880" customFormat="false" ht="11.25" hidden="false" customHeight="true" outlineLevel="0" collapsed="false"/>
    <row r="2881" customFormat="false" ht="11.25" hidden="false" customHeight="true" outlineLevel="0" collapsed="false"/>
    <row r="2882" customFormat="false" ht="11.25" hidden="false" customHeight="true" outlineLevel="0" collapsed="false"/>
    <row r="2883" customFormat="false" ht="11.25" hidden="false" customHeight="true" outlineLevel="0" collapsed="false"/>
    <row r="2884" customFormat="false" ht="11.25" hidden="false" customHeight="true" outlineLevel="0" collapsed="false"/>
    <row r="2885" customFormat="false" ht="11.25" hidden="false" customHeight="true" outlineLevel="0" collapsed="false"/>
    <row r="2886" customFormat="false" ht="11.25" hidden="false" customHeight="true" outlineLevel="0" collapsed="false"/>
    <row r="2887" customFormat="false" ht="11.25" hidden="false" customHeight="true" outlineLevel="0" collapsed="false"/>
    <row r="2888" customFormat="false" ht="11.25" hidden="false" customHeight="true" outlineLevel="0" collapsed="false"/>
    <row r="2889" customFormat="false" ht="11.25" hidden="false" customHeight="true" outlineLevel="0" collapsed="false"/>
    <row r="2890" customFormat="false" ht="11.25" hidden="false" customHeight="true" outlineLevel="0" collapsed="false"/>
    <row r="2891" customFormat="false" ht="11.25" hidden="false" customHeight="true" outlineLevel="0" collapsed="false"/>
    <row r="2892" customFormat="false" ht="11.25" hidden="false" customHeight="true" outlineLevel="0" collapsed="false"/>
    <row r="2893" customFormat="false" ht="11.25" hidden="false" customHeight="true" outlineLevel="0" collapsed="false"/>
    <row r="2894" customFormat="false" ht="11.25" hidden="false" customHeight="true" outlineLevel="0" collapsed="false"/>
    <row r="2895" customFormat="false" ht="11.25" hidden="false" customHeight="true" outlineLevel="0" collapsed="false"/>
    <row r="2896" customFormat="false" ht="11.25" hidden="false" customHeight="true" outlineLevel="0" collapsed="false"/>
    <row r="2897" customFormat="false" ht="11.25" hidden="false" customHeight="true" outlineLevel="0" collapsed="false"/>
    <row r="2898" customFormat="false" ht="11.25" hidden="false" customHeight="true" outlineLevel="0" collapsed="false"/>
    <row r="2899" customFormat="false" ht="11.25" hidden="false" customHeight="true" outlineLevel="0" collapsed="false"/>
    <row r="2900" customFormat="false" ht="11.25" hidden="false" customHeight="true" outlineLevel="0" collapsed="false"/>
    <row r="2901" customFormat="false" ht="11.25" hidden="false" customHeight="true" outlineLevel="0" collapsed="false"/>
    <row r="2902" customFormat="false" ht="11.25" hidden="false" customHeight="true" outlineLevel="0" collapsed="false"/>
    <row r="2903" customFormat="false" ht="11.25" hidden="false" customHeight="true" outlineLevel="0" collapsed="false"/>
    <row r="2904" customFormat="false" ht="11.25" hidden="false" customHeight="true" outlineLevel="0" collapsed="false"/>
    <row r="2905" customFormat="false" ht="11.25" hidden="false" customHeight="true" outlineLevel="0" collapsed="false"/>
    <row r="2906" customFormat="false" ht="11.25" hidden="false" customHeight="true" outlineLevel="0" collapsed="false"/>
    <row r="2907" customFormat="false" ht="11.25" hidden="false" customHeight="true" outlineLevel="0" collapsed="false"/>
    <row r="2908" customFormat="false" ht="11.25" hidden="false" customHeight="true" outlineLevel="0" collapsed="false"/>
    <row r="2909" customFormat="false" ht="11.25" hidden="false" customHeight="true" outlineLevel="0" collapsed="false"/>
    <row r="2910" customFormat="false" ht="11.25" hidden="false" customHeight="true" outlineLevel="0" collapsed="false"/>
    <row r="2911" customFormat="false" ht="11.25" hidden="false" customHeight="true" outlineLevel="0" collapsed="false"/>
    <row r="2912" customFormat="false" ht="11.25" hidden="false" customHeight="true" outlineLevel="0" collapsed="false"/>
    <row r="2913" customFormat="false" ht="11.25" hidden="false" customHeight="true" outlineLevel="0" collapsed="false"/>
    <row r="2914" customFormat="false" ht="11.25" hidden="false" customHeight="true" outlineLevel="0" collapsed="false"/>
    <row r="2915" customFormat="false" ht="11.25" hidden="false" customHeight="true" outlineLevel="0" collapsed="false"/>
    <row r="2916" customFormat="false" ht="11.25" hidden="false" customHeight="true" outlineLevel="0" collapsed="false"/>
    <row r="2917" customFormat="false" ht="11.25" hidden="false" customHeight="true" outlineLevel="0" collapsed="false"/>
    <row r="2918" customFormat="false" ht="11.25" hidden="false" customHeight="true" outlineLevel="0" collapsed="false"/>
    <row r="2919" customFormat="false" ht="11.25" hidden="false" customHeight="true" outlineLevel="0" collapsed="false"/>
    <row r="2920" customFormat="false" ht="11.25" hidden="false" customHeight="true" outlineLevel="0" collapsed="false"/>
    <row r="2921" customFormat="false" ht="11.25" hidden="false" customHeight="true" outlineLevel="0" collapsed="false"/>
    <row r="2922" customFormat="false" ht="11.25" hidden="false" customHeight="true" outlineLevel="0" collapsed="false"/>
    <row r="2923" customFormat="false" ht="11.25" hidden="false" customHeight="true" outlineLevel="0" collapsed="false"/>
    <row r="2924" customFormat="false" ht="11.25" hidden="false" customHeight="true" outlineLevel="0" collapsed="false"/>
    <row r="2925" customFormat="false" ht="11.25" hidden="false" customHeight="true" outlineLevel="0" collapsed="false"/>
    <row r="2926" customFormat="false" ht="11.25" hidden="false" customHeight="true" outlineLevel="0" collapsed="false"/>
    <row r="2927" customFormat="false" ht="11.25" hidden="false" customHeight="true" outlineLevel="0" collapsed="false"/>
    <row r="2928" customFormat="false" ht="11.25" hidden="false" customHeight="true" outlineLevel="0" collapsed="false"/>
    <row r="2929" customFormat="false" ht="11.25" hidden="false" customHeight="true" outlineLevel="0" collapsed="false"/>
    <row r="2930" customFormat="false" ht="11.25" hidden="false" customHeight="true" outlineLevel="0" collapsed="false"/>
    <row r="2931" customFormat="false" ht="11.25" hidden="false" customHeight="true" outlineLevel="0" collapsed="false"/>
    <row r="2932" customFormat="false" ht="11.25" hidden="false" customHeight="true" outlineLevel="0" collapsed="false"/>
    <row r="2933" customFormat="false" ht="11.25" hidden="false" customHeight="true" outlineLevel="0" collapsed="false"/>
    <row r="2934" customFormat="false" ht="11.25" hidden="false" customHeight="true" outlineLevel="0" collapsed="false"/>
    <row r="2935" customFormat="false" ht="11.25" hidden="false" customHeight="true" outlineLevel="0" collapsed="false"/>
    <row r="2936" customFormat="false" ht="11.25" hidden="false" customHeight="true" outlineLevel="0" collapsed="false"/>
    <row r="2937" customFormat="false" ht="11.25" hidden="false" customHeight="true" outlineLevel="0" collapsed="false"/>
    <row r="2938" customFormat="false" ht="11.25" hidden="false" customHeight="true" outlineLevel="0" collapsed="false"/>
    <row r="2939" customFormat="false" ht="11.25" hidden="false" customHeight="true" outlineLevel="0" collapsed="false"/>
    <row r="2940" customFormat="false" ht="11.25" hidden="false" customHeight="true" outlineLevel="0" collapsed="false"/>
    <row r="2941" customFormat="false" ht="11.25" hidden="false" customHeight="true" outlineLevel="0" collapsed="false"/>
    <row r="2942" customFormat="false" ht="11.25" hidden="false" customHeight="true" outlineLevel="0" collapsed="false"/>
    <row r="2943" customFormat="false" ht="11.25" hidden="false" customHeight="true" outlineLevel="0" collapsed="false"/>
    <row r="2944" customFormat="false" ht="11.25" hidden="false" customHeight="true" outlineLevel="0" collapsed="false"/>
    <row r="2945" customFormat="false" ht="11.25" hidden="false" customHeight="true" outlineLevel="0" collapsed="false"/>
    <row r="2946" customFormat="false" ht="11.25" hidden="false" customHeight="true" outlineLevel="0" collapsed="false"/>
    <row r="2947" customFormat="false" ht="11.25" hidden="false" customHeight="true" outlineLevel="0" collapsed="false"/>
    <row r="2948" customFormat="false" ht="11.25" hidden="false" customHeight="true" outlineLevel="0" collapsed="false"/>
    <row r="2949" customFormat="false" ht="11.25" hidden="false" customHeight="true" outlineLevel="0" collapsed="false"/>
    <row r="2950" customFormat="false" ht="11.25" hidden="false" customHeight="true" outlineLevel="0" collapsed="false"/>
    <row r="2951" customFormat="false" ht="11.25" hidden="false" customHeight="true" outlineLevel="0" collapsed="false"/>
    <row r="2952" customFormat="false" ht="11.25" hidden="false" customHeight="true" outlineLevel="0" collapsed="false"/>
    <row r="2953" customFormat="false" ht="11.25" hidden="false" customHeight="true" outlineLevel="0" collapsed="false"/>
    <row r="2954" customFormat="false" ht="11.25" hidden="false" customHeight="true" outlineLevel="0" collapsed="false"/>
    <row r="2955" customFormat="false" ht="11.25" hidden="false" customHeight="true" outlineLevel="0" collapsed="false"/>
    <row r="2956" customFormat="false" ht="11.25" hidden="false" customHeight="true" outlineLevel="0" collapsed="false"/>
    <row r="2957" customFormat="false" ht="11.25" hidden="false" customHeight="true" outlineLevel="0" collapsed="false"/>
    <row r="2958" customFormat="false" ht="11.25" hidden="false" customHeight="true" outlineLevel="0" collapsed="false"/>
    <row r="2959" customFormat="false" ht="11.25" hidden="false" customHeight="true" outlineLevel="0" collapsed="false"/>
    <row r="2960" customFormat="false" ht="11.25" hidden="false" customHeight="true" outlineLevel="0" collapsed="false"/>
    <row r="2961" customFormat="false" ht="11.25" hidden="false" customHeight="true" outlineLevel="0" collapsed="false"/>
    <row r="2962" customFormat="false" ht="11.25" hidden="false" customHeight="true" outlineLevel="0" collapsed="false"/>
    <row r="2963" customFormat="false" ht="11.25" hidden="false" customHeight="true" outlineLevel="0" collapsed="false"/>
    <row r="2964" customFormat="false" ht="11.25" hidden="false" customHeight="true" outlineLevel="0" collapsed="false"/>
    <row r="2965" customFormat="false" ht="11.25" hidden="false" customHeight="true" outlineLevel="0" collapsed="false"/>
    <row r="2966" customFormat="false" ht="11.25" hidden="false" customHeight="true" outlineLevel="0" collapsed="false"/>
    <row r="2967" customFormat="false" ht="11.25" hidden="false" customHeight="true" outlineLevel="0" collapsed="false"/>
    <row r="2968" customFormat="false" ht="11.25" hidden="false" customHeight="true" outlineLevel="0" collapsed="false"/>
    <row r="2969" customFormat="false" ht="11.25" hidden="false" customHeight="true" outlineLevel="0" collapsed="false"/>
    <row r="2970" customFormat="false" ht="11.25" hidden="false" customHeight="true" outlineLevel="0" collapsed="false"/>
    <row r="2971" customFormat="false" ht="11.25" hidden="false" customHeight="true" outlineLevel="0" collapsed="false"/>
    <row r="2972" customFormat="false" ht="11.25" hidden="false" customHeight="true" outlineLevel="0" collapsed="false"/>
    <row r="2973" customFormat="false" ht="11.25" hidden="false" customHeight="true" outlineLevel="0" collapsed="false"/>
    <row r="2974" customFormat="false" ht="11.25" hidden="false" customHeight="true" outlineLevel="0" collapsed="false"/>
    <row r="2975" customFormat="false" ht="11.25" hidden="false" customHeight="true" outlineLevel="0" collapsed="false"/>
    <row r="2976" customFormat="false" ht="11.25" hidden="false" customHeight="true" outlineLevel="0" collapsed="false"/>
    <row r="2977" customFormat="false" ht="11.25" hidden="false" customHeight="true" outlineLevel="0" collapsed="false"/>
    <row r="2978" customFormat="false" ht="11.25" hidden="false" customHeight="true" outlineLevel="0" collapsed="false"/>
    <row r="2979" customFormat="false" ht="11.25" hidden="false" customHeight="true" outlineLevel="0" collapsed="false"/>
    <row r="2980" customFormat="false" ht="11.25" hidden="false" customHeight="true" outlineLevel="0" collapsed="false"/>
    <row r="2981" customFormat="false" ht="11.25" hidden="false" customHeight="true" outlineLevel="0" collapsed="false"/>
    <row r="2982" customFormat="false" ht="11.25" hidden="false" customHeight="true" outlineLevel="0" collapsed="false"/>
    <row r="2983" customFormat="false" ht="11.25" hidden="false" customHeight="true" outlineLevel="0" collapsed="false"/>
    <row r="2984" customFormat="false" ht="11.25" hidden="false" customHeight="true" outlineLevel="0" collapsed="false"/>
    <row r="2985" customFormat="false" ht="11.25" hidden="false" customHeight="true" outlineLevel="0" collapsed="false"/>
    <row r="2986" customFormat="false" ht="11.25" hidden="false" customHeight="true" outlineLevel="0" collapsed="false"/>
    <row r="2987" customFormat="false" ht="11.25" hidden="false" customHeight="true" outlineLevel="0" collapsed="false"/>
    <row r="2988" customFormat="false" ht="11.25" hidden="false" customHeight="true" outlineLevel="0" collapsed="false"/>
    <row r="2989" customFormat="false" ht="11.25" hidden="false" customHeight="true" outlineLevel="0" collapsed="false"/>
    <row r="2990" customFormat="false" ht="11.25" hidden="false" customHeight="true" outlineLevel="0" collapsed="false"/>
    <row r="2991" customFormat="false" ht="11.25" hidden="false" customHeight="true" outlineLevel="0" collapsed="false"/>
    <row r="2992" customFormat="false" ht="11.25" hidden="false" customHeight="true" outlineLevel="0" collapsed="false"/>
    <row r="2993" customFormat="false" ht="11.25" hidden="false" customHeight="true" outlineLevel="0" collapsed="false"/>
    <row r="2994" customFormat="false" ht="11.25" hidden="false" customHeight="true" outlineLevel="0" collapsed="false"/>
    <row r="2995" customFormat="false" ht="11.25" hidden="false" customHeight="true" outlineLevel="0" collapsed="false"/>
    <row r="2996" customFormat="false" ht="11.25" hidden="false" customHeight="true" outlineLevel="0" collapsed="false"/>
    <row r="2997" customFormat="false" ht="11.25" hidden="false" customHeight="true" outlineLevel="0" collapsed="false"/>
    <row r="2998" customFormat="false" ht="11.25" hidden="false" customHeight="true" outlineLevel="0" collapsed="false"/>
    <row r="2999" customFormat="false" ht="11.25" hidden="false" customHeight="true" outlineLevel="0" collapsed="false"/>
    <row r="3000" customFormat="false" ht="11.25" hidden="false" customHeight="true" outlineLevel="0" collapsed="false"/>
    <row r="3001" customFormat="false" ht="11.25" hidden="false" customHeight="true" outlineLevel="0" collapsed="false"/>
    <row r="3002" customFormat="false" ht="11.25" hidden="false" customHeight="true" outlineLevel="0" collapsed="false"/>
    <row r="3003" customFormat="false" ht="11.25" hidden="false" customHeight="true" outlineLevel="0" collapsed="false"/>
    <row r="3004" customFormat="false" ht="11.25" hidden="false" customHeight="true" outlineLevel="0" collapsed="false"/>
    <row r="3005" customFormat="false" ht="11.25" hidden="false" customHeight="true" outlineLevel="0" collapsed="false"/>
    <row r="3006" customFormat="false" ht="11.25" hidden="false" customHeight="true" outlineLevel="0" collapsed="false"/>
    <row r="3007" customFormat="false" ht="11.25" hidden="false" customHeight="true" outlineLevel="0" collapsed="false"/>
    <row r="3008" customFormat="false" ht="11.25" hidden="false" customHeight="true" outlineLevel="0" collapsed="false"/>
    <row r="3009" customFormat="false" ht="11.25" hidden="false" customHeight="true" outlineLevel="0" collapsed="false"/>
    <row r="3010" customFormat="false" ht="11.25" hidden="false" customHeight="true" outlineLevel="0" collapsed="false"/>
    <row r="3011" customFormat="false" ht="11.25" hidden="false" customHeight="true" outlineLevel="0" collapsed="false"/>
    <row r="3012" customFormat="false" ht="11.25" hidden="false" customHeight="true" outlineLevel="0" collapsed="false"/>
    <row r="3013" customFormat="false" ht="11.25" hidden="false" customHeight="true" outlineLevel="0" collapsed="false"/>
    <row r="3014" customFormat="false" ht="11.25" hidden="false" customHeight="true" outlineLevel="0" collapsed="false"/>
    <row r="3015" customFormat="false" ht="11.25" hidden="false" customHeight="true" outlineLevel="0" collapsed="false"/>
    <row r="3016" customFormat="false" ht="11.25" hidden="false" customHeight="true" outlineLevel="0" collapsed="false"/>
    <row r="3017" customFormat="false" ht="11.25" hidden="false" customHeight="true" outlineLevel="0" collapsed="false"/>
    <row r="3018" customFormat="false" ht="11.25" hidden="false" customHeight="true" outlineLevel="0" collapsed="false"/>
    <row r="3019" customFormat="false" ht="11.25" hidden="false" customHeight="true" outlineLevel="0" collapsed="false"/>
    <row r="3020" customFormat="false" ht="11.25" hidden="false" customHeight="true" outlineLevel="0" collapsed="false"/>
    <row r="3021" customFormat="false" ht="11.25" hidden="false" customHeight="true" outlineLevel="0" collapsed="false"/>
    <row r="3022" customFormat="false" ht="11.25" hidden="false" customHeight="true" outlineLevel="0" collapsed="false"/>
    <row r="3023" customFormat="false" ht="11.25" hidden="false" customHeight="true" outlineLevel="0" collapsed="false"/>
    <row r="3024" customFormat="false" ht="11.25" hidden="false" customHeight="true" outlineLevel="0" collapsed="false"/>
    <row r="3025" customFormat="false" ht="11.25" hidden="false" customHeight="true" outlineLevel="0" collapsed="false"/>
    <row r="3026" customFormat="false" ht="11.25" hidden="false" customHeight="true" outlineLevel="0" collapsed="false"/>
    <row r="3027" customFormat="false" ht="11.25" hidden="false" customHeight="true" outlineLevel="0" collapsed="false"/>
    <row r="3028" customFormat="false" ht="11.25" hidden="false" customHeight="true" outlineLevel="0" collapsed="false"/>
    <row r="3029" customFormat="false" ht="11.25" hidden="false" customHeight="true" outlineLevel="0" collapsed="false"/>
    <row r="3030" customFormat="false" ht="11.25" hidden="false" customHeight="true" outlineLevel="0" collapsed="false"/>
    <row r="3031" customFormat="false" ht="11.25" hidden="false" customHeight="true" outlineLevel="0" collapsed="false"/>
    <row r="3032" customFormat="false" ht="11.25" hidden="false" customHeight="true" outlineLevel="0" collapsed="false"/>
    <row r="3033" customFormat="false" ht="11.25" hidden="false" customHeight="true" outlineLevel="0" collapsed="false"/>
    <row r="3034" customFormat="false" ht="11.25" hidden="false" customHeight="true" outlineLevel="0" collapsed="false"/>
    <row r="3035" customFormat="false" ht="11.25" hidden="false" customHeight="true" outlineLevel="0" collapsed="false"/>
    <row r="3036" customFormat="false" ht="11.25" hidden="false" customHeight="true" outlineLevel="0" collapsed="false"/>
    <row r="3037" customFormat="false" ht="11.25" hidden="false" customHeight="true" outlineLevel="0" collapsed="false"/>
    <row r="3038" customFormat="false" ht="11.25" hidden="false" customHeight="true" outlineLevel="0" collapsed="false"/>
    <row r="3039" customFormat="false" ht="11.25" hidden="false" customHeight="true" outlineLevel="0" collapsed="false"/>
    <row r="3040" customFormat="false" ht="11.25" hidden="false" customHeight="true" outlineLevel="0" collapsed="false"/>
    <row r="3041" customFormat="false" ht="11.25" hidden="false" customHeight="true" outlineLevel="0" collapsed="false"/>
    <row r="3042" customFormat="false" ht="11.25" hidden="false" customHeight="true" outlineLevel="0" collapsed="false"/>
    <row r="3043" customFormat="false" ht="11.25" hidden="false" customHeight="true" outlineLevel="0" collapsed="false"/>
    <row r="3044" customFormat="false" ht="11.25" hidden="false" customHeight="true" outlineLevel="0" collapsed="false"/>
    <row r="3045" customFormat="false" ht="11.25" hidden="false" customHeight="true" outlineLevel="0" collapsed="false"/>
    <row r="3046" customFormat="false" ht="11.25" hidden="false" customHeight="true" outlineLevel="0" collapsed="false"/>
    <row r="3047" customFormat="false" ht="11.25" hidden="false" customHeight="true" outlineLevel="0" collapsed="false"/>
    <row r="3048" customFormat="false" ht="11.25" hidden="false" customHeight="true" outlineLevel="0" collapsed="false"/>
    <row r="3049" customFormat="false" ht="11.25" hidden="false" customHeight="true" outlineLevel="0" collapsed="false"/>
    <row r="3050" customFormat="false" ht="11.25" hidden="false" customHeight="true" outlineLevel="0" collapsed="false"/>
    <row r="3051" customFormat="false" ht="11.25" hidden="false" customHeight="true" outlineLevel="0" collapsed="false"/>
    <row r="3052" customFormat="false" ht="11.25" hidden="false" customHeight="true" outlineLevel="0" collapsed="false"/>
    <row r="3053" customFormat="false" ht="11.25" hidden="false" customHeight="true" outlineLevel="0" collapsed="false"/>
    <row r="3054" customFormat="false" ht="11.25" hidden="false" customHeight="true" outlineLevel="0" collapsed="false"/>
    <row r="3055" customFormat="false" ht="11.25" hidden="false" customHeight="true" outlineLevel="0" collapsed="false"/>
    <row r="3056" customFormat="false" ht="11.25" hidden="false" customHeight="true" outlineLevel="0" collapsed="false"/>
    <row r="3057" customFormat="false" ht="11.25" hidden="false" customHeight="true" outlineLevel="0" collapsed="false"/>
    <row r="3058" customFormat="false" ht="11.25" hidden="false" customHeight="true" outlineLevel="0" collapsed="false"/>
    <row r="3059" customFormat="false" ht="11.25" hidden="false" customHeight="true" outlineLevel="0" collapsed="false"/>
    <row r="3060" customFormat="false" ht="11.25" hidden="false" customHeight="true" outlineLevel="0" collapsed="false"/>
    <row r="3061" customFormat="false" ht="11.25" hidden="false" customHeight="true" outlineLevel="0" collapsed="false"/>
    <row r="3062" customFormat="false" ht="11.25" hidden="false" customHeight="true" outlineLevel="0" collapsed="false"/>
    <row r="3063" customFormat="false" ht="11.25" hidden="false" customHeight="true" outlineLevel="0" collapsed="false"/>
    <row r="3064" customFormat="false" ht="11.25" hidden="false" customHeight="true" outlineLevel="0" collapsed="false"/>
    <row r="3065" customFormat="false" ht="11.25" hidden="false" customHeight="true" outlineLevel="0" collapsed="false"/>
    <row r="3066" customFormat="false" ht="11.25" hidden="false" customHeight="true" outlineLevel="0" collapsed="false"/>
    <row r="3067" customFormat="false" ht="11.25" hidden="false" customHeight="true" outlineLevel="0" collapsed="false"/>
    <row r="3068" customFormat="false" ht="11.25" hidden="false" customHeight="true" outlineLevel="0" collapsed="false"/>
    <row r="3069" customFormat="false" ht="11.25" hidden="false" customHeight="true" outlineLevel="0" collapsed="false"/>
    <row r="3070" customFormat="false" ht="11.25" hidden="false" customHeight="true" outlineLevel="0" collapsed="false"/>
    <row r="3071" customFormat="false" ht="11.25" hidden="false" customHeight="true" outlineLevel="0" collapsed="false"/>
    <row r="3072" customFormat="false" ht="11.25" hidden="false" customHeight="true" outlineLevel="0" collapsed="false"/>
    <row r="3073" customFormat="false" ht="11.25" hidden="false" customHeight="true" outlineLevel="0" collapsed="false"/>
    <row r="3074" customFormat="false" ht="11.25" hidden="false" customHeight="true" outlineLevel="0" collapsed="false"/>
    <row r="3075" customFormat="false" ht="11.25" hidden="false" customHeight="true" outlineLevel="0" collapsed="false"/>
    <row r="3076" customFormat="false" ht="11.25" hidden="false" customHeight="true" outlineLevel="0" collapsed="false"/>
    <row r="3077" customFormat="false" ht="11.25" hidden="false" customHeight="true" outlineLevel="0" collapsed="false"/>
    <row r="3078" customFormat="false" ht="11.25" hidden="false" customHeight="true" outlineLevel="0" collapsed="false"/>
    <row r="3079" customFormat="false" ht="11.25" hidden="false" customHeight="true" outlineLevel="0" collapsed="false"/>
    <row r="3080" customFormat="false" ht="11.25" hidden="false" customHeight="true" outlineLevel="0" collapsed="false"/>
    <row r="3081" customFormat="false" ht="11.25" hidden="false" customHeight="true" outlineLevel="0" collapsed="false"/>
    <row r="3082" customFormat="false" ht="11.25" hidden="false" customHeight="true" outlineLevel="0" collapsed="false"/>
    <row r="3083" customFormat="false" ht="11.25" hidden="false" customHeight="true" outlineLevel="0" collapsed="false"/>
    <row r="3084" customFormat="false" ht="11.25" hidden="false" customHeight="true" outlineLevel="0" collapsed="false"/>
    <row r="3085" customFormat="false" ht="11.25" hidden="false" customHeight="true" outlineLevel="0" collapsed="false"/>
    <row r="3086" customFormat="false" ht="11.25" hidden="false" customHeight="true" outlineLevel="0" collapsed="false"/>
    <row r="3087" customFormat="false" ht="11.25" hidden="false" customHeight="true" outlineLevel="0" collapsed="false"/>
    <row r="3088" customFormat="false" ht="11.25" hidden="false" customHeight="true" outlineLevel="0" collapsed="false"/>
    <row r="3089" customFormat="false" ht="11.25" hidden="false" customHeight="true" outlineLevel="0" collapsed="false"/>
    <row r="3090" customFormat="false" ht="11.25" hidden="false" customHeight="true" outlineLevel="0" collapsed="false"/>
    <row r="3091" customFormat="false" ht="11.25" hidden="false" customHeight="true" outlineLevel="0" collapsed="false"/>
    <row r="3092" customFormat="false" ht="11.25" hidden="false" customHeight="true" outlineLevel="0" collapsed="false"/>
    <row r="3093" customFormat="false" ht="11.25" hidden="false" customHeight="true" outlineLevel="0" collapsed="false"/>
    <row r="3094" customFormat="false" ht="11.25" hidden="false" customHeight="true" outlineLevel="0" collapsed="false"/>
    <row r="3095" customFormat="false" ht="11.25" hidden="false" customHeight="true" outlineLevel="0" collapsed="false"/>
    <row r="3096" customFormat="false" ht="11.25" hidden="false" customHeight="true" outlineLevel="0" collapsed="false"/>
    <row r="3097" customFormat="false" ht="11.25" hidden="false" customHeight="true" outlineLevel="0" collapsed="false"/>
    <row r="3098" customFormat="false" ht="11.25" hidden="false" customHeight="true" outlineLevel="0" collapsed="false"/>
    <row r="3099" customFormat="false" ht="11.25" hidden="false" customHeight="true" outlineLevel="0" collapsed="false"/>
    <row r="3100" customFormat="false" ht="11.25" hidden="false" customHeight="true" outlineLevel="0" collapsed="false"/>
    <row r="3101" customFormat="false" ht="11.25" hidden="false" customHeight="true" outlineLevel="0" collapsed="false"/>
    <row r="3102" customFormat="false" ht="11.25" hidden="false" customHeight="true" outlineLevel="0" collapsed="false"/>
    <row r="3103" customFormat="false" ht="11.25" hidden="false" customHeight="true" outlineLevel="0" collapsed="false"/>
    <row r="3104" customFormat="false" ht="11.25" hidden="false" customHeight="true" outlineLevel="0" collapsed="false"/>
    <row r="3105" customFormat="false" ht="11.25" hidden="false" customHeight="true" outlineLevel="0" collapsed="false"/>
    <row r="3106" customFormat="false" ht="11.25" hidden="false" customHeight="true" outlineLevel="0" collapsed="false"/>
    <row r="3107" customFormat="false" ht="11.25" hidden="false" customHeight="true" outlineLevel="0" collapsed="false"/>
    <row r="3108" customFormat="false" ht="11.25" hidden="false" customHeight="true" outlineLevel="0" collapsed="false"/>
    <row r="3109" customFormat="false" ht="11.25" hidden="false" customHeight="true" outlineLevel="0" collapsed="false"/>
    <row r="3110" customFormat="false" ht="11.25" hidden="false" customHeight="true" outlineLevel="0" collapsed="false"/>
    <row r="3111" customFormat="false" ht="11.25" hidden="false" customHeight="true" outlineLevel="0" collapsed="false"/>
    <row r="3112" customFormat="false" ht="11.25" hidden="false" customHeight="true" outlineLevel="0" collapsed="false"/>
    <row r="3113" customFormat="false" ht="11.25" hidden="false" customHeight="true" outlineLevel="0" collapsed="false"/>
    <row r="3114" customFormat="false" ht="11.25" hidden="false" customHeight="true" outlineLevel="0" collapsed="false"/>
    <row r="3115" customFormat="false" ht="11.25" hidden="false" customHeight="true" outlineLevel="0" collapsed="false"/>
    <row r="3116" customFormat="false" ht="11.25" hidden="false" customHeight="true" outlineLevel="0" collapsed="false"/>
    <row r="3117" customFormat="false" ht="11.25" hidden="false" customHeight="true" outlineLevel="0" collapsed="false"/>
    <row r="3118" customFormat="false" ht="11.25" hidden="false" customHeight="true" outlineLevel="0" collapsed="false"/>
    <row r="3119" customFormat="false" ht="11.25" hidden="false" customHeight="true" outlineLevel="0" collapsed="false"/>
    <row r="3120" customFormat="false" ht="11.25" hidden="false" customHeight="true" outlineLevel="0" collapsed="false"/>
    <row r="3121" customFormat="false" ht="11.25" hidden="false" customHeight="true" outlineLevel="0" collapsed="false"/>
    <row r="3122" customFormat="false" ht="11.25" hidden="false" customHeight="true" outlineLevel="0" collapsed="false"/>
    <row r="3123" customFormat="false" ht="11.25" hidden="false" customHeight="true" outlineLevel="0" collapsed="false"/>
    <row r="3124" customFormat="false" ht="11.25" hidden="false" customHeight="true" outlineLevel="0" collapsed="false"/>
    <row r="3125" customFormat="false" ht="11.25" hidden="false" customHeight="true" outlineLevel="0" collapsed="false"/>
    <row r="3126" customFormat="false" ht="11.25" hidden="false" customHeight="true" outlineLevel="0" collapsed="false"/>
    <row r="3127" customFormat="false" ht="11.25" hidden="false" customHeight="true" outlineLevel="0" collapsed="false"/>
    <row r="3128" customFormat="false" ht="11.25" hidden="false" customHeight="true" outlineLevel="0" collapsed="false"/>
    <row r="3129" customFormat="false" ht="11.25" hidden="false" customHeight="true" outlineLevel="0" collapsed="false"/>
    <row r="3130" customFormat="false" ht="11.25" hidden="false" customHeight="true" outlineLevel="0" collapsed="false"/>
    <row r="3131" customFormat="false" ht="11.25" hidden="false" customHeight="true" outlineLevel="0" collapsed="false"/>
    <row r="3132" customFormat="false" ht="11.25" hidden="false" customHeight="true" outlineLevel="0" collapsed="false"/>
    <row r="3133" customFormat="false" ht="11.25" hidden="false" customHeight="true" outlineLevel="0" collapsed="false"/>
    <row r="3134" customFormat="false" ht="11.25" hidden="false" customHeight="true" outlineLevel="0" collapsed="false"/>
    <row r="3135" customFormat="false" ht="11.25" hidden="false" customHeight="true" outlineLevel="0" collapsed="false"/>
    <row r="3136" customFormat="false" ht="11.25" hidden="false" customHeight="true" outlineLevel="0" collapsed="false"/>
    <row r="3137" customFormat="false" ht="11.25" hidden="false" customHeight="true" outlineLevel="0" collapsed="false"/>
    <row r="3138" customFormat="false" ht="11.25" hidden="false" customHeight="true" outlineLevel="0" collapsed="false"/>
    <row r="3139" customFormat="false" ht="11.25" hidden="false" customHeight="true" outlineLevel="0" collapsed="false"/>
    <row r="3140" customFormat="false" ht="11.25" hidden="false" customHeight="true" outlineLevel="0" collapsed="false"/>
    <row r="3141" customFormat="false" ht="11.25" hidden="false" customHeight="true" outlineLevel="0" collapsed="false"/>
    <row r="3142" customFormat="false" ht="11.25" hidden="false" customHeight="true" outlineLevel="0" collapsed="false"/>
    <row r="3143" customFormat="false" ht="11.25" hidden="false" customHeight="true" outlineLevel="0" collapsed="false"/>
    <row r="3144" customFormat="false" ht="11.25" hidden="false" customHeight="true" outlineLevel="0" collapsed="false"/>
    <row r="3145" customFormat="false" ht="11.25" hidden="false" customHeight="true" outlineLevel="0" collapsed="false"/>
    <row r="3146" customFormat="false" ht="11.25" hidden="false" customHeight="true" outlineLevel="0" collapsed="false"/>
    <row r="3147" customFormat="false" ht="11.25" hidden="false" customHeight="true" outlineLevel="0" collapsed="false"/>
    <row r="3148" customFormat="false" ht="11.25" hidden="false" customHeight="true" outlineLevel="0" collapsed="false"/>
    <row r="3149" customFormat="false" ht="11.25" hidden="false" customHeight="true" outlineLevel="0" collapsed="false"/>
    <row r="3150" customFormat="false" ht="11.25" hidden="false" customHeight="true" outlineLevel="0" collapsed="false"/>
    <row r="3151" customFormat="false" ht="11.25" hidden="false" customHeight="true" outlineLevel="0" collapsed="false"/>
    <row r="3152" customFormat="false" ht="11.25" hidden="false" customHeight="true" outlineLevel="0" collapsed="false"/>
    <row r="3153" customFormat="false" ht="11.25" hidden="false" customHeight="true" outlineLevel="0" collapsed="false"/>
    <row r="3154" customFormat="false" ht="11.25" hidden="false" customHeight="true" outlineLevel="0" collapsed="false"/>
    <row r="3155" customFormat="false" ht="11.25" hidden="false" customHeight="true" outlineLevel="0" collapsed="false"/>
    <row r="3156" customFormat="false" ht="11.25" hidden="false" customHeight="true" outlineLevel="0" collapsed="false"/>
    <row r="3157" customFormat="false" ht="11.25" hidden="false" customHeight="true" outlineLevel="0" collapsed="false"/>
    <row r="3158" customFormat="false" ht="11.25" hidden="false" customHeight="true" outlineLevel="0" collapsed="false"/>
    <row r="3159" customFormat="false" ht="11.25" hidden="false" customHeight="true" outlineLevel="0" collapsed="false"/>
    <row r="3160" customFormat="false" ht="11.25" hidden="false" customHeight="true" outlineLevel="0" collapsed="false"/>
    <row r="3161" customFormat="false" ht="11.25" hidden="false" customHeight="true" outlineLevel="0" collapsed="false"/>
    <row r="3162" customFormat="false" ht="11.25" hidden="false" customHeight="true" outlineLevel="0" collapsed="false"/>
    <row r="3163" customFormat="false" ht="11.25" hidden="false" customHeight="true" outlineLevel="0" collapsed="false"/>
    <row r="3164" customFormat="false" ht="11.25" hidden="false" customHeight="true" outlineLevel="0" collapsed="false"/>
    <row r="3165" customFormat="false" ht="11.25" hidden="false" customHeight="true" outlineLevel="0" collapsed="false"/>
    <row r="3166" customFormat="false" ht="11.25" hidden="false" customHeight="true" outlineLevel="0" collapsed="false"/>
    <row r="3167" customFormat="false" ht="11.25" hidden="false" customHeight="true" outlineLevel="0" collapsed="false"/>
    <row r="3168" customFormat="false" ht="11.25" hidden="false" customHeight="true" outlineLevel="0" collapsed="false"/>
    <row r="3169" customFormat="false" ht="11.25" hidden="false" customHeight="true" outlineLevel="0" collapsed="false"/>
    <row r="3170" customFormat="false" ht="11.25" hidden="false" customHeight="true" outlineLevel="0" collapsed="false"/>
    <row r="3171" customFormat="false" ht="11.25" hidden="false" customHeight="true" outlineLevel="0" collapsed="false"/>
    <row r="3172" customFormat="false" ht="11.25" hidden="false" customHeight="true" outlineLevel="0" collapsed="false"/>
    <row r="3173" customFormat="false" ht="11.25" hidden="false" customHeight="true" outlineLevel="0" collapsed="false"/>
    <row r="3174" customFormat="false" ht="11.25" hidden="false" customHeight="true" outlineLevel="0" collapsed="false"/>
    <row r="3175" customFormat="false" ht="11.25" hidden="false" customHeight="true" outlineLevel="0" collapsed="false"/>
    <row r="3176" customFormat="false" ht="11.25" hidden="false" customHeight="true" outlineLevel="0" collapsed="false"/>
    <row r="3177" customFormat="false" ht="11.25" hidden="false" customHeight="true" outlineLevel="0" collapsed="false"/>
    <row r="3178" customFormat="false" ht="11.25" hidden="false" customHeight="true" outlineLevel="0" collapsed="false"/>
    <row r="3179" customFormat="false" ht="11.25" hidden="false" customHeight="true" outlineLevel="0" collapsed="false"/>
    <row r="3180" customFormat="false" ht="11.25" hidden="false" customHeight="true" outlineLevel="0" collapsed="false"/>
    <row r="3181" customFormat="false" ht="11.25" hidden="false" customHeight="true" outlineLevel="0" collapsed="false"/>
    <row r="3182" customFormat="false" ht="11.25" hidden="false" customHeight="true" outlineLevel="0" collapsed="false"/>
    <row r="3183" customFormat="false" ht="11.25" hidden="false" customHeight="true" outlineLevel="0" collapsed="false"/>
    <row r="3184" customFormat="false" ht="11.25" hidden="false" customHeight="true" outlineLevel="0" collapsed="false"/>
    <row r="3185" customFormat="false" ht="11.25" hidden="false" customHeight="true" outlineLevel="0" collapsed="false"/>
    <row r="3186" customFormat="false" ht="11.25" hidden="false" customHeight="true" outlineLevel="0" collapsed="false"/>
    <row r="3187" customFormat="false" ht="11.25" hidden="false" customHeight="true" outlineLevel="0" collapsed="false"/>
    <row r="3188" customFormat="false" ht="11.25" hidden="false" customHeight="true" outlineLevel="0" collapsed="false"/>
    <row r="3189" customFormat="false" ht="11.25" hidden="false" customHeight="true" outlineLevel="0" collapsed="false"/>
    <row r="3190" customFormat="false" ht="11.25" hidden="false" customHeight="true" outlineLevel="0" collapsed="false"/>
    <row r="3191" customFormat="false" ht="11.25" hidden="false" customHeight="true" outlineLevel="0" collapsed="false"/>
    <row r="3192" customFormat="false" ht="11.25" hidden="false" customHeight="true" outlineLevel="0" collapsed="false"/>
    <row r="3193" customFormat="false" ht="11.25" hidden="false" customHeight="true" outlineLevel="0" collapsed="false"/>
    <row r="3194" customFormat="false" ht="11.25" hidden="false" customHeight="true" outlineLevel="0" collapsed="false"/>
    <row r="3195" customFormat="false" ht="11.25" hidden="false" customHeight="true" outlineLevel="0" collapsed="false"/>
    <row r="3196" customFormat="false" ht="11.25" hidden="false" customHeight="true" outlineLevel="0" collapsed="false"/>
    <row r="3197" customFormat="false" ht="11.25" hidden="false" customHeight="true" outlineLevel="0" collapsed="false"/>
    <row r="3198" customFormat="false" ht="11.25" hidden="false" customHeight="true" outlineLevel="0" collapsed="false"/>
    <row r="3199" customFormat="false" ht="11.25" hidden="false" customHeight="true" outlineLevel="0" collapsed="false"/>
    <row r="3200" customFormat="false" ht="11.25" hidden="false" customHeight="true" outlineLevel="0" collapsed="false"/>
    <row r="3201" customFormat="false" ht="11.25" hidden="false" customHeight="true" outlineLevel="0" collapsed="false"/>
    <row r="3202" customFormat="false" ht="11.25" hidden="false" customHeight="true" outlineLevel="0" collapsed="false"/>
    <row r="3203" customFormat="false" ht="11.25" hidden="false" customHeight="true" outlineLevel="0" collapsed="false"/>
    <row r="3204" customFormat="false" ht="11.25" hidden="false" customHeight="true" outlineLevel="0" collapsed="false"/>
    <row r="3205" customFormat="false" ht="11.25" hidden="false" customHeight="true" outlineLevel="0" collapsed="false"/>
    <row r="3206" customFormat="false" ht="11.25" hidden="false" customHeight="true" outlineLevel="0" collapsed="false"/>
    <row r="3207" customFormat="false" ht="11.25" hidden="false" customHeight="true" outlineLevel="0" collapsed="false"/>
    <row r="3208" customFormat="false" ht="11.25" hidden="false" customHeight="true" outlineLevel="0" collapsed="false"/>
    <row r="3209" customFormat="false" ht="11.25" hidden="false" customHeight="true" outlineLevel="0" collapsed="false"/>
    <row r="3210" customFormat="false" ht="11.25" hidden="false" customHeight="true" outlineLevel="0" collapsed="false"/>
    <row r="3211" customFormat="false" ht="11.25" hidden="false" customHeight="true" outlineLevel="0" collapsed="false"/>
    <row r="3212" customFormat="false" ht="11.25" hidden="false" customHeight="true" outlineLevel="0" collapsed="false"/>
    <row r="3213" customFormat="false" ht="11.25" hidden="false" customHeight="true" outlineLevel="0" collapsed="false"/>
    <row r="3214" customFormat="false" ht="11.25" hidden="false" customHeight="true" outlineLevel="0" collapsed="false"/>
    <row r="3215" customFormat="false" ht="11.25" hidden="false" customHeight="true" outlineLevel="0" collapsed="false"/>
    <row r="3216" customFormat="false" ht="11.25" hidden="false" customHeight="true" outlineLevel="0" collapsed="false"/>
    <row r="3217" customFormat="false" ht="11.25" hidden="false" customHeight="true" outlineLevel="0" collapsed="false"/>
    <row r="3218" customFormat="false" ht="11.25" hidden="false" customHeight="true" outlineLevel="0" collapsed="false"/>
    <row r="3219" customFormat="false" ht="11.25" hidden="false" customHeight="true" outlineLevel="0" collapsed="false"/>
    <row r="3220" customFormat="false" ht="11.25" hidden="false" customHeight="true" outlineLevel="0" collapsed="false"/>
    <row r="3221" customFormat="false" ht="11.25" hidden="false" customHeight="true" outlineLevel="0" collapsed="false"/>
    <row r="3222" customFormat="false" ht="11.25" hidden="false" customHeight="true" outlineLevel="0" collapsed="false"/>
    <row r="3223" customFormat="false" ht="11.25" hidden="false" customHeight="true" outlineLevel="0" collapsed="false"/>
    <row r="3224" customFormat="false" ht="11.25" hidden="false" customHeight="true" outlineLevel="0" collapsed="false"/>
    <row r="3225" customFormat="false" ht="11.25" hidden="false" customHeight="true" outlineLevel="0" collapsed="false"/>
    <row r="3226" customFormat="false" ht="11.25" hidden="false" customHeight="true" outlineLevel="0" collapsed="false"/>
    <row r="3227" customFormat="false" ht="11.25" hidden="false" customHeight="true" outlineLevel="0" collapsed="false"/>
    <row r="3228" customFormat="false" ht="11.25" hidden="false" customHeight="true" outlineLevel="0" collapsed="false"/>
    <row r="3229" customFormat="false" ht="11.25" hidden="false" customHeight="true" outlineLevel="0" collapsed="false"/>
    <row r="3230" customFormat="false" ht="11.25" hidden="false" customHeight="true" outlineLevel="0" collapsed="false"/>
    <row r="3231" customFormat="false" ht="11.25" hidden="false" customHeight="true" outlineLevel="0" collapsed="false"/>
    <row r="3232" customFormat="false" ht="11.25" hidden="false" customHeight="true" outlineLevel="0" collapsed="false"/>
    <row r="3233" customFormat="false" ht="11.25" hidden="false" customHeight="true" outlineLevel="0" collapsed="false"/>
    <row r="3234" customFormat="false" ht="11.25" hidden="false" customHeight="true" outlineLevel="0" collapsed="false"/>
    <row r="3235" customFormat="false" ht="11.25" hidden="false" customHeight="true" outlineLevel="0" collapsed="false"/>
    <row r="3236" customFormat="false" ht="11.25" hidden="false" customHeight="true" outlineLevel="0" collapsed="false"/>
    <row r="3237" customFormat="false" ht="11.25" hidden="false" customHeight="true" outlineLevel="0" collapsed="false"/>
    <row r="3238" customFormat="false" ht="11.25" hidden="false" customHeight="true" outlineLevel="0" collapsed="false"/>
    <row r="3239" customFormat="false" ht="11.25" hidden="false" customHeight="true" outlineLevel="0" collapsed="false"/>
    <row r="3240" customFormat="false" ht="11.25" hidden="false" customHeight="true" outlineLevel="0" collapsed="false"/>
    <row r="3241" customFormat="false" ht="11.25" hidden="false" customHeight="true" outlineLevel="0" collapsed="false"/>
    <row r="3242" customFormat="false" ht="11.25" hidden="false" customHeight="true" outlineLevel="0" collapsed="false"/>
    <row r="3243" customFormat="false" ht="11.25" hidden="false" customHeight="true" outlineLevel="0" collapsed="false"/>
    <row r="3244" customFormat="false" ht="11.25" hidden="false" customHeight="true" outlineLevel="0" collapsed="false"/>
    <row r="3245" customFormat="false" ht="11.25" hidden="false" customHeight="true" outlineLevel="0" collapsed="false"/>
    <row r="3246" customFormat="false" ht="11.25" hidden="false" customHeight="true" outlineLevel="0" collapsed="false"/>
    <row r="3247" customFormat="false" ht="11.25" hidden="false" customHeight="true" outlineLevel="0" collapsed="false"/>
    <row r="3248" customFormat="false" ht="11.25" hidden="false" customHeight="true" outlineLevel="0" collapsed="false"/>
    <row r="3249" customFormat="false" ht="11.25" hidden="false" customHeight="true" outlineLevel="0" collapsed="false"/>
    <row r="3250" customFormat="false" ht="11.25" hidden="false" customHeight="true" outlineLevel="0" collapsed="false"/>
    <row r="3251" customFormat="false" ht="11.25" hidden="false" customHeight="true" outlineLevel="0" collapsed="false"/>
    <row r="3252" customFormat="false" ht="11.25" hidden="false" customHeight="true" outlineLevel="0" collapsed="false"/>
    <row r="3253" customFormat="false" ht="11.25" hidden="false" customHeight="true" outlineLevel="0" collapsed="false"/>
    <row r="3254" customFormat="false" ht="11.25" hidden="false" customHeight="true" outlineLevel="0" collapsed="false"/>
    <row r="3255" customFormat="false" ht="11.25" hidden="false" customHeight="true" outlineLevel="0" collapsed="false"/>
    <row r="3256" customFormat="false" ht="11.25" hidden="false" customHeight="true" outlineLevel="0" collapsed="false"/>
    <row r="3257" customFormat="false" ht="11.25" hidden="false" customHeight="true" outlineLevel="0" collapsed="false"/>
    <row r="3258" customFormat="false" ht="11.25" hidden="false" customHeight="true" outlineLevel="0" collapsed="false"/>
    <row r="3259" customFormat="false" ht="11.25" hidden="false" customHeight="true" outlineLevel="0" collapsed="false"/>
    <row r="3260" customFormat="false" ht="11.25" hidden="false" customHeight="true" outlineLevel="0" collapsed="false"/>
    <row r="3261" customFormat="false" ht="11.25" hidden="false" customHeight="true" outlineLevel="0" collapsed="false"/>
    <row r="3262" customFormat="false" ht="11.25" hidden="false" customHeight="true" outlineLevel="0" collapsed="false"/>
    <row r="3263" customFormat="false" ht="11.25" hidden="false" customHeight="true" outlineLevel="0" collapsed="false"/>
    <row r="3264" customFormat="false" ht="11.25" hidden="false" customHeight="true" outlineLevel="0" collapsed="false"/>
    <row r="3265" customFormat="false" ht="11.25" hidden="false" customHeight="true" outlineLevel="0" collapsed="false"/>
    <row r="3266" customFormat="false" ht="11.25" hidden="false" customHeight="true" outlineLevel="0" collapsed="false"/>
    <row r="3267" customFormat="false" ht="11.25" hidden="false" customHeight="true" outlineLevel="0" collapsed="false"/>
    <row r="3268" customFormat="false" ht="11.25" hidden="false" customHeight="true" outlineLevel="0" collapsed="false"/>
    <row r="3269" customFormat="false" ht="11.25" hidden="false" customHeight="true" outlineLevel="0" collapsed="false"/>
    <row r="3270" customFormat="false" ht="11.25" hidden="false" customHeight="true" outlineLevel="0" collapsed="false"/>
    <row r="3271" customFormat="false" ht="11.25" hidden="false" customHeight="true" outlineLevel="0" collapsed="false"/>
    <row r="3272" customFormat="false" ht="11.25" hidden="false" customHeight="true" outlineLevel="0" collapsed="false"/>
    <row r="3273" customFormat="false" ht="11.25" hidden="false" customHeight="true" outlineLevel="0" collapsed="false"/>
    <row r="3274" customFormat="false" ht="11.25" hidden="false" customHeight="true" outlineLevel="0" collapsed="false"/>
    <row r="3275" customFormat="false" ht="11.25" hidden="false" customHeight="true" outlineLevel="0" collapsed="false"/>
    <row r="3276" customFormat="false" ht="11.25" hidden="false" customHeight="true" outlineLevel="0" collapsed="false"/>
    <row r="3277" customFormat="false" ht="11.25" hidden="false" customHeight="true" outlineLevel="0" collapsed="false"/>
    <row r="3278" customFormat="false" ht="11.25" hidden="false" customHeight="true" outlineLevel="0" collapsed="false"/>
    <row r="3279" customFormat="false" ht="11.25" hidden="false" customHeight="true" outlineLevel="0" collapsed="false"/>
    <row r="3280" customFormat="false" ht="11.25" hidden="false" customHeight="true" outlineLevel="0" collapsed="false"/>
    <row r="3281" customFormat="false" ht="11.25" hidden="false" customHeight="true" outlineLevel="0" collapsed="false"/>
    <row r="3282" customFormat="false" ht="11.25" hidden="false" customHeight="true" outlineLevel="0" collapsed="false"/>
    <row r="3283" customFormat="false" ht="11.25" hidden="false" customHeight="true" outlineLevel="0" collapsed="false"/>
    <row r="3284" customFormat="false" ht="11.25" hidden="false" customHeight="true" outlineLevel="0" collapsed="false"/>
    <row r="3285" customFormat="false" ht="11.25" hidden="false" customHeight="true" outlineLevel="0" collapsed="false"/>
    <row r="3286" customFormat="false" ht="11.25" hidden="false" customHeight="true" outlineLevel="0" collapsed="false"/>
    <row r="3287" customFormat="false" ht="11.25" hidden="false" customHeight="true" outlineLevel="0" collapsed="false"/>
    <row r="3288" customFormat="false" ht="11.25" hidden="false" customHeight="true" outlineLevel="0" collapsed="false"/>
    <row r="3289" customFormat="false" ht="11.25" hidden="false" customHeight="true" outlineLevel="0" collapsed="false"/>
    <row r="3290" customFormat="false" ht="11.25" hidden="false" customHeight="true" outlineLevel="0" collapsed="false"/>
    <row r="3291" customFormat="false" ht="11.25" hidden="false" customHeight="true" outlineLevel="0" collapsed="false"/>
    <row r="3292" customFormat="false" ht="11.25" hidden="false" customHeight="true" outlineLevel="0" collapsed="false"/>
    <row r="3293" customFormat="false" ht="11.25" hidden="false" customHeight="true" outlineLevel="0" collapsed="false"/>
    <row r="3294" customFormat="false" ht="11.25" hidden="false" customHeight="true" outlineLevel="0" collapsed="false"/>
    <row r="3295" customFormat="false" ht="11.25" hidden="false" customHeight="true" outlineLevel="0" collapsed="false"/>
    <row r="3296" customFormat="false" ht="11.25" hidden="false" customHeight="true" outlineLevel="0" collapsed="false"/>
    <row r="3297" customFormat="false" ht="11.25" hidden="false" customHeight="true" outlineLevel="0" collapsed="false"/>
    <row r="3298" customFormat="false" ht="11.25" hidden="false" customHeight="true" outlineLevel="0" collapsed="false"/>
    <row r="3299" customFormat="false" ht="11.25" hidden="false" customHeight="true" outlineLevel="0" collapsed="false"/>
    <row r="3300" customFormat="false" ht="11.25" hidden="false" customHeight="true" outlineLevel="0" collapsed="false"/>
    <row r="3301" customFormat="false" ht="11.25" hidden="false" customHeight="true" outlineLevel="0" collapsed="false"/>
    <row r="3302" customFormat="false" ht="11.25" hidden="false" customHeight="true" outlineLevel="0" collapsed="false"/>
    <row r="3303" customFormat="false" ht="11.25" hidden="false" customHeight="true" outlineLevel="0" collapsed="false"/>
    <row r="3304" customFormat="false" ht="11.25" hidden="false" customHeight="true" outlineLevel="0" collapsed="false"/>
    <row r="3305" customFormat="false" ht="11.25" hidden="false" customHeight="true" outlineLevel="0" collapsed="false"/>
    <row r="3306" customFormat="false" ht="11.25" hidden="false" customHeight="true" outlineLevel="0" collapsed="false"/>
    <row r="3307" customFormat="false" ht="11.25" hidden="false" customHeight="true" outlineLevel="0" collapsed="false"/>
    <row r="3308" customFormat="false" ht="11.25" hidden="false" customHeight="true" outlineLevel="0" collapsed="false"/>
    <row r="3309" customFormat="false" ht="11.25" hidden="false" customHeight="true" outlineLevel="0" collapsed="false"/>
    <row r="3310" customFormat="false" ht="11.25" hidden="false" customHeight="true" outlineLevel="0" collapsed="false"/>
    <row r="3311" customFormat="false" ht="11.25" hidden="false" customHeight="true" outlineLevel="0" collapsed="false"/>
    <row r="3312" customFormat="false" ht="11.25" hidden="false" customHeight="true" outlineLevel="0" collapsed="false"/>
    <row r="3313" customFormat="false" ht="11.25" hidden="false" customHeight="true" outlineLevel="0" collapsed="false"/>
    <row r="3314" customFormat="false" ht="11.25" hidden="false" customHeight="true" outlineLevel="0" collapsed="false"/>
    <row r="3315" customFormat="false" ht="11.25" hidden="false" customHeight="true" outlineLevel="0" collapsed="false"/>
    <row r="3316" customFormat="false" ht="11.25" hidden="false" customHeight="true" outlineLevel="0" collapsed="false"/>
    <row r="3317" customFormat="false" ht="11.25" hidden="false" customHeight="true" outlineLevel="0" collapsed="false"/>
    <row r="3318" customFormat="false" ht="11.25" hidden="false" customHeight="true" outlineLevel="0" collapsed="false"/>
    <row r="3319" customFormat="false" ht="11.25" hidden="false" customHeight="true" outlineLevel="0" collapsed="false"/>
    <row r="3320" customFormat="false" ht="11.25" hidden="false" customHeight="true" outlineLevel="0" collapsed="false"/>
    <row r="3321" customFormat="false" ht="11.25" hidden="false" customHeight="true" outlineLevel="0" collapsed="false"/>
    <row r="3322" customFormat="false" ht="11.25" hidden="false" customHeight="true" outlineLevel="0" collapsed="false"/>
    <row r="3323" customFormat="false" ht="11.25" hidden="false" customHeight="true" outlineLevel="0" collapsed="false"/>
    <row r="3324" customFormat="false" ht="11.25" hidden="false" customHeight="true" outlineLevel="0" collapsed="false"/>
    <row r="3325" customFormat="false" ht="11.25" hidden="false" customHeight="true" outlineLevel="0" collapsed="false"/>
    <row r="3326" customFormat="false" ht="11.25" hidden="false" customHeight="true" outlineLevel="0" collapsed="false"/>
    <row r="3327" customFormat="false" ht="11.25" hidden="false" customHeight="true" outlineLevel="0" collapsed="false"/>
    <row r="3328" customFormat="false" ht="11.25" hidden="false" customHeight="true" outlineLevel="0" collapsed="false"/>
    <row r="3329" customFormat="false" ht="11.25" hidden="false" customHeight="true" outlineLevel="0" collapsed="false"/>
    <row r="3330" customFormat="false" ht="11.25" hidden="false" customHeight="true" outlineLevel="0" collapsed="false"/>
    <row r="3331" customFormat="false" ht="11.25" hidden="false" customHeight="true" outlineLevel="0" collapsed="false"/>
    <row r="3332" customFormat="false" ht="11.25" hidden="false" customHeight="true" outlineLevel="0" collapsed="false"/>
    <row r="3333" customFormat="false" ht="11.25" hidden="false" customHeight="true" outlineLevel="0" collapsed="false"/>
    <row r="3334" customFormat="false" ht="11.25" hidden="false" customHeight="true" outlineLevel="0" collapsed="false"/>
    <row r="3335" customFormat="false" ht="11.25" hidden="false" customHeight="true" outlineLevel="0" collapsed="false"/>
    <row r="3336" customFormat="false" ht="11.25" hidden="false" customHeight="true" outlineLevel="0" collapsed="false"/>
    <row r="3337" customFormat="false" ht="11.25" hidden="false" customHeight="true" outlineLevel="0" collapsed="false"/>
    <row r="3338" customFormat="false" ht="11.25" hidden="false" customHeight="true" outlineLevel="0" collapsed="false"/>
    <row r="3339" customFormat="false" ht="11.25" hidden="false" customHeight="true" outlineLevel="0" collapsed="false"/>
    <row r="3340" customFormat="false" ht="11.25" hidden="false" customHeight="true" outlineLevel="0" collapsed="false"/>
    <row r="3341" customFormat="false" ht="11.25" hidden="false" customHeight="true" outlineLevel="0" collapsed="false"/>
    <row r="3342" customFormat="false" ht="11.25" hidden="false" customHeight="true" outlineLevel="0" collapsed="false"/>
    <row r="3343" customFormat="false" ht="11.25" hidden="false" customHeight="true" outlineLevel="0" collapsed="false"/>
    <row r="3344" customFormat="false" ht="11.25" hidden="false" customHeight="true" outlineLevel="0" collapsed="false"/>
    <row r="3345" customFormat="false" ht="11.25" hidden="false" customHeight="true" outlineLevel="0" collapsed="false"/>
    <row r="3346" customFormat="false" ht="11.25" hidden="false" customHeight="true" outlineLevel="0" collapsed="false"/>
    <row r="3347" customFormat="false" ht="11.25" hidden="false" customHeight="true" outlineLevel="0" collapsed="false"/>
    <row r="3348" customFormat="false" ht="11.25" hidden="false" customHeight="true" outlineLevel="0" collapsed="false"/>
    <row r="3349" customFormat="false" ht="11.25" hidden="false" customHeight="true" outlineLevel="0" collapsed="false"/>
    <row r="3350" customFormat="false" ht="11.25" hidden="false" customHeight="true" outlineLevel="0" collapsed="false"/>
    <row r="3351" customFormat="false" ht="11.25" hidden="false" customHeight="true" outlineLevel="0" collapsed="false"/>
    <row r="3352" customFormat="false" ht="11.25" hidden="false" customHeight="true" outlineLevel="0" collapsed="false"/>
    <row r="3353" customFormat="false" ht="11.25" hidden="false" customHeight="true" outlineLevel="0" collapsed="false"/>
    <row r="3354" customFormat="false" ht="11.25" hidden="false" customHeight="true" outlineLevel="0" collapsed="false"/>
    <row r="3355" customFormat="false" ht="11.25" hidden="false" customHeight="true" outlineLevel="0" collapsed="false"/>
    <row r="3356" customFormat="false" ht="11.25" hidden="false" customHeight="true" outlineLevel="0" collapsed="false"/>
    <row r="3357" customFormat="false" ht="11.25" hidden="false" customHeight="true" outlineLevel="0" collapsed="false"/>
    <row r="3358" customFormat="false" ht="11.25" hidden="false" customHeight="true" outlineLevel="0" collapsed="false"/>
    <row r="3359" customFormat="false" ht="11.25" hidden="false" customHeight="true" outlineLevel="0" collapsed="false"/>
    <row r="3360" customFormat="false" ht="11.25" hidden="false" customHeight="true" outlineLevel="0" collapsed="false"/>
    <row r="3361" customFormat="false" ht="11.25" hidden="false" customHeight="true" outlineLevel="0" collapsed="false"/>
    <row r="3362" customFormat="false" ht="11.25" hidden="false" customHeight="true" outlineLevel="0" collapsed="false"/>
    <row r="3363" customFormat="false" ht="11.25" hidden="false" customHeight="true" outlineLevel="0" collapsed="false"/>
    <row r="3364" customFormat="false" ht="11.25" hidden="false" customHeight="true" outlineLevel="0" collapsed="false"/>
    <row r="3365" customFormat="false" ht="11.25" hidden="false" customHeight="true" outlineLevel="0" collapsed="false"/>
    <row r="3366" customFormat="false" ht="11.25" hidden="false" customHeight="true" outlineLevel="0" collapsed="false"/>
    <row r="3367" customFormat="false" ht="11.25" hidden="false" customHeight="true" outlineLevel="0" collapsed="false"/>
    <row r="3368" customFormat="false" ht="11.25" hidden="false" customHeight="true" outlineLevel="0" collapsed="false"/>
    <row r="3369" customFormat="false" ht="11.25" hidden="false" customHeight="true" outlineLevel="0" collapsed="false"/>
    <row r="3370" customFormat="false" ht="11.25" hidden="false" customHeight="true" outlineLevel="0" collapsed="false"/>
    <row r="3371" customFormat="false" ht="11.25" hidden="false" customHeight="true" outlineLevel="0" collapsed="false"/>
    <row r="3372" customFormat="false" ht="11.25" hidden="false" customHeight="true" outlineLevel="0" collapsed="false"/>
    <row r="3373" customFormat="false" ht="11.25" hidden="false" customHeight="true" outlineLevel="0" collapsed="false"/>
    <row r="3374" customFormat="false" ht="11.25" hidden="false" customHeight="true" outlineLevel="0" collapsed="false"/>
    <row r="3375" customFormat="false" ht="11.25" hidden="false" customHeight="true" outlineLevel="0" collapsed="false"/>
    <row r="3376" customFormat="false" ht="11.25" hidden="false" customHeight="true" outlineLevel="0" collapsed="false"/>
    <row r="3377" customFormat="false" ht="11.25" hidden="false" customHeight="true" outlineLevel="0" collapsed="false"/>
    <row r="3378" customFormat="false" ht="11.25" hidden="false" customHeight="true" outlineLevel="0" collapsed="false"/>
    <row r="3379" customFormat="false" ht="11.25" hidden="false" customHeight="true" outlineLevel="0" collapsed="false"/>
    <row r="3380" customFormat="false" ht="11.25" hidden="false" customHeight="true" outlineLevel="0" collapsed="false"/>
    <row r="3381" customFormat="false" ht="11.25" hidden="false" customHeight="true" outlineLevel="0" collapsed="false"/>
    <row r="3382" customFormat="false" ht="11.25" hidden="false" customHeight="true" outlineLevel="0" collapsed="false"/>
    <row r="3383" customFormat="false" ht="11.25" hidden="false" customHeight="true" outlineLevel="0" collapsed="false"/>
    <row r="3384" customFormat="false" ht="11.25" hidden="false" customHeight="true" outlineLevel="0" collapsed="false"/>
    <row r="3385" customFormat="false" ht="11.25" hidden="false" customHeight="true" outlineLevel="0" collapsed="false"/>
    <row r="3386" customFormat="false" ht="11.25" hidden="false" customHeight="true" outlineLevel="0" collapsed="false"/>
    <row r="3387" customFormat="false" ht="11.25" hidden="false" customHeight="true" outlineLevel="0" collapsed="false"/>
    <row r="3388" customFormat="false" ht="11.25" hidden="false" customHeight="true" outlineLevel="0" collapsed="false"/>
    <row r="3389" customFormat="false" ht="11.25" hidden="false" customHeight="true" outlineLevel="0" collapsed="false"/>
    <row r="3390" customFormat="false" ht="11.25" hidden="false" customHeight="true" outlineLevel="0" collapsed="false"/>
    <row r="3391" customFormat="false" ht="11.25" hidden="false" customHeight="true" outlineLevel="0" collapsed="false"/>
    <row r="3392" customFormat="false" ht="11.25" hidden="false" customHeight="true" outlineLevel="0" collapsed="false"/>
    <row r="3393" customFormat="false" ht="11.25" hidden="false" customHeight="true" outlineLevel="0" collapsed="false"/>
    <row r="3394" customFormat="false" ht="11.25" hidden="false" customHeight="true" outlineLevel="0" collapsed="false"/>
    <row r="3395" customFormat="false" ht="11.25" hidden="false" customHeight="true" outlineLevel="0" collapsed="false"/>
    <row r="3396" customFormat="false" ht="11.25" hidden="false" customHeight="true" outlineLevel="0" collapsed="false"/>
    <row r="3397" customFormat="false" ht="11.25" hidden="false" customHeight="true" outlineLevel="0" collapsed="false"/>
    <row r="3398" customFormat="false" ht="11.25" hidden="false" customHeight="true" outlineLevel="0" collapsed="false"/>
    <row r="3399" customFormat="false" ht="11.25" hidden="false" customHeight="true" outlineLevel="0" collapsed="false"/>
    <row r="3400" customFormat="false" ht="11.25" hidden="false" customHeight="true" outlineLevel="0" collapsed="false"/>
    <row r="3401" customFormat="false" ht="11.25" hidden="false" customHeight="true" outlineLevel="0" collapsed="false"/>
    <row r="3402" customFormat="false" ht="11.25" hidden="false" customHeight="true" outlineLevel="0" collapsed="false"/>
    <row r="3403" customFormat="false" ht="11.25" hidden="false" customHeight="true" outlineLevel="0" collapsed="false"/>
    <row r="3404" customFormat="false" ht="11.25" hidden="false" customHeight="true" outlineLevel="0" collapsed="false"/>
    <row r="3405" customFormat="false" ht="11.25" hidden="false" customHeight="true" outlineLevel="0" collapsed="false"/>
    <row r="3406" customFormat="false" ht="11.25" hidden="false" customHeight="true" outlineLevel="0" collapsed="false"/>
    <row r="3407" customFormat="false" ht="11.25" hidden="false" customHeight="true" outlineLevel="0" collapsed="false"/>
    <row r="3408" customFormat="false" ht="11.25" hidden="false" customHeight="true" outlineLevel="0" collapsed="false"/>
    <row r="3409" customFormat="false" ht="11.25" hidden="false" customHeight="true" outlineLevel="0" collapsed="false"/>
    <row r="3410" customFormat="false" ht="11.25" hidden="false" customHeight="true" outlineLevel="0" collapsed="false"/>
    <row r="3411" customFormat="false" ht="11.25" hidden="false" customHeight="true" outlineLevel="0" collapsed="false"/>
    <row r="3412" customFormat="false" ht="11.25" hidden="false" customHeight="true" outlineLevel="0" collapsed="false"/>
    <row r="3413" customFormat="false" ht="11.25" hidden="false" customHeight="true" outlineLevel="0" collapsed="false"/>
    <row r="3414" customFormat="false" ht="11.25" hidden="false" customHeight="true" outlineLevel="0" collapsed="false"/>
    <row r="3415" customFormat="false" ht="11.25" hidden="false" customHeight="true" outlineLevel="0" collapsed="false"/>
    <row r="3416" customFormat="false" ht="11.25" hidden="false" customHeight="true" outlineLevel="0" collapsed="false"/>
    <row r="3417" customFormat="false" ht="11.25" hidden="false" customHeight="true" outlineLevel="0" collapsed="false"/>
    <row r="3418" customFormat="false" ht="11.25" hidden="false" customHeight="true" outlineLevel="0" collapsed="false"/>
    <row r="3419" customFormat="false" ht="11.25" hidden="false" customHeight="true" outlineLevel="0" collapsed="false"/>
    <row r="3420" customFormat="false" ht="11.25" hidden="false" customHeight="true" outlineLevel="0" collapsed="false"/>
    <row r="3421" customFormat="false" ht="11.25" hidden="false" customHeight="true" outlineLevel="0" collapsed="false"/>
    <row r="3422" customFormat="false" ht="11.25" hidden="false" customHeight="true" outlineLevel="0" collapsed="false"/>
    <row r="3423" customFormat="false" ht="11.25" hidden="false" customHeight="true" outlineLevel="0" collapsed="false"/>
    <row r="3424" customFormat="false" ht="11.25" hidden="false" customHeight="true" outlineLevel="0" collapsed="false"/>
    <row r="3425" customFormat="false" ht="11.25" hidden="false" customHeight="true" outlineLevel="0" collapsed="false"/>
    <row r="3426" customFormat="false" ht="11.25" hidden="false" customHeight="true" outlineLevel="0" collapsed="false"/>
    <row r="3427" customFormat="false" ht="11.25" hidden="false" customHeight="true" outlineLevel="0" collapsed="false"/>
    <row r="3428" customFormat="false" ht="11.25" hidden="false" customHeight="true" outlineLevel="0" collapsed="false"/>
    <row r="3429" customFormat="false" ht="11.25" hidden="false" customHeight="true" outlineLevel="0" collapsed="false"/>
    <row r="3430" customFormat="false" ht="11.25" hidden="false" customHeight="true" outlineLevel="0" collapsed="false"/>
    <row r="3431" customFormat="false" ht="11.25" hidden="false" customHeight="true" outlineLevel="0" collapsed="false"/>
    <row r="3432" customFormat="false" ht="11.25" hidden="false" customHeight="true" outlineLevel="0" collapsed="false"/>
    <row r="3433" customFormat="false" ht="11.25" hidden="false" customHeight="true" outlineLevel="0" collapsed="false"/>
    <row r="3434" customFormat="false" ht="11.25" hidden="false" customHeight="true" outlineLevel="0" collapsed="false"/>
    <row r="3435" customFormat="false" ht="11.25" hidden="false" customHeight="true" outlineLevel="0" collapsed="false"/>
    <row r="3436" customFormat="false" ht="11.25" hidden="false" customHeight="true" outlineLevel="0" collapsed="false"/>
    <row r="3437" customFormat="false" ht="11.25" hidden="false" customHeight="true" outlineLevel="0" collapsed="false"/>
    <row r="3438" customFormat="false" ht="11.25" hidden="false" customHeight="true" outlineLevel="0" collapsed="false"/>
    <row r="3439" customFormat="false" ht="11.25" hidden="false" customHeight="true" outlineLevel="0" collapsed="false"/>
    <row r="3440" customFormat="false" ht="11.25" hidden="false" customHeight="true" outlineLevel="0" collapsed="false"/>
    <row r="3441" customFormat="false" ht="11.25" hidden="false" customHeight="true" outlineLevel="0" collapsed="false"/>
    <row r="3442" customFormat="false" ht="11.25" hidden="false" customHeight="true" outlineLevel="0" collapsed="false"/>
    <row r="3443" customFormat="false" ht="11.25" hidden="false" customHeight="true" outlineLevel="0" collapsed="false"/>
    <row r="3444" customFormat="false" ht="11.25" hidden="false" customHeight="true" outlineLevel="0" collapsed="false"/>
    <row r="3445" customFormat="false" ht="11.25" hidden="false" customHeight="true" outlineLevel="0" collapsed="false"/>
    <row r="3446" customFormat="false" ht="11.25" hidden="false" customHeight="true" outlineLevel="0" collapsed="false"/>
    <row r="3447" customFormat="false" ht="11.25" hidden="false" customHeight="true" outlineLevel="0" collapsed="false"/>
    <row r="3448" customFormat="false" ht="11.25" hidden="false" customHeight="true" outlineLevel="0" collapsed="false"/>
    <row r="3449" customFormat="false" ht="11.25" hidden="false" customHeight="true" outlineLevel="0" collapsed="false"/>
    <row r="3450" customFormat="false" ht="11.25" hidden="false" customHeight="true" outlineLevel="0" collapsed="false"/>
    <row r="3451" customFormat="false" ht="11.25" hidden="false" customHeight="true" outlineLevel="0" collapsed="false"/>
    <row r="3452" customFormat="false" ht="11.25" hidden="false" customHeight="true" outlineLevel="0" collapsed="false"/>
    <row r="3453" customFormat="false" ht="11.25" hidden="false" customHeight="true" outlineLevel="0" collapsed="false"/>
    <row r="3454" customFormat="false" ht="11.25" hidden="false" customHeight="true" outlineLevel="0" collapsed="false"/>
    <row r="3455" customFormat="false" ht="11.25" hidden="false" customHeight="true" outlineLevel="0" collapsed="false"/>
    <row r="3456" customFormat="false" ht="11.25" hidden="false" customHeight="true" outlineLevel="0" collapsed="false"/>
    <row r="3457" customFormat="false" ht="11.25" hidden="false" customHeight="true" outlineLevel="0" collapsed="false"/>
    <row r="3458" customFormat="false" ht="11.25" hidden="false" customHeight="true" outlineLevel="0" collapsed="false"/>
    <row r="3459" customFormat="false" ht="11.25" hidden="false" customHeight="true" outlineLevel="0" collapsed="false"/>
    <row r="3460" customFormat="false" ht="11.25" hidden="false" customHeight="true" outlineLevel="0" collapsed="false"/>
    <row r="3461" customFormat="false" ht="11.25" hidden="false" customHeight="true" outlineLevel="0" collapsed="false"/>
    <row r="3462" customFormat="false" ht="11.25" hidden="false" customHeight="true" outlineLevel="0" collapsed="false"/>
    <row r="3463" customFormat="false" ht="11.25" hidden="false" customHeight="true" outlineLevel="0" collapsed="false"/>
    <row r="3464" customFormat="false" ht="11.25" hidden="false" customHeight="true" outlineLevel="0" collapsed="false"/>
    <row r="3465" customFormat="false" ht="11.25" hidden="false" customHeight="true" outlineLevel="0" collapsed="false"/>
    <row r="3466" customFormat="false" ht="11.25" hidden="false" customHeight="true" outlineLevel="0" collapsed="false"/>
    <row r="3467" customFormat="false" ht="11.25" hidden="false" customHeight="true" outlineLevel="0" collapsed="false"/>
    <row r="3468" customFormat="false" ht="11.25" hidden="false" customHeight="true" outlineLevel="0" collapsed="false"/>
    <row r="3469" customFormat="false" ht="11.25" hidden="false" customHeight="true" outlineLevel="0" collapsed="false"/>
    <row r="3470" customFormat="false" ht="11.25" hidden="false" customHeight="true" outlineLevel="0" collapsed="false"/>
    <row r="3471" customFormat="false" ht="11.25" hidden="false" customHeight="true" outlineLevel="0" collapsed="false"/>
    <row r="3472" customFormat="false" ht="11.25" hidden="false" customHeight="true" outlineLevel="0" collapsed="false"/>
    <row r="3473" customFormat="false" ht="11.25" hidden="false" customHeight="true" outlineLevel="0" collapsed="false"/>
    <row r="3474" customFormat="false" ht="11.25" hidden="false" customHeight="true" outlineLevel="0" collapsed="false"/>
    <row r="3475" customFormat="false" ht="11.25" hidden="false" customHeight="true" outlineLevel="0" collapsed="false"/>
    <row r="3476" customFormat="false" ht="11.25" hidden="false" customHeight="true" outlineLevel="0" collapsed="false"/>
    <row r="3477" customFormat="false" ht="11.25" hidden="false" customHeight="true" outlineLevel="0" collapsed="false"/>
    <row r="3478" customFormat="false" ht="11.25" hidden="false" customHeight="true" outlineLevel="0" collapsed="false"/>
    <row r="3479" customFormat="false" ht="11.25" hidden="false" customHeight="true" outlineLevel="0" collapsed="false"/>
    <row r="3480" customFormat="false" ht="11.25" hidden="false" customHeight="true" outlineLevel="0" collapsed="false"/>
    <row r="3481" customFormat="false" ht="11.25" hidden="false" customHeight="true" outlineLevel="0" collapsed="false"/>
    <row r="3482" customFormat="false" ht="11.25" hidden="false" customHeight="true" outlineLevel="0" collapsed="false"/>
    <row r="3483" customFormat="false" ht="11.25" hidden="false" customHeight="true" outlineLevel="0" collapsed="false"/>
    <row r="3484" customFormat="false" ht="11.25" hidden="false" customHeight="true" outlineLevel="0" collapsed="false"/>
    <row r="3485" customFormat="false" ht="11.25" hidden="false" customHeight="true" outlineLevel="0" collapsed="false"/>
    <row r="3486" customFormat="false" ht="11.25" hidden="false" customHeight="true" outlineLevel="0" collapsed="false"/>
    <row r="3487" customFormat="false" ht="11.25" hidden="false" customHeight="true" outlineLevel="0" collapsed="false"/>
    <row r="3488" customFormat="false" ht="11.25" hidden="false" customHeight="true" outlineLevel="0" collapsed="false"/>
    <row r="3489" customFormat="false" ht="11.25" hidden="false" customHeight="true" outlineLevel="0" collapsed="false"/>
    <row r="3490" customFormat="false" ht="11.25" hidden="false" customHeight="true" outlineLevel="0" collapsed="false"/>
    <row r="3491" customFormat="false" ht="11.25" hidden="false" customHeight="true" outlineLevel="0" collapsed="false"/>
    <row r="3492" customFormat="false" ht="11.25" hidden="false" customHeight="true" outlineLevel="0" collapsed="false"/>
    <row r="3493" customFormat="false" ht="11.25" hidden="false" customHeight="true" outlineLevel="0" collapsed="false"/>
    <row r="3494" customFormat="false" ht="11.25" hidden="false" customHeight="true" outlineLevel="0" collapsed="false"/>
    <row r="3495" customFormat="false" ht="11.25" hidden="false" customHeight="true" outlineLevel="0" collapsed="false"/>
    <row r="3496" customFormat="false" ht="11.25" hidden="false" customHeight="true" outlineLevel="0" collapsed="false"/>
    <row r="3497" customFormat="false" ht="11.25" hidden="false" customHeight="true" outlineLevel="0" collapsed="false"/>
    <row r="3498" customFormat="false" ht="11.25" hidden="false" customHeight="true" outlineLevel="0" collapsed="false"/>
    <row r="3499" customFormat="false" ht="11.25" hidden="false" customHeight="true" outlineLevel="0" collapsed="false"/>
    <row r="3500" customFormat="false" ht="11.25" hidden="false" customHeight="true" outlineLevel="0" collapsed="false"/>
    <row r="3501" customFormat="false" ht="11.25" hidden="false" customHeight="true" outlineLevel="0" collapsed="false"/>
    <row r="3502" customFormat="false" ht="11.25" hidden="false" customHeight="true" outlineLevel="0" collapsed="false"/>
    <row r="3503" customFormat="false" ht="11.25" hidden="false" customHeight="true" outlineLevel="0" collapsed="false"/>
    <row r="3504" customFormat="false" ht="11.25" hidden="false" customHeight="true" outlineLevel="0" collapsed="false"/>
    <row r="3505" customFormat="false" ht="11.25" hidden="false" customHeight="true" outlineLevel="0" collapsed="false"/>
    <row r="3506" customFormat="false" ht="11.25" hidden="false" customHeight="true" outlineLevel="0" collapsed="false"/>
    <row r="3507" customFormat="false" ht="11.25" hidden="false" customHeight="true" outlineLevel="0" collapsed="false"/>
    <row r="3508" customFormat="false" ht="11.25" hidden="false" customHeight="true" outlineLevel="0" collapsed="false"/>
    <row r="3509" customFormat="false" ht="11.25" hidden="false" customHeight="true" outlineLevel="0" collapsed="false"/>
    <row r="3510" customFormat="false" ht="11.25" hidden="false" customHeight="true" outlineLevel="0" collapsed="false"/>
    <row r="3511" customFormat="false" ht="11.25" hidden="false" customHeight="true" outlineLevel="0" collapsed="false"/>
    <row r="3512" customFormat="false" ht="11.25" hidden="false" customHeight="true" outlineLevel="0" collapsed="false"/>
    <row r="3513" customFormat="false" ht="11.25" hidden="false" customHeight="true" outlineLevel="0" collapsed="false"/>
    <row r="3514" customFormat="false" ht="11.25" hidden="false" customHeight="true" outlineLevel="0" collapsed="false"/>
    <row r="3515" customFormat="false" ht="11.25" hidden="false" customHeight="true" outlineLevel="0" collapsed="false"/>
    <row r="3516" customFormat="false" ht="11.25" hidden="false" customHeight="true" outlineLevel="0" collapsed="false"/>
    <row r="3517" customFormat="false" ht="11.25" hidden="false" customHeight="true" outlineLevel="0" collapsed="false"/>
    <row r="3518" customFormat="false" ht="11.25" hidden="false" customHeight="true" outlineLevel="0" collapsed="false"/>
    <row r="3519" customFormat="false" ht="11.25" hidden="false" customHeight="true" outlineLevel="0" collapsed="false"/>
    <row r="3520" customFormat="false" ht="11.25" hidden="false" customHeight="true" outlineLevel="0" collapsed="false"/>
    <row r="3521" customFormat="false" ht="11.25" hidden="false" customHeight="true" outlineLevel="0" collapsed="false"/>
    <row r="3522" customFormat="false" ht="11.25" hidden="false" customHeight="true" outlineLevel="0" collapsed="false"/>
    <row r="3523" customFormat="false" ht="11.25" hidden="false" customHeight="true" outlineLevel="0" collapsed="false"/>
    <row r="3524" customFormat="false" ht="11.25" hidden="false" customHeight="true" outlineLevel="0" collapsed="false"/>
    <row r="3525" customFormat="false" ht="11.25" hidden="false" customHeight="true" outlineLevel="0" collapsed="false"/>
    <row r="3526" customFormat="false" ht="11.25" hidden="false" customHeight="true" outlineLevel="0" collapsed="false"/>
    <row r="3527" customFormat="false" ht="11.25" hidden="false" customHeight="true" outlineLevel="0" collapsed="false"/>
    <row r="3528" customFormat="false" ht="11.25" hidden="false" customHeight="true" outlineLevel="0" collapsed="false"/>
    <row r="3529" customFormat="false" ht="11.25" hidden="false" customHeight="true" outlineLevel="0" collapsed="false"/>
    <row r="3530" customFormat="false" ht="11.25" hidden="false" customHeight="true" outlineLevel="0" collapsed="false"/>
    <row r="3531" customFormat="false" ht="11.25" hidden="false" customHeight="true" outlineLevel="0" collapsed="false"/>
    <row r="3532" customFormat="false" ht="11.25" hidden="false" customHeight="true" outlineLevel="0" collapsed="false"/>
    <row r="3533" customFormat="false" ht="11.25" hidden="false" customHeight="true" outlineLevel="0" collapsed="false"/>
    <row r="3534" customFormat="false" ht="11.25" hidden="false" customHeight="true" outlineLevel="0" collapsed="false"/>
    <row r="3535" customFormat="false" ht="11.25" hidden="false" customHeight="true" outlineLevel="0" collapsed="false"/>
    <row r="3536" customFormat="false" ht="11.25" hidden="false" customHeight="true" outlineLevel="0" collapsed="false"/>
    <row r="3537" customFormat="false" ht="11.25" hidden="false" customHeight="true" outlineLevel="0" collapsed="false"/>
    <row r="3538" customFormat="false" ht="11.25" hidden="false" customHeight="true" outlineLevel="0" collapsed="false"/>
    <row r="3539" customFormat="false" ht="11.25" hidden="false" customHeight="true" outlineLevel="0" collapsed="false"/>
    <row r="3540" customFormat="false" ht="11.25" hidden="false" customHeight="true" outlineLevel="0" collapsed="false"/>
    <row r="3541" customFormat="false" ht="11.25" hidden="false" customHeight="true" outlineLevel="0" collapsed="false"/>
    <row r="3542" customFormat="false" ht="11.25" hidden="false" customHeight="true" outlineLevel="0" collapsed="false"/>
    <row r="3543" customFormat="false" ht="11.25" hidden="false" customHeight="true" outlineLevel="0" collapsed="false"/>
    <row r="3544" customFormat="false" ht="11.25" hidden="false" customHeight="true" outlineLevel="0" collapsed="false"/>
    <row r="3545" customFormat="false" ht="11.25" hidden="false" customHeight="true" outlineLevel="0" collapsed="false"/>
    <row r="3546" customFormat="false" ht="11.25" hidden="false" customHeight="true" outlineLevel="0" collapsed="false"/>
    <row r="3547" customFormat="false" ht="11.25" hidden="false" customHeight="true" outlineLevel="0" collapsed="false"/>
    <row r="3548" customFormat="false" ht="11.25" hidden="false" customHeight="true" outlineLevel="0" collapsed="false"/>
    <row r="3549" customFormat="false" ht="11.25" hidden="false" customHeight="true" outlineLevel="0" collapsed="false"/>
    <row r="3550" customFormat="false" ht="11.25" hidden="false" customHeight="true" outlineLevel="0" collapsed="false"/>
    <row r="3551" customFormat="false" ht="11.25" hidden="false" customHeight="true" outlineLevel="0" collapsed="false"/>
    <row r="3552" customFormat="false" ht="11.25" hidden="false" customHeight="true" outlineLevel="0" collapsed="false"/>
    <row r="3553" customFormat="false" ht="11.25" hidden="false" customHeight="true" outlineLevel="0" collapsed="false"/>
    <row r="3554" customFormat="false" ht="11.25" hidden="false" customHeight="true" outlineLevel="0" collapsed="false"/>
    <row r="3555" customFormat="false" ht="11.25" hidden="false" customHeight="true" outlineLevel="0" collapsed="false"/>
    <row r="3556" customFormat="false" ht="11.25" hidden="false" customHeight="true" outlineLevel="0" collapsed="false"/>
    <row r="3557" customFormat="false" ht="11.25" hidden="false" customHeight="true" outlineLevel="0" collapsed="false"/>
    <row r="3558" customFormat="false" ht="11.25" hidden="false" customHeight="true" outlineLevel="0" collapsed="false"/>
    <row r="3559" customFormat="false" ht="11.25" hidden="false" customHeight="true" outlineLevel="0" collapsed="false"/>
    <row r="3560" customFormat="false" ht="11.25" hidden="false" customHeight="true" outlineLevel="0" collapsed="false"/>
    <row r="3561" customFormat="false" ht="11.25" hidden="false" customHeight="true" outlineLevel="0" collapsed="false"/>
    <row r="3562" customFormat="false" ht="11.25" hidden="false" customHeight="true" outlineLevel="0" collapsed="false"/>
    <row r="3563" customFormat="false" ht="11.25" hidden="false" customHeight="true" outlineLevel="0" collapsed="false"/>
    <row r="3564" customFormat="false" ht="11.25" hidden="false" customHeight="true" outlineLevel="0" collapsed="false"/>
    <row r="3565" customFormat="false" ht="11.25" hidden="false" customHeight="true" outlineLevel="0" collapsed="false"/>
    <row r="3566" customFormat="false" ht="11.25" hidden="false" customHeight="true" outlineLevel="0" collapsed="false"/>
    <row r="3567" customFormat="false" ht="11.25" hidden="false" customHeight="true" outlineLevel="0" collapsed="false"/>
    <row r="3568" customFormat="false" ht="11.25" hidden="false" customHeight="true" outlineLevel="0" collapsed="false"/>
    <row r="3569" customFormat="false" ht="11.25" hidden="false" customHeight="true" outlineLevel="0" collapsed="false"/>
    <row r="3570" customFormat="false" ht="11.25" hidden="false" customHeight="true" outlineLevel="0" collapsed="false"/>
    <row r="3571" customFormat="false" ht="11.25" hidden="false" customHeight="true" outlineLevel="0" collapsed="false"/>
    <row r="3572" customFormat="false" ht="11.25" hidden="false" customHeight="true" outlineLevel="0" collapsed="false"/>
    <row r="3573" customFormat="false" ht="11.25" hidden="false" customHeight="true" outlineLevel="0" collapsed="false"/>
    <row r="3574" customFormat="false" ht="11.25" hidden="false" customHeight="true" outlineLevel="0" collapsed="false"/>
    <row r="3575" customFormat="false" ht="11.25" hidden="false" customHeight="true" outlineLevel="0" collapsed="false"/>
    <row r="3576" customFormat="false" ht="11.25" hidden="false" customHeight="true" outlineLevel="0" collapsed="false"/>
    <row r="3577" customFormat="false" ht="11.25" hidden="false" customHeight="true" outlineLevel="0" collapsed="false"/>
    <row r="3578" customFormat="false" ht="11.25" hidden="false" customHeight="true" outlineLevel="0" collapsed="false"/>
    <row r="3579" customFormat="false" ht="11.25" hidden="false" customHeight="true" outlineLevel="0" collapsed="false"/>
    <row r="3580" customFormat="false" ht="11.25" hidden="false" customHeight="true" outlineLevel="0" collapsed="false"/>
    <row r="3581" customFormat="false" ht="11.25" hidden="false" customHeight="true" outlineLevel="0" collapsed="false"/>
    <row r="3582" customFormat="false" ht="11.25" hidden="false" customHeight="true" outlineLevel="0" collapsed="false"/>
    <row r="3583" customFormat="false" ht="11.25" hidden="false" customHeight="true" outlineLevel="0" collapsed="false"/>
    <row r="3584" customFormat="false" ht="11.25" hidden="false" customHeight="true" outlineLevel="0" collapsed="false"/>
    <row r="3585" customFormat="false" ht="11.25" hidden="false" customHeight="true" outlineLevel="0" collapsed="false"/>
    <row r="3586" customFormat="false" ht="11.25" hidden="false" customHeight="true" outlineLevel="0" collapsed="false"/>
    <row r="3587" customFormat="false" ht="11.25" hidden="false" customHeight="true" outlineLevel="0" collapsed="false"/>
    <row r="3588" customFormat="false" ht="11.25" hidden="false" customHeight="true" outlineLevel="0" collapsed="false"/>
    <row r="3589" customFormat="false" ht="11.25" hidden="false" customHeight="true" outlineLevel="0" collapsed="false"/>
    <row r="3590" customFormat="false" ht="11.25" hidden="false" customHeight="true" outlineLevel="0" collapsed="false"/>
    <row r="3591" customFormat="false" ht="11.25" hidden="false" customHeight="true" outlineLevel="0" collapsed="false"/>
    <row r="3592" customFormat="false" ht="11.25" hidden="false" customHeight="true" outlineLevel="0" collapsed="false"/>
    <row r="3593" customFormat="false" ht="11.25" hidden="false" customHeight="true" outlineLevel="0" collapsed="false"/>
    <row r="3594" customFormat="false" ht="11.25" hidden="false" customHeight="true" outlineLevel="0" collapsed="false"/>
    <row r="3595" customFormat="false" ht="11.25" hidden="false" customHeight="true" outlineLevel="0" collapsed="false"/>
    <row r="3596" customFormat="false" ht="11.25" hidden="false" customHeight="true" outlineLevel="0" collapsed="false"/>
    <row r="3597" customFormat="false" ht="11.25" hidden="false" customHeight="true" outlineLevel="0" collapsed="false"/>
    <row r="3598" customFormat="false" ht="11.25" hidden="false" customHeight="true" outlineLevel="0" collapsed="false"/>
    <row r="3599" customFormat="false" ht="11.25" hidden="false" customHeight="true" outlineLevel="0" collapsed="false"/>
    <row r="3600" customFormat="false" ht="11.25" hidden="false" customHeight="true" outlineLevel="0" collapsed="false"/>
    <row r="3601" customFormat="false" ht="11.25" hidden="false" customHeight="true" outlineLevel="0" collapsed="false"/>
    <row r="3602" customFormat="false" ht="11.25" hidden="false" customHeight="true" outlineLevel="0" collapsed="false"/>
    <row r="3603" customFormat="false" ht="11.25" hidden="false" customHeight="true" outlineLevel="0" collapsed="false"/>
    <row r="3604" customFormat="false" ht="11.25" hidden="false" customHeight="true" outlineLevel="0" collapsed="false"/>
    <row r="3605" customFormat="false" ht="11.25" hidden="false" customHeight="true" outlineLevel="0" collapsed="false"/>
    <row r="3606" customFormat="false" ht="11.25" hidden="false" customHeight="true" outlineLevel="0" collapsed="false"/>
    <row r="3607" customFormat="false" ht="11.25" hidden="false" customHeight="true" outlineLevel="0" collapsed="false"/>
    <row r="3608" customFormat="false" ht="11.25" hidden="false" customHeight="true" outlineLevel="0" collapsed="false"/>
    <row r="3609" customFormat="false" ht="11.25" hidden="false" customHeight="true" outlineLevel="0" collapsed="false"/>
    <row r="3610" customFormat="false" ht="11.25" hidden="false" customHeight="true" outlineLevel="0" collapsed="false"/>
    <row r="3611" customFormat="false" ht="11.25" hidden="false" customHeight="true" outlineLevel="0" collapsed="false"/>
    <row r="3612" customFormat="false" ht="11.25" hidden="false" customHeight="true" outlineLevel="0" collapsed="false"/>
    <row r="3613" customFormat="false" ht="11.25" hidden="false" customHeight="true" outlineLevel="0" collapsed="false"/>
    <row r="3614" customFormat="false" ht="11.25" hidden="false" customHeight="true" outlineLevel="0" collapsed="false"/>
    <row r="3615" customFormat="false" ht="11.25" hidden="false" customHeight="true" outlineLevel="0" collapsed="false"/>
    <row r="3616" customFormat="false" ht="11.25" hidden="false" customHeight="true" outlineLevel="0" collapsed="false"/>
    <row r="3617" customFormat="false" ht="11.25" hidden="false" customHeight="true" outlineLevel="0" collapsed="false"/>
    <row r="3618" customFormat="false" ht="11.25" hidden="false" customHeight="true" outlineLevel="0" collapsed="false"/>
    <row r="3619" customFormat="false" ht="11.25" hidden="false" customHeight="true" outlineLevel="0" collapsed="false"/>
    <row r="3620" customFormat="false" ht="11.25" hidden="false" customHeight="true" outlineLevel="0" collapsed="false"/>
    <row r="3621" customFormat="false" ht="11.25" hidden="false" customHeight="true" outlineLevel="0" collapsed="false"/>
    <row r="3622" customFormat="false" ht="11.25" hidden="false" customHeight="true" outlineLevel="0" collapsed="false"/>
    <row r="3623" customFormat="false" ht="11.25" hidden="false" customHeight="true" outlineLevel="0" collapsed="false"/>
    <row r="3624" customFormat="false" ht="11.25" hidden="false" customHeight="true" outlineLevel="0" collapsed="false"/>
    <row r="3625" customFormat="false" ht="11.25" hidden="false" customHeight="true" outlineLevel="0" collapsed="false"/>
    <row r="3626" customFormat="false" ht="11.25" hidden="false" customHeight="true" outlineLevel="0" collapsed="false"/>
    <row r="3627" customFormat="false" ht="11.25" hidden="false" customHeight="true" outlineLevel="0" collapsed="false"/>
    <row r="3628" customFormat="false" ht="11.25" hidden="false" customHeight="true" outlineLevel="0" collapsed="false"/>
    <row r="3629" customFormat="false" ht="11.25" hidden="false" customHeight="true" outlineLevel="0" collapsed="false"/>
    <row r="3630" customFormat="false" ht="11.25" hidden="false" customHeight="true" outlineLevel="0" collapsed="false"/>
    <row r="3631" customFormat="false" ht="11.25" hidden="false" customHeight="true" outlineLevel="0" collapsed="false"/>
    <row r="3632" customFormat="false" ht="11.25" hidden="false" customHeight="true" outlineLevel="0" collapsed="false"/>
    <row r="3633" customFormat="false" ht="11.25" hidden="false" customHeight="true" outlineLevel="0" collapsed="false"/>
    <row r="3634" customFormat="false" ht="11.25" hidden="false" customHeight="true" outlineLevel="0" collapsed="false"/>
    <row r="3635" customFormat="false" ht="11.25" hidden="false" customHeight="true" outlineLevel="0" collapsed="false"/>
    <row r="3636" customFormat="false" ht="11.25" hidden="false" customHeight="true" outlineLevel="0" collapsed="false"/>
    <row r="3637" customFormat="false" ht="11.25" hidden="false" customHeight="true" outlineLevel="0" collapsed="false"/>
    <row r="3638" customFormat="false" ht="11.25" hidden="false" customHeight="true" outlineLevel="0" collapsed="false"/>
    <row r="3639" customFormat="false" ht="11.25" hidden="false" customHeight="true" outlineLevel="0" collapsed="false"/>
    <row r="3640" customFormat="false" ht="11.25" hidden="false" customHeight="true" outlineLevel="0" collapsed="false"/>
    <row r="3641" customFormat="false" ht="11.25" hidden="false" customHeight="true" outlineLevel="0" collapsed="false"/>
    <row r="3642" customFormat="false" ht="11.25" hidden="false" customHeight="true" outlineLevel="0" collapsed="false"/>
    <row r="3643" customFormat="false" ht="11.25" hidden="false" customHeight="true" outlineLevel="0" collapsed="false"/>
    <row r="3644" customFormat="false" ht="11.25" hidden="false" customHeight="true" outlineLevel="0" collapsed="false"/>
    <row r="3645" customFormat="false" ht="11.25" hidden="false" customHeight="true" outlineLevel="0" collapsed="false"/>
    <row r="3646" customFormat="false" ht="11.25" hidden="false" customHeight="true" outlineLevel="0" collapsed="false"/>
    <row r="3647" customFormat="false" ht="11.25" hidden="false" customHeight="true" outlineLevel="0" collapsed="false"/>
    <row r="3648" customFormat="false" ht="11.25" hidden="false" customHeight="true" outlineLevel="0" collapsed="false"/>
    <row r="3649" customFormat="false" ht="11.25" hidden="false" customHeight="true" outlineLevel="0" collapsed="false"/>
    <row r="3650" customFormat="false" ht="11.25" hidden="false" customHeight="true" outlineLevel="0" collapsed="false"/>
    <row r="3651" customFormat="false" ht="11.25" hidden="false" customHeight="true" outlineLevel="0" collapsed="false"/>
    <row r="3652" customFormat="false" ht="11.25" hidden="false" customHeight="true" outlineLevel="0" collapsed="false"/>
    <row r="3653" customFormat="false" ht="11.25" hidden="false" customHeight="true" outlineLevel="0" collapsed="false"/>
    <row r="3654" customFormat="false" ht="11.25" hidden="false" customHeight="true" outlineLevel="0" collapsed="false"/>
    <row r="3655" customFormat="false" ht="11.25" hidden="false" customHeight="true" outlineLevel="0" collapsed="false"/>
    <row r="3656" customFormat="false" ht="11.25" hidden="false" customHeight="true" outlineLevel="0" collapsed="false"/>
    <row r="3657" customFormat="false" ht="11.25" hidden="false" customHeight="true" outlineLevel="0" collapsed="false"/>
    <row r="3658" customFormat="false" ht="11.25" hidden="false" customHeight="true" outlineLevel="0" collapsed="false"/>
    <row r="3659" customFormat="false" ht="11.25" hidden="false" customHeight="true" outlineLevel="0" collapsed="false"/>
    <row r="3660" customFormat="false" ht="11.25" hidden="false" customHeight="true" outlineLevel="0" collapsed="false"/>
    <row r="3661" customFormat="false" ht="11.25" hidden="false" customHeight="true" outlineLevel="0" collapsed="false"/>
    <row r="3662" customFormat="false" ht="11.25" hidden="false" customHeight="true" outlineLevel="0" collapsed="false"/>
    <row r="3663" customFormat="false" ht="11.25" hidden="false" customHeight="true" outlineLevel="0" collapsed="false"/>
    <row r="3664" customFormat="false" ht="11.25" hidden="false" customHeight="true" outlineLevel="0" collapsed="false"/>
    <row r="3665" customFormat="false" ht="11.25" hidden="false" customHeight="true" outlineLevel="0" collapsed="false"/>
    <row r="3666" customFormat="false" ht="11.25" hidden="false" customHeight="true" outlineLevel="0" collapsed="false"/>
    <row r="3667" customFormat="false" ht="11.25" hidden="false" customHeight="true" outlineLevel="0" collapsed="false"/>
    <row r="3668" customFormat="false" ht="11.25" hidden="false" customHeight="true" outlineLevel="0" collapsed="false"/>
    <row r="3669" customFormat="false" ht="11.25" hidden="false" customHeight="true" outlineLevel="0" collapsed="false"/>
    <row r="3670" customFormat="false" ht="11.25" hidden="false" customHeight="true" outlineLevel="0" collapsed="false"/>
    <row r="3671" customFormat="false" ht="11.25" hidden="false" customHeight="true" outlineLevel="0" collapsed="false"/>
    <row r="3672" customFormat="false" ht="11.25" hidden="false" customHeight="true" outlineLevel="0" collapsed="false"/>
    <row r="3673" customFormat="false" ht="11.25" hidden="false" customHeight="true" outlineLevel="0" collapsed="false"/>
    <row r="3674" customFormat="false" ht="11.25" hidden="false" customHeight="true" outlineLevel="0" collapsed="false"/>
    <row r="3675" customFormat="false" ht="11.25" hidden="false" customHeight="true" outlineLevel="0" collapsed="false"/>
    <row r="3676" customFormat="false" ht="11.25" hidden="false" customHeight="true" outlineLevel="0" collapsed="false"/>
    <row r="3677" customFormat="false" ht="11.25" hidden="false" customHeight="true" outlineLevel="0" collapsed="false"/>
    <row r="3678" customFormat="false" ht="11.25" hidden="false" customHeight="true" outlineLevel="0" collapsed="false"/>
    <row r="3679" customFormat="false" ht="11.25" hidden="false" customHeight="true" outlineLevel="0" collapsed="false"/>
    <row r="3680" customFormat="false" ht="11.25" hidden="false" customHeight="true" outlineLevel="0" collapsed="false"/>
    <row r="3681" customFormat="false" ht="11.25" hidden="false" customHeight="true" outlineLevel="0" collapsed="false"/>
    <row r="3682" customFormat="false" ht="11.25" hidden="false" customHeight="true" outlineLevel="0" collapsed="false"/>
    <row r="3683" customFormat="false" ht="11.25" hidden="false" customHeight="true" outlineLevel="0" collapsed="false"/>
    <row r="3684" customFormat="false" ht="11.25" hidden="false" customHeight="true" outlineLevel="0" collapsed="false"/>
    <row r="3685" customFormat="false" ht="11.25" hidden="false" customHeight="true" outlineLevel="0" collapsed="false"/>
    <row r="3686" customFormat="false" ht="11.25" hidden="false" customHeight="true" outlineLevel="0" collapsed="false"/>
    <row r="3687" customFormat="false" ht="11.25" hidden="false" customHeight="true" outlineLevel="0" collapsed="false"/>
    <row r="3688" customFormat="false" ht="11.25" hidden="false" customHeight="true" outlineLevel="0" collapsed="false"/>
    <row r="3689" customFormat="false" ht="11.25" hidden="false" customHeight="true" outlineLevel="0" collapsed="false"/>
    <row r="3690" customFormat="false" ht="11.25" hidden="false" customHeight="true" outlineLevel="0" collapsed="false"/>
    <row r="3691" customFormat="false" ht="11.25" hidden="false" customHeight="true" outlineLevel="0" collapsed="false"/>
    <row r="3692" customFormat="false" ht="11.25" hidden="false" customHeight="true" outlineLevel="0" collapsed="false"/>
    <row r="3693" customFormat="false" ht="11.25" hidden="false" customHeight="true" outlineLevel="0" collapsed="false"/>
    <row r="3694" customFormat="false" ht="11.25" hidden="false" customHeight="true" outlineLevel="0" collapsed="false"/>
    <row r="3695" customFormat="false" ht="11.25" hidden="false" customHeight="true" outlineLevel="0" collapsed="false"/>
    <row r="3696" customFormat="false" ht="11.25" hidden="false" customHeight="true" outlineLevel="0" collapsed="false"/>
    <row r="3697" customFormat="false" ht="11.25" hidden="false" customHeight="true" outlineLevel="0" collapsed="false"/>
    <row r="3698" customFormat="false" ht="11.25" hidden="false" customHeight="true" outlineLevel="0" collapsed="false"/>
    <row r="3699" customFormat="false" ht="11.25" hidden="false" customHeight="true" outlineLevel="0" collapsed="false"/>
    <row r="3700" customFormat="false" ht="11.25" hidden="false" customHeight="true" outlineLevel="0" collapsed="false"/>
    <row r="3701" customFormat="false" ht="11.25" hidden="false" customHeight="true" outlineLevel="0" collapsed="false"/>
    <row r="3702" customFormat="false" ht="11.25" hidden="false" customHeight="true" outlineLevel="0" collapsed="false"/>
    <row r="3703" customFormat="false" ht="11.25" hidden="false" customHeight="true" outlineLevel="0" collapsed="false"/>
    <row r="3704" customFormat="false" ht="11.25" hidden="false" customHeight="true" outlineLevel="0" collapsed="false"/>
    <row r="3705" customFormat="false" ht="11.25" hidden="false" customHeight="true" outlineLevel="0" collapsed="false"/>
    <row r="3706" customFormat="false" ht="11.25" hidden="false" customHeight="true" outlineLevel="0" collapsed="false"/>
    <row r="3707" customFormat="false" ht="11.25" hidden="false" customHeight="true" outlineLevel="0" collapsed="false"/>
    <row r="3708" customFormat="false" ht="11.25" hidden="false" customHeight="true" outlineLevel="0" collapsed="false"/>
    <row r="3709" customFormat="false" ht="11.25" hidden="false" customHeight="true" outlineLevel="0" collapsed="false"/>
    <row r="3710" customFormat="false" ht="11.25" hidden="false" customHeight="true" outlineLevel="0" collapsed="false"/>
    <row r="3711" customFormat="false" ht="11.25" hidden="false" customHeight="true" outlineLevel="0" collapsed="false"/>
    <row r="3712" customFormat="false" ht="11.25" hidden="false" customHeight="true" outlineLevel="0" collapsed="false"/>
    <row r="3713" customFormat="false" ht="11.25" hidden="false" customHeight="true" outlineLevel="0" collapsed="false"/>
    <row r="3714" customFormat="false" ht="11.25" hidden="false" customHeight="true" outlineLevel="0" collapsed="false"/>
    <row r="3715" customFormat="false" ht="11.25" hidden="false" customHeight="true" outlineLevel="0" collapsed="false"/>
    <row r="3716" customFormat="false" ht="11.25" hidden="false" customHeight="true" outlineLevel="0" collapsed="false"/>
    <row r="3717" customFormat="false" ht="11.25" hidden="false" customHeight="true" outlineLevel="0" collapsed="false"/>
    <row r="3718" customFormat="false" ht="11.25" hidden="false" customHeight="true" outlineLevel="0" collapsed="false"/>
    <row r="3719" customFormat="false" ht="11.25" hidden="false" customHeight="true" outlineLevel="0" collapsed="false"/>
    <row r="3720" customFormat="false" ht="11.25" hidden="false" customHeight="true" outlineLevel="0" collapsed="false"/>
    <row r="3721" customFormat="false" ht="11.25" hidden="false" customHeight="true" outlineLevel="0" collapsed="false"/>
    <row r="3722" customFormat="false" ht="11.25" hidden="false" customHeight="true" outlineLevel="0" collapsed="false"/>
    <row r="3723" customFormat="false" ht="11.25" hidden="false" customHeight="true" outlineLevel="0" collapsed="false"/>
    <row r="3724" customFormat="false" ht="11.25" hidden="false" customHeight="true" outlineLevel="0" collapsed="false"/>
    <row r="3725" customFormat="false" ht="11.25" hidden="false" customHeight="true" outlineLevel="0" collapsed="false"/>
    <row r="3726" customFormat="false" ht="11.25" hidden="false" customHeight="true" outlineLevel="0" collapsed="false"/>
    <row r="3727" customFormat="false" ht="11.25" hidden="false" customHeight="true" outlineLevel="0" collapsed="false"/>
    <row r="3728" customFormat="false" ht="11.25" hidden="false" customHeight="true" outlineLevel="0" collapsed="false"/>
    <row r="3729" customFormat="false" ht="11.25" hidden="false" customHeight="true" outlineLevel="0" collapsed="false"/>
    <row r="3730" customFormat="false" ht="11.25" hidden="false" customHeight="true" outlineLevel="0" collapsed="false"/>
    <row r="3731" customFormat="false" ht="11.25" hidden="false" customHeight="true" outlineLevel="0" collapsed="false"/>
    <row r="3732" customFormat="false" ht="11.25" hidden="false" customHeight="true" outlineLevel="0" collapsed="false"/>
    <row r="3733" customFormat="false" ht="11.25" hidden="false" customHeight="true" outlineLevel="0" collapsed="false"/>
    <row r="3734" customFormat="false" ht="11.25" hidden="false" customHeight="true" outlineLevel="0" collapsed="false"/>
    <row r="3735" customFormat="false" ht="11.25" hidden="false" customHeight="true" outlineLevel="0" collapsed="false"/>
    <row r="3736" customFormat="false" ht="11.25" hidden="false" customHeight="true" outlineLevel="0" collapsed="false"/>
    <row r="3737" customFormat="false" ht="11.25" hidden="false" customHeight="true" outlineLevel="0" collapsed="false"/>
    <row r="3738" customFormat="false" ht="11.25" hidden="false" customHeight="true" outlineLevel="0" collapsed="false"/>
    <row r="3739" customFormat="false" ht="11.25" hidden="false" customHeight="true" outlineLevel="0" collapsed="false"/>
    <row r="3740" customFormat="false" ht="11.25" hidden="false" customHeight="true" outlineLevel="0" collapsed="false"/>
    <row r="3741" customFormat="false" ht="11.25" hidden="false" customHeight="true" outlineLevel="0" collapsed="false"/>
    <row r="3742" customFormat="false" ht="11.25" hidden="false" customHeight="true" outlineLevel="0" collapsed="false"/>
    <row r="3743" customFormat="false" ht="11.25" hidden="false" customHeight="true" outlineLevel="0" collapsed="false"/>
    <row r="3744" customFormat="false" ht="11.25" hidden="false" customHeight="true" outlineLevel="0" collapsed="false"/>
    <row r="3745" customFormat="false" ht="11.25" hidden="false" customHeight="true" outlineLevel="0" collapsed="false"/>
    <row r="3746" customFormat="false" ht="11.25" hidden="false" customHeight="true" outlineLevel="0" collapsed="false"/>
    <row r="3747" customFormat="false" ht="11.25" hidden="false" customHeight="true" outlineLevel="0" collapsed="false"/>
    <row r="3748" customFormat="false" ht="11.25" hidden="false" customHeight="true" outlineLevel="0" collapsed="false"/>
    <row r="3749" customFormat="false" ht="11.25" hidden="false" customHeight="true" outlineLevel="0" collapsed="false"/>
    <row r="3750" customFormat="false" ht="11.25" hidden="false" customHeight="true" outlineLevel="0" collapsed="false"/>
    <row r="3751" customFormat="false" ht="11.25" hidden="false" customHeight="true" outlineLevel="0" collapsed="false"/>
    <row r="3752" customFormat="false" ht="11.25" hidden="false" customHeight="true" outlineLevel="0" collapsed="false"/>
    <row r="3753" customFormat="false" ht="11.25" hidden="false" customHeight="true" outlineLevel="0" collapsed="false"/>
    <row r="3754" customFormat="false" ht="11.25" hidden="false" customHeight="true" outlineLevel="0" collapsed="false"/>
    <row r="3755" customFormat="false" ht="11.25" hidden="false" customHeight="true" outlineLevel="0" collapsed="false"/>
    <row r="3756" customFormat="false" ht="11.25" hidden="false" customHeight="true" outlineLevel="0" collapsed="false"/>
    <row r="3757" customFormat="false" ht="11.25" hidden="false" customHeight="true" outlineLevel="0" collapsed="false"/>
    <row r="3758" customFormat="false" ht="11.25" hidden="false" customHeight="true" outlineLevel="0" collapsed="false"/>
    <row r="3759" customFormat="false" ht="11.25" hidden="false" customHeight="true" outlineLevel="0" collapsed="false"/>
    <row r="3760" customFormat="false" ht="11.25" hidden="false" customHeight="true" outlineLevel="0" collapsed="false"/>
    <row r="3761" customFormat="false" ht="11.25" hidden="false" customHeight="true" outlineLevel="0" collapsed="false"/>
    <row r="3762" customFormat="false" ht="11.25" hidden="false" customHeight="true" outlineLevel="0" collapsed="false"/>
    <row r="3763" customFormat="false" ht="11.25" hidden="false" customHeight="true" outlineLevel="0" collapsed="false"/>
    <row r="3764" customFormat="false" ht="11.25" hidden="false" customHeight="true" outlineLevel="0" collapsed="false"/>
    <row r="3765" customFormat="false" ht="11.25" hidden="false" customHeight="true" outlineLevel="0" collapsed="false"/>
    <row r="3766" customFormat="false" ht="11.25" hidden="false" customHeight="true" outlineLevel="0" collapsed="false"/>
    <row r="3767" customFormat="false" ht="11.25" hidden="false" customHeight="true" outlineLevel="0" collapsed="false"/>
    <row r="3768" customFormat="false" ht="11.25" hidden="false" customHeight="true" outlineLevel="0" collapsed="false"/>
    <row r="3769" customFormat="false" ht="11.25" hidden="false" customHeight="true" outlineLevel="0" collapsed="false"/>
    <row r="3770" customFormat="false" ht="11.25" hidden="false" customHeight="true" outlineLevel="0" collapsed="false"/>
    <row r="3771" customFormat="false" ht="11.25" hidden="false" customHeight="true" outlineLevel="0" collapsed="false"/>
    <row r="3772" customFormat="false" ht="11.25" hidden="false" customHeight="true" outlineLevel="0" collapsed="false"/>
    <row r="3773" customFormat="false" ht="11.25" hidden="false" customHeight="true" outlineLevel="0" collapsed="false"/>
    <row r="3774" customFormat="false" ht="11.25" hidden="false" customHeight="true" outlineLevel="0" collapsed="false"/>
    <row r="3775" customFormat="false" ht="11.25" hidden="false" customHeight="true" outlineLevel="0" collapsed="false"/>
    <row r="3776" customFormat="false" ht="11.25" hidden="false" customHeight="true" outlineLevel="0" collapsed="false"/>
    <row r="3777" customFormat="false" ht="11.25" hidden="false" customHeight="true" outlineLevel="0" collapsed="false"/>
    <row r="3778" customFormat="false" ht="11.25" hidden="false" customHeight="true" outlineLevel="0" collapsed="false"/>
    <row r="3779" customFormat="false" ht="11.25" hidden="false" customHeight="true" outlineLevel="0" collapsed="false"/>
    <row r="3780" customFormat="false" ht="11.25" hidden="false" customHeight="true" outlineLevel="0" collapsed="false"/>
    <row r="3781" customFormat="false" ht="11.25" hidden="false" customHeight="true" outlineLevel="0" collapsed="false"/>
    <row r="3782" customFormat="false" ht="11.25" hidden="false" customHeight="true" outlineLevel="0" collapsed="false"/>
    <row r="3783" customFormat="false" ht="11.25" hidden="false" customHeight="true" outlineLevel="0" collapsed="false"/>
    <row r="3784" customFormat="false" ht="11.25" hidden="false" customHeight="true" outlineLevel="0" collapsed="false"/>
    <row r="3785" customFormat="false" ht="11.25" hidden="false" customHeight="true" outlineLevel="0" collapsed="false"/>
    <row r="3786" customFormat="false" ht="11.25" hidden="false" customHeight="true" outlineLevel="0" collapsed="false"/>
    <row r="3787" customFormat="false" ht="11.25" hidden="false" customHeight="true" outlineLevel="0" collapsed="false"/>
    <row r="3788" customFormat="false" ht="11.25" hidden="false" customHeight="true" outlineLevel="0" collapsed="false"/>
    <row r="3789" customFormat="false" ht="11.25" hidden="false" customHeight="true" outlineLevel="0" collapsed="false"/>
    <row r="3790" customFormat="false" ht="11.25" hidden="false" customHeight="true" outlineLevel="0" collapsed="false"/>
    <row r="3791" customFormat="false" ht="11.25" hidden="false" customHeight="true" outlineLevel="0" collapsed="false"/>
    <row r="3792" customFormat="false" ht="11.25" hidden="false" customHeight="true" outlineLevel="0" collapsed="false"/>
    <row r="3793" customFormat="false" ht="11.25" hidden="false" customHeight="true" outlineLevel="0" collapsed="false"/>
    <row r="3794" customFormat="false" ht="11.25" hidden="false" customHeight="true" outlineLevel="0" collapsed="false"/>
    <row r="3795" customFormat="false" ht="11.25" hidden="false" customHeight="true" outlineLevel="0" collapsed="false"/>
    <row r="3796" customFormat="false" ht="11.25" hidden="false" customHeight="true" outlineLevel="0" collapsed="false"/>
    <row r="3797" customFormat="false" ht="11.25" hidden="false" customHeight="true" outlineLevel="0" collapsed="false"/>
    <row r="3798" customFormat="false" ht="11.25" hidden="false" customHeight="true" outlineLevel="0" collapsed="false"/>
    <row r="3799" customFormat="false" ht="11.25" hidden="false" customHeight="true" outlineLevel="0" collapsed="false"/>
    <row r="3800" customFormat="false" ht="11.25" hidden="false" customHeight="true" outlineLevel="0" collapsed="false"/>
    <row r="3801" customFormat="false" ht="11.25" hidden="false" customHeight="true" outlineLevel="0" collapsed="false"/>
    <row r="3802" customFormat="false" ht="11.25" hidden="false" customHeight="true" outlineLevel="0" collapsed="false"/>
    <row r="3803" customFormat="false" ht="11.25" hidden="false" customHeight="true" outlineLevel="0" collapsed="false"/>
    <row r="3804" customFormat="false" ht="11.25" hidden="false" customHeight="true" outlineLevel="0" collapsed="false"/>
    <row r="3805" customFormat="false" ht="11.25" hidden="false" customHeight="true" outlineLevel="0" collapsed="false"/>
    <row r="3806" customFormat="false" ht="11.25" hidden="false" customHeight="true" outlineLevel="0" collapsed="false"/>
    <row r="3807" customFormat="false" ht="11.25" hidden="false" customHeight="true" outlineLevel="0" collapsed="false"/>
    <row r="3808" customFormat="false" ht="11.25" hidden="false" customHeight="true" outlineLevel="0" collapsed="false"/>
    <row r="3809" customFormat="false" ht="11.25" hidden="false" customHeight="true" outlineLevel="0" collapsed="false"/>
    <row r="3810" customFormat="false" ht="11.25" hidden="false" customHeight="true" outlineLevel="0" collapsed="false"/>
    <row r="3811" customFormat="false" ht="11.25" hidden="false" customHeight="true" outlineLevel="0" collapsed="false"/>
    <row r="3812" customFormat="false" ht="11.25" hidden="false" customHeight="true" outlineLevel="0" collapsed="false"/>
    <row r="3813" customFormat="false" ht="11.25" hidden="false" customHeight="true" outlineLevel="0" collapsed="false"/>
    <row r="3814" customFormat="false" ht="11.25" hidden="false" customHeight="true" outlineLevel="0" collapsed="false"/>
    <row r="3815" customFormat="false" ht="11.25" hidden="false" customHeight="true" outlineLevel="0" collapsed="false"/>
    <row r="3816" customFormat="false" ht="11.25" hidden="false" customHeight="true" outlineLevel="0" collapsed="false"/>
    <row r="3817" customFormat="false" ht="11.25" hidden="false" customHeight="true" outlineLevel="0" collapsed="false"/>
    <row r="3818" customFormat="false" ht="11.25" hidden="false" customHeight="true" outlineLevel="0" collapsed="false"/>
    <row r="3819" customFormat="false" ht="11.25" hidden="false" customHeight="true" outlineLevel="0" collapsed="false"/>
    <row r="3820" customFormat="false" ht="11.25" hidden="false" customHeight="true" outlineLevel="0" collapsed="false"/>
    <row r="3821" customFormat="false" ht="11.25" hidden="false" customHeight="true" outlineLevel="0" collapsed="false"/>
    <row r="3822" customFormat="false" ht="11.25" hidden="false" customHeight="true" outlineLevel="0" collapsed="false"/>
    <row r="3823" customFormat="false" ht="11.25" hidden="false" customHeight="true" outlineLevel="0" collapsed="false"/>
    <row r="3824" customFormat="false" ht="11.25" hidden="false" customHeight="true" outlineLevel="0" collapsed="false"/>
    <row r="3825" customFormat="false" ht="11.25" hidden="false" customHeight="true" outlineLevel="0" collapsed="false"/>
    <row r="3826" customFormat="false" ht="11.25" hidden="false" customHeight="true" outlineLevel="0" collapsed="false"/>
    <row r="3827" customFormat="false" ht="11.25" hidden="false" customHeight="true" outlineLevel="0" collapsed="false"/>
    <row r="3828" customFormat="false" ht="11.25" hidden="false" customHeight="true" outlineLevel="0" collapsed="false"/>
    <row r="3829" customFormat="false" ht="11.25" hidden="false" customHeight="true" outlineLevel="0" collapsed="false"/>
    <row r="3830" customFormat="false" ht="11.25" hidden="false" customHeight="true" outlineLevel="0" collapsed="false"/>
    <row r="3831" customFormat="false" ht="11.25" hidden="false" customHeight="true" outlineLevel="0" collapsed="false"/>
    <row r="3832" customFormat="false" ht="11.25" hidden="false" customHeight="true" outlineLevel="0" collapsed="false"/>
    <row r="3833" customFormat="false" ht="11.25" hidden="false" customHeight="true" outlineLevel="0" collapsed="false"/>
    <row r="3834" customFormat="false" ht="11.25" hidden="false" customHeight="true" outlineLevel="0" collapsed="false"/>
    <row r="3835" customFormat="false" ht="11.25" hidden="false" customHeight="true" outlineLevel="0" collapsed="false"/>
    <row r="3836" customFormat="false" ht="11.25" hidden="false" customHeight="true" outlineLevel="0" collapsed="false"/>
    <row r="3837" customFormat="false" ht="11.25" hidden="false" customHeight="true" outlineLevel="0" collapsed="false"/>
    <row r="3838" customFormat="false" ht="11.25" hidden="false" customHeight="true" outlineLevel="0" collapsed="false"/>
    <row r="3839" customFormat="false" ht="11.25" hidden="false" customHeight="true" outlineLevel="0" collapsed="false"/>
    <row r="3840" customFormat="false" ht="11.25" hidden="false" customHeight="true" outlineLevel="0" collapsed="false"/>
    <row r="3841" customFormat="false" ht="11.25" hidden="false" customHeight="true" outlineLevel="0" collapsed="false"/>
    <row r="3842" customFormat="false" ht="11.25" hidden="false" customHeight="true" outlineLevel="0" collapsed="false"/>
    <row r="3843" customFormat="false" ht="11.25" hidden="false" customHeight="true" outlineLevel="0" collapsed="false"/>
    <row r="3844" customFormat="false" ht="11.25" hidden="false" customHeight="true" outlineLevel="0" collapsed="false"/>
    <row r="3845" customFormat="false" ht="11.25" hidden="false" customHeight="true" outlineLevel="0" collapsed="false"/>
    <row r="3846" customFormat="false" ht="11.25" hidden="false" customHeight="true" outlineLevel="0" collapsed="false"/>
    <row r="3847" customFormat="false" ht="11.25" hidden="false" customHeight="true" outlineLevel="0" collapsed="false"/>
    <row r="3848" customFormat="false" ht="11.25" hidden="false" customHeight="true" outlineLevel="0" collapsed="false"/>
    <row r="3849" customFormat="false" ht="11.25" hidden="false" customHeight="true" outlineLevel="0" collapsed="false"/>
    <row r="3850" customFormat="false" ht="11.25" hidden="false" customHeight="true" outlineLevel="0" collapsed="false"/>
    <row r="3851" customFormat="false" ht="11.25" hidden="false" customHeight="true" outlineLevel="0" collapsed="false"/>
    <row r="3852" customFormat="false" ht="11.25" hidden="false" customHeight="true" outlineLevel="0" collapsed="false"/>
    <row r="3853" customFormat="false" ht="11.25" hidden="false" customHeight="true" outlineLevel="0" collapsed="false"/>
    <row r="3854" customFormat="false" ht="11.25" hidden="false" customHeight="true" outlineLevel="0" collapsed="false"/>
    <row r="3855" customFormat="false" ht="11.25" hidden="false" customHeight="true" outlineLevel="0" collapsed="false"/>
    <row r="3856" customFormat="false" ht="11.25" hidden="false" customHeight="true" outlineLevel="0" collapsed="false"/>
    <row r="3857" customFormat="false" ht="11.25" hidden="false" customHeight="true" outlineLevel="0" collapsed="false"/>
    <row r="3858" customFormat="false" ht="11.25" hidden="false" customHeight="true" outlineLevel="0" collapsed="false"/>
    <row r="3859" customFormat="false" ht="11.25" hidden="false" customHeight="true" outlineLevel="0" collapsed="false"/>
    <row r="3860" customFormat="false" ht="11.25" hidden="false" customHeight="true" outlineLevel="0" collapsed="false"/>
    <row r="3861" customFormat="false" ht="11.25" hidden="false" customHeight="true" outlineLevel="0" collapsed="false"/>
    <row r="3862" customFormat="false" ht="11.25" hidden="false" customHeight="true" outlineLevel="0" collapsed="false"/>
    <row r="3863" customFormat="false" ht="11.25" hidden="false" customHeight="true" outlineLevel="0" collapsed="false"/>
    <row r="3864" customFormat="false" ht="11.25" hidden="false" customHeight="true" outlineLevel="0" collapsed="false"/>
    <row r="3865" customFormat="false" ht="11.25" hidden="false" customHeight="true" outlineLevel="0" collapsed="false"/>
    <row r="3866" customFormat="false" ht="11.25" hidden="false" customHeight="true" outlineLevel="0" collapsed="false"/>
    <row r="3867" customFormat="false" ht="11.25" hidden="false" customHeight="true" outlineLevel="0" collapsed="false"/>
    <row r="3868" customFormat="false" ht="11.25" hidden="false" customHeight="true" outlineLevel="0" collapsed="false"/>
    <row r="3869" customFormat="false" ht="11.25" hidden="false" customHeight="true" outlineLevel="0" collapsed="false"/>
    <row r="3870" customFormat="false" ht="11.25" hidden="false" customHeight="true" outlineLevel="0" collapsed="false"/>
    <row r="3871" customFormat="false" ht="11.25" hidden="false" customHeight="true" outlineLevel="0" collapsed="false"/>
    <row r="3872" customFormat="false" ht="11.25" hidden="false" customHeight="true" outlineLevel="0" collapsed="false"/>
    <row r="3873" customFormat="false" ht="11.25" hidden="false" customHeight="true" outlineLevel="0" collapsed="false"/>
    <row r="3874" customFormat="false" ht="11.25" hidden="false" customHeight="true" outlineLevel="0" collapsed="false"/>
    <row r="3875" customFormat="false" ht="11.25" hidden="false" customHeight="true" outlineLevel="0" collapsed="false"/>
    <row r="3876" customFormat="false" ht="11.25" hidden="false" customHeight="true" outlineLevel="0" collapsed="false"/>
    <row r="3877" customFormat="false" ht="11.25" hidden="false" customHeight="true" outlineLevel="0" collapsed="false"/>
    <row r="3878" customFormat="false" ht="11.25" hidden="false" customHeight="true" outlineLevel="0" collapsed="false"/>
    <row r="3879" customFormat="false" ht="11.25" hidden="false" customHeight="true" outlineLevel="0" collapsed="false"/>
    <row r="3880" customFormat="false" ht="11.25" hidden="false" customHeight="true" outlineLevel="0" collapsed="false"/>
    <row r="3881" customFormat="false" ht="11.25" hidden="false" customHeight="true" outlineLevel="0" collapsed="false"/>
    <row r="3882" customFormat="false" ht="11.25" hidden="false" customHeight="true" outlineLevel="0" collapsed="false"/>
    <row r="3883" customFormat="false" ht="11.25" hidden="false" customHeight="true" outlineLevel="0" collapsed="false"/>
    <row r="3884" customFormat="false" ht="11.25" hidden="false" customHeight="true" outlineLevel="0" collapsed="false"/>
    <row r="3885" customFormat="false" ht="11.25" hidden="false" customHeight="true" outlineLevel="0" collapsed="false"/>
    <row r="3886" customFormat="false" ht="11.25" hidden="false" customHeight="true" outlineLevel="0" collapsed="false"/>
    <row r="3887" customFormat="false" ht="11.25" hidden="false" customHeight="true" outlineLevel="0" collapsed="false"/>
    <row r="3888" customFormat="false" ht="11.25" hidden="false" customHeight="true" outlineLevel="0" collapsed="false"/>
    <row r="3889" customFormat="false" ht="11.25" hidden="false" customHeight="true" outlineLevel="0" collapsed="false"/>
    <row r="3890" customFormat="false" ht="11.25" hidden="false" customHeight="true" outlineLevel="0" collapsed="false"/>
    <row r="3891" customFormat="false" ht="11.25" hidden="false" customHeight="true" outlineLevel="0" collapsed="false"/>
    <row r="3892" customFormat="false" ht="11.25" hidden="false" customHeight="true" outlineLevel="0" collapsed="false"/>
    <row r="3893" customFormat="false" ht="11.25" hidden="false" customHeight="true" outlineLevel="0" collapsed="false"/>
    <row r="3894" customFormat="false" ht="11.25" hidden="false" customHeight="true" outlineLevel="0" collapsed="false"/>
    <row r="3895" customFormat="false" ht="11.25" hidden="false" customHeight="true" outlineLevel="0" collapsed="false"/>
    <row r="3896" customFormat="false" ht="11.25" hidden="false" customHeight="true" outlineLevel="0" collapsed="false"/>
    <row r="3897" customFormat="false" ht="11.25" hidden="false" customHeight="true" outlineLevel="0" collapsed="false"/>
    <row r="3898" customFormat="false" ht="11.25" hidden="false" customHeight="true" outlineLevel="0" collapsed="false"/>
    <row r="3899" customFormat="false" ht="11.25" hidden="false" customHeight="true" outlineLevel="0" collapsed="false"/>
    <row r="3900" customFormat="false" ht="11.25" hidden="false" customHeight="true" outlineLevel="0" collapsed="false"/>
    <row r="3901" customFormat="false" ht="11.25" hidden="false" customHeight="true" outlineLevel="0" collapsed="false"/>
    <row r="3902" customFormat="false" ht="11.25" hidden="false" customHeight="true" outlineLevel="0" collapsed="false"/>
    <row r="3903" customFormat="false" ht="11.25" hidden="false" customHeight="true" outlineLevel="0" collapsed="false"/>
    <row r="3904" customFormat="false" ht="11.25" hidden="false" customHeight="true" outlineLevel="0" collapsed="false"/>
    <row r="3905" customFormat="false" ht="11.25" hidden="false" customHeight="true" outlineLevel="0" collapsed="false"/>
    <row r="3906" customFormat="false" ht="11.25" hidden="false" customHeight="true" outlineLevel="0" collapsed="false"/>
    <row r="3907" customFormat="false" ht="11.25" hidden="false" customHeight="true" outlineLevel="0" collapsed="false"/>
    <row r="3908" customFormat="false" ht="11.25" hidden="false" customHeight="true" outlineLevel="0" collapsed="false"/>
    <row r="3909" customFormat="false" ht="11.25" hidden="false" customHeight="true" outlineLevel="0" collapsed="false"/>
    <row r="3910" customFormat="false" ht="11.25" hidden="false" customHeight="true" outlineLevel="0" collapsed="false"/>
    <row r="3911" customFormat="false" ht="11.25" hidden="false" customHeight="true" outlineLevel="0" collapsed="false"/>
    <row r="3912" customFormat="false" ht="11.25" hidden="false" customHeight="true" outlineLevel="0" collapsed="false"/>
    <row r="3913" customFormat="false" ht="11.25" hidden="false" customHeight="true" outlineLevel="0" collapsed="false"/>
    <row r="3914" customFormat="false" ht="11.25" hidden="false" customHeight="true" outlineLevel="0" collapsed="false"/>
    <row r="3915" customFormat="false" ht="11.25" hidden="false" customHeight="true" outlineLevel="0" collapsed="false"/>
    <row r="3916" customFormat="false" ht="11.25" hidden="false" customHeight="true" outlineLevel="0" collapsed="false"/>
    <row r="3917" customFormat="false" ht="11.25" hidden="false" customHeight="true" outlineLevel="0" collapsed="false"/>
    <row r="3918" customFormat="false" ht="11.25" hidden="false" customHeight="true" outlineLevel="0" collapsed="false"/>
    <row r="3919" customFormat="false" ht="11.25" hidden="false" customHeight="true" outlineLevel="0" collapsed="false"/>
    <row r="3920" customFormat="false" ht="11.25" hidden="false" customHeight="true" outlineLevel="0" collapsed="false"/>
    <row r="3921" customFormat="false" ht="11.25" hidden="false" customHeight="true" outlineLevel="0" collapsed="false"/>
    <row r="3922" customFormat="false" ht="11.25" hidden="false" customHeight="true" outlineLevel="0" collapsed="false"/>
    <row r="3923" customFormat="false" ht="11.25" hidden="false" customHeight="true" outlineLevel="0" collapsed="false"/>
    <row r="3924" customFormat="false" ht="11.25" hidden="false" customHeight="true" outlineLevel="0" collapsed="false"/>
    <row r="3925" customFormat="false" ht="11.25" hidden="false" customHeight="true" outlineLevel="0" collapsed="false"/>
    <row r="3926" customFormat="false" ht="11.25" hidden="false" customHeight="true" outlineLevel="0" collapsed="false"/>
    <row r="3927" customFormat="false" ht="11.25" hidden="false" customHeight="true" outlineLevel="0" collapsed="false"/>
    <row r="3928" customFormat="false" ht="11.25" hidden="false" customHeight="true" outlineLevel="0" collapsed="false"/>
    <row r="3929" customFormat="false" ht="11.25" hidden="false" customHeight="true" outlineLevel="0" collapsed="false"/>
    <row r="3930" customFormat="false" ht="11.25" hidden="false" customHeight="true" outlineLevel="0" collapsed="false"/>
    <row r="3931" customFormat="false" ht="11.25" hidden="false" customHeight="true" outlineLevel="0" collapsed="false"/>
    <row r="3932" customFormat="false" ht="11.25" hidden="false" customHeight="true" outlineLevel="0" collapsed="false"/>
    <row r="3933" customFormat="false" ht="11.25" hidden="false" customHeight="true" outlineLevel="0" collapsed="false"/>
    <row r="3934" customFormat="false" ht="11.25" hidden="false" customHeight="true" outlineLevel="0" collapsed="false"/>
    <row r="3935" customFormat="false" ht="11.25" hidden="false" customHeight="true" outlineLevel="0" collapsed="false"/>
    <row r="3936" customFormat="false" ht="11.25" hidden="false" customHeight="true" outlineLevel="0" collapsed="false"/>
    <row r="3937" customFormat="false" ht="11.25" hidden="false" customHeight="true" outlineLevel="0" collapsed="false"/>
    <row r="3938" customFormat="false" ht="11.25" hidden="false" customHeight="true" outlineLevel="0" collapsed="false"/>
    <row r="3939" customFormat="false" ht="11.25" hidden="false" customHeight="true" outlineLevel="0" collapsed="false"/>
    <row r="3940" customFormat="false" ht="11.25" hidden="false" customHeight="true" outlineLevel="0" collapsed="false"/>
    <row r="3941" customFormat="false" ht="11.25" hidden="false" customHeight="true" outlineLevel="0" collapsed="false"/>
    <row r="3942" customFormat="false" ht="11.25" hidden="false" customHeight="true" outlineLevel="0" collapsed="false"/>
    <row r="3943" customFormat="false" ht="11.25" hidden="false" customHeight="true" outlineLevel="0" collapsed="false"/>
    <row r="3944" customFormat="false" ht="11.25" hidden="false" customHeight="true" outlineLevel="0" collapsed="false"/>
    <row r="3945" customFormat="false" ht="11.25" hidden="false" customHeight="true" outlineLevel="0" collapsed="false"/>
    <row r="3946" customFormat="false" ht="11.25" hidden="false" customHeight="true" outlineLevel="0" collapsed="false"/>
    <row r="3947" customFormat="false" ht="11.25" hidden="false" customHeight="true" outlineLevel="0" collapsed="false"/>
    <row r="3948" customFormat="false" ht="11.25" hidden="false" customHeight="true" outlineLevel="0" collapsed="false"/>
    <row r="3949" customFormat="false" ht="11.25" hidden="false" customHeight="true" outlineLevel="0" collapsed="false"/>
    <row r="3950" customFormat="false" ht="11.25" hidden="false" customHeight="true" outlineLevel="0" collapsed="false"/>
    <row r="3951" customFormat="false" ht="11.25" hidden="false" customHeight="true" outlineLevel="0" collapsed="false"/>
    <row r="3952" customFormat="false" ht="11.25" hidden="false" customHeight="true" outlineLevel="0" collapsed="false"/>
    <row r="3953" customFormat="false" ht="11.25" hidden="false" customHeight="true" outlineLevel="0" collapsed="false"/>
    <row r="3954" customFormat="false" ht="11.25" hidden="false" customHeight="true" outlineLevel="0" collapsed="false"/>
    <row r="3955" customFormat="false" ht="11.25" hidden="false" customHeight="true" outlineLevel="0" collapsed="false"/>
    <row r="3956" customFormat="false" ht="11.25" hidden="false" customHeight="true" outlineLevel="0" collapsed="false"/>
    <row r="3957" customFormat="false" ht="11.25" hidden="false" customHeight="true" outlineLevel="0" collapsed="false"/>
    <row r="3958" customFormat="false" ht="11.25" hidden="false" customHeight="true" outlineLevel="0" collapsed="false"/>
    <row r="3959" customFormat="false" ht="11.25" hidden="false" customHeight="true" outlineLevel="0" collapsed="false"/>
    <row r="3960" customFormat="false" ht="11.25" hidden="false" customHeight="true" outlineLevel="0" collapsed="false"/>
    <row r="3961" customFormat="false" ht="11.25" hidden="false" customHeight="true" outlineLevel="0" collapsed="false"/>
    <row r="3962" customFormat="false" ht="11.25" hidden="false" customHeight="true" outlineLevel="0" collapsed="false"/>
    <row r="3963" customFormat="false" ht="11.25" hidden="false" customHeight="true" outlineLevel="0" collapsed="false"/>
    <row r="3964" customFormat="false" ht="11.25" hidden="false" customHeight="true" outlineLevel="0" collapsed="false"/>
    <row r="3965" customFormat="false" ht="11.25" hidden="false" customHeight="true" outlineLevel="0" collapsed="false"/>
    <row r="3966" customFormat="false" ht="11.25" hidden="false" customHeight="true" outlineLevel="0" collapsed="false"/>
    <row r="3967" customFormat="false" ht="11.25" hidden="false" customHeight="true" outlineLevel="0" collapsed="false"/>
    <row r="3968" customFormat="false" ht="11.25" hidden="false" customHeight="true" outlineLevel="0" collapsed="false"/>
    <row r="3969" customFormat="false" ht="11.25" hidden="false" customHeight="true" outlineLevel="0" collapsed="false"/>
    <row r="3970" customFormat="false" ht="11.25" hidden="false" customHeight="true" outlineLevel="0" collapsed="false"/>
    <row r="3971" customFormat="false" ht="11.25" hidden="false" customHeight="true" outlineLevel="0" collapsed="false"/>
    <row r="3972" customFormat="false" ht="11.25" hidden="false" customHeight="true" outlineLevel="0" collapsed="false"/>
    <row r="3973" customFormat="false" ht="11.25" hidden="false" customHeight="true" outlineLevel="0" collapsed="false"/>
    <row r="3974" customFormat="false" ht="11.25" hidden="false" customHeight="true" outlineLevel="0" collapsed="false"/>
    <row r="3975" customFormat="false" ht="11.25" hidden="false" customHeight="true" outlineLevel="0" collapsed="false"/>
    <row r="3976" customFormat="false" ht="11.25" hidden="false" customHeight="true" outlineLevel="0" collapsed="false"/>
    <row r="3977" customFormat="false" ht="11.25" hidden="false" customHeight="true" outlineLevel="0" collapsed="false"/>
    <row r="3978" customFormat="false" ht="11.25" hidden="false" customHeight="true" outlineLevel="0" collapsed="false"/>
    <row r="3979" customFormat="false" ht="11.25" hidden="false" customHeight="true" outlineLevel="0" collapsed="false"/>
    <row r="3980" customFormat="false" ht="11.25" hidden="false" customHeight="true" outlineLevel="0" collapsed="false"/>
    <row r="3981" customFormat="false" ht="11.25" hidden="false" customHeight="true" outlineLevel="0" collapsed="false"/>
    <row r="3982" customFormat="false" ht="11.25" hidden="false" customHeight="true" outlineLevel="0" collapsed="false"/>
    <row r="3983" customFormat="false" ht="11.25" hidden="false" customHeight="true" outlineLevel="0" collapsed="false"/>
    <row r="3984" customFormat="false" ht="11.25" hidden="false" customHeight="true" outlineLevel="0" collapsed="false"/>
    <row r="3985" customFormat="false" ht="11.25" hidden="false" customHeight="true" outlineLevel="0" collapsed="false"/>
    <row r="3986" customFormat="false" ht="11.25" hidden="false" customHeight="true" outlineLevel="0" collapsed="false"/>
    <row r="3987" customFormat="false" ht="11.25" hidden="false" customHeight="true" outlineLevel="0" collapsed="false"/>
    <row r="3988" customFormat="false" ht="11.25" hidden="false" customHeight="true" outlineLevel="0" collapsed="false"/>
    <row r="3989" customFormat="false" ht="11.25" hidden="false" customHeight="true" outlineLevel="0" collapsed="false"/>
    <row r="3990" customFormat="false" ht="11.25" hidden="false" customHeight="true" outlineLevel="0" collapsed="false"/>
    <row r="3991" customFormat="false" ht="11.25" hidden="false" customHeight="true" outlineLevel="0" collapsed="false"/>
    <row r="3992" customFormat="false" ht="11.25" hidden="false" customHeight="true" outlineLevel="0" collapsed="false"/>
    <row r="3993" customFormat="false" ht="11.25" hidden="false" customHeight="true" outlineLevel="0" collapsed="false"/>
    <row r="3994" customFormat="false" ht="11.25" hidden="false" customHeight="true" outlineLevel="0" collapsed="false"/>
    <row r="3995" customFormat="false" ht="11.25" hidden="false" customHeight="true" outlineLevel="0" collapsed="false"/>
    <row r="3996" customFormat="false" ht="11.25" hidden="false" customHeight="true" outlineLevel="0" collapsed="false"/>
    <row r="3997" customFormat="false" ht="11.25" hidden="false" customHeight="true" outlineLevel="0" collapsed="false"/>
    <row r="3998" customFormat="false" ht="11.25" hidden="false" customHeight="true" outlineLevel="0" collapsed="false"/>
    <row r="3999" customFormat="false" ht="11.25" hidden="false" customHeight="true" outlineLevel="0" collapsed="false"/>
    <row r="4000" customFormat="false" ht="11.25" hidden="false" customHeight="true" outlineLevel="0" collapsed="false"/>
    <row r="4001" customFormat="false" ht="11.25" hidden="false" customHeight="true" outlineLevel="0" collapsed="false"/>
    <row r="4002" customFormat="false" ht="11.25" hidden="false" customHeight="true" outlineLevel="0" collapsed="false"/>
    <row r="4003" customFormat="false" ht="11.25" hidden="false" customHeight="true" outlineLevel="0" collapsed="false"/>
    <row r="4004" customFormat="false" ht="11.25" hidden="false" customHeight="true" outlineLevel="0" collapsed="false"/>
    <row r="4005" customFormat="false" ht="11.25" hidden="false" customHeight="true" outlineLevel="0" collapsed="false"/>
    <row r="4006" customFormat="false" ht="11.25" hidden="false" customHeight="true" outlineLevel="0" collapsed="false"/>
    <row r="4007" customFormat="false" ht="11.25" hidden="false" customHeight="true" outlineLevel="0" collapsed="false"/>
    <row r="4008" customFormat="false" ht="11.25" hidden="false" customHeight="true" outlineLevel="0" collapsed="false"/>
    <row r="4009" customFormat="false" ht="11.25" hidden="false" customHeight="true" outlineLevel="0" collapsed="false"/>
    <row r="4010" customFormat="false" ht="11.25" hidden="false" customHeight="true" outlineLevel="0" collapsed="false"/>
    <row r="4011" customFormat="false" ht="11.25" hidden="false" customHeight="true" outlineLevel="0" collapsed="false"/>
    <row r="4012" customFormat="false" ht="11.25" hidden="false" customHeight="true" outlineLevel="0" collapsed="false"/>
    <row r="4013" customFormat="false" ht="11.25" hidden="false" customHeight="true" outlineLevel="0" collapsed="false"/>
    <row r="4014" customFormat="false" ht="11.25" hidden="false" customHeight="true" outlineLevel="0" collapsed="false"/>
    <row r="4015" customFormat="false" ht="11.25" hidden="false" customHeight="true" outlineLevel="0" collapsed="false"/>
    <row r="4016" customFormat="false" ht="11.25" hidden="false" customHeight="true" outlineLevel="0" collapsed="false"/>
    <row r="4017" customFormat="false" ht="11.25" hidden="false" customHeight="true" outlineLevel="0" collapsed="false"/>
    <row r="4018" customFormat="false" ht="11.25" hidden="false" customHeight="true" outlineLevel="0" collapsed="false"/>
    <row r="4019" customFormat="false" ht="11.25" hidden="false" customHeight="true" outlineLevel="0" collapsed="false"/>
    <row r="4020" customFormat="false" ht="11.25" hidden="false" customHeight="true" outlineLevel="0" collapsed="false"/>
    <row r="4021" customFormat="false" ht="11.25" hidden="false" customHeight="true" outlineLevel="0" collapsed="false"/>
    <row r="4022" customFormat="false" ht="11.25" hidden="false" customHeight="true" outlineLevel="0" collapsed="false"/>
    <row r="4023" customFormat="false" ht="11.25" hidden="false" customHeight="true" outlineLevel="0" collapsed="false"/>
    <row r="4024" customFormat="false" ht="11.25" hidden="false" customHeight="true" outlineLevel="0" collapsed="false"/>
    <row r="4025" customFormat="false" ht="11.25" hidden="false" customHeight="true" outlineLevel="0" collapsed="false"/>
    <row r="4026" customFormat="false" ht="11.25" hidden="false" customHeight="true" outlineLevel="0" collapsed="false"/>
    <row r="4027" customFormat="false" ht="11.25" hidden="false" customHeight="true" outlineLevel="0" collapsed="false"/>
    <row r="4028" customFormat="false" ht="11.25" hidden="false" customHeight="true" outlineLevel="0" collapsed="false"/>
    <row r="4029" customFormat="false" ht="11.25" hidden="false" customHeight="true" outlineLevel="0" collapsed="false"/>
    <row r="4030" customFormat="false" ht="11.25" hidden="false" customHeight="true" outlineLevel="0" collapsed="false"/>
    <row r="4031" customFormat="false" ht="11.25" hidden="false" customHeight="true" outlineLevel="0" collapsed="false"/>
    <row r="4032" customFormat="false" ht="11.25" hidden="false" customHeight="true" outlineLevel="0" collapsed="false"/>
    <row r="4033" customFormat="false" ht="11.25" hidden="false" customHeight="true" outlineLevel="0" collapsed="false"/>
    <row r="4034" customFormat="false" ht="11.25" hidden="false" customHeight="true" outlineLevel="0" collapsed="false"/>
    <row r="4035" customFormat="false" ht="11.25" hidden="false" customHeight="true" outlineLevel="0" collapsed="false"/>
    <row r="4036" customFormat="false" ht="11.25" hidden="false" customHeight="true" outlineLevel="0" collapsed="false"/>
    <row r="4037" customFormat="false" ht="11.25" hidden="false" customHeight="true" outlineLevel="0" collapsed="false"/>
    <row r="4038" customFormat="false" ht="11.25" hidden="false" customHeight="true" outlineLevel="0" collapsed="false"/>
    <row r="4039" customFormat="false" ht="11.25" hidden="false" customHeight="true" outlineLevel="0" collapsed="false"/>
    <row r="4040" customFormat="false" ht="11.25" hidden="false" customHeight="true" outlineLevel="0" collapsed="false"/>
    <row r="4041" customFormat="false" ht="11.25" hidden="false" customHeight="true" outlineLevel="0" collapsed="false"/>
    <row r="4042" customFormat="false" ht="11.25" hidden="false" customHeight="true" outlineLevel="0" collapsed="false"/>
    <row r="4043" customFormat="false" ht="11.25" hidden="false" customHeight="true" outlineLevel="0" collapsed="false"/>
    <row r="4044" customFormat="false" ht="11.25" hidden="false" customHeight="true" outlineLevel="0" collapsed="false"/>
    <row r="4045" customFormat="false" ht="11.25" hidden="false" customHeight="true" outlineLevel="0" collapsed="false"/>
    <row r="4046" customFormat="false" ht="11.25" hidden="false" customHeight="true" outlineLevel="0" collapsed="false"/>
    <row r="4047" customFormat="false" ht="11.25" hidden="false" customHeight="true" outlineLevel="0" collapsed="false"/>
    <row r="4048" customFormat="false" ht="11.25" hidden="false" customHeight="true" outlineLevel="0" collapsed="false"/>
    <row r="4049" customFormat="false" ht="11.25" hidden="false" customHeight="true" outlineLevel="0" collapsed="false"/>
    <row r="4050" customFormat="false" ht="11.25" hidden="false" customHeight="true" outlineLevel="0" collapsed="false"/>
    <row r="4051" customFormat="false" ht="11.25" hidden="false" customHeight="true" outlineLevel="0" collapsed="false"/>
    <row r="4052" customFormat="false" ht="11.25" hidden="false" customHeight="true" outlineLevel="0" collapsed="false"/>
    <row r="4053" customFormat="false" ht="11.25" hidden="false" customHeight="true" outlineLevel="0" collapsed="false"/>
    <row r="4054" customFormat="false" ht="11.25" hidden="false" customHeight="true" outlineLevel="0" collapsed="false"/>
    <row r="4055" customFormat="false" ht="11.25" hidden="false" customHeight="true" outlineLevel="0" collapsed="false"/>
    <row r="4056" customFormat="false" ht="11.25" hidden="false" customHeight="true" outlineLevel="0" collapsed="false"/>
    <row r="4057" customFormat="false" ht="11.25" hidden="false" customHeight="true" outlineLevel="0" collapsed="false"/>
    <row r="4058" customFormat="false" ht="11.25" hidden="false" customHeight="true" outlineLevel="0" collapsed="false"/>
    <row r="4059" customFormat="false" ht="11.25" hidden="false" customHeight="true" outlineLevel="0" collapsed="false"/>
    <row r="4060" customFormat="false" ht="11.25" hidden="false" customHeight="true" outlineLevel="0" collapsed="false"/>
    <row r="4061" customFormat="false" ht="11.25" hidden="false" customHeight="true" outlineLevel="0" collapsed="false"/>
    <row r="4062" customFormat="false" ht="11.25" hidden="false" customHeight="true" outlineLevel="0" collapsed="false"/>
    <row r="4063" customFormat="false" ht="11.25" hidden="false" customHeight="true" outlineLevel="0" collapsed="false"/>
    <row r="4064" customFormat="false" ht="11.25" hidden="false" customHeight="true" outlineLevel="0" collapsed="false"/>
    <row r="4065" customFormat="false" ht="11.25" hidden="false" customHeight="true" outlineLevel="0" collapsed="false"/>
    <row r="4066" customFormat="false" ht="11.25" hidden="false" customHeight="true" outlineLevel="0" collapsed="false"/>
    <row r="4067" customFormat="false" ht="11.25" hidden="false" customHeight="true" outlineLevel="0" collapsed="false"/>
    <row r="4068" customFormat="false" ht="11.25" hidden="false" customHeight="true" outlineLevel="0" collapsed="false"/>
    <row r="4069" customFormat="false" ht="11.25" hidden="false" customHeight="true" outlineLevel="0" collapsed="false"/>
    <row r="4070" customFormat="false" ht="11.25" hidden="false" customHeight="true" outlineLevel="0" collapsed="false"/>
    <row r="4071" customFormat="false" ht="11.25" hidden="false" customHeight="true" outlineLevel="0" collapsed="false"/>
    <row r="4072" customFormat="false" ht="11.25" hidden="false" customHeight="true" outlineLevel="0" collapsed="false"/>
    <row r="4073" customFormat="false" ht="11.25" hidden="false" customHeight="true" outlineLevel="0" collapsed="false"/>
    <row r="4074" customFormat="false" ht="11.25" hidden="false" customHeight="true" outlineLevel="0" collapsed="false"/>
    <row r="4075" customFormat="false" ht="11.25" hidden="false" customHeight="true" outlineLevel="0" collapsed="false"/>
    <row r="4076" customFormat="false" ht="11.25" hidden="false" customHeight="true" outlineLevel="0" collapsed="false"/>
    <row r="4077" customFormat="false" ht="11.25" hidden="false" customHeight="true" outlineLevel="0" collapsed="false"/>
    <row r="4078" customFormat="false" ht="11.25" hidden="false" customHeight="true" outlineLevel="0" collapsed="false"/>
    <row r="4079" customFormat="false" ht="11.25" hidden="false" customHeight="true" outlineLevel="0" collapsed="false"/>
    <row r="4080" customFormat="false" ht="11.25" hidden="false" customHeight="true" outlineLevel="0" collapsed="false"/>
    <row r="4081" customFormat="false" ht="11.25" hidden="false" customHeight="true" outlineLevel="0" collapsed="false"/>
    <row r="4082" customFormat="false" ht="11.25" hidden="false" customHeight="true" outlineLevel="0" collapsed="false"/>
    <row r="4083" customFormat="false" ht="11.25" hidden="false" customHeight="true" outlineLevel="0" collapsed="false"/>
    <row r="4084" customFormat="false" ht="11.25" hidden="false" customHeight="true" outlineLevel="0" collapsed="false"/>
    <row r="4085" customFormat="false" ht="11.25" hidden="false" customHeight="true" outlineLevel="0" collapsed="false"/>
    <row r="4086" customFormat="false" ht="11.25" hidden="false" customHeight="true" outlineLevel="0" collapsed="false"/>
    <row r="4087" customFormat="false" ht="11.25" hidden="false" customHeight="true" outlineLevel="0" collapsed="false"/>
    <row r="4088" customFormat="false" ht="11.25" hidden="false" customHeight="true" outlineLevel="0" collapsed="false"/>
    <row r="4089" customFormat="false" ht="11.25" hidden="false" customHeight="true" outlineLevel="0" collapsed="false"/>
    <row r="4090" customFormat="false" ht="11.25" hidden="false" customHeight="true" outlineLevel="0" collapsed="false"/>
    <row r="4091" customFormat="false" ht="11.25" hidden="false" customHeight="true" outlineLevel="0" collapsed="false"/>
    <row r="4092" customFormat="false" ht="11.25" hidden="false" customHeight="true" outlineLevel="0" collapsed="false"/>
    <row r="4093" customFormat="false" ht="11.25" hidden="false" customHeight="true" outlineLevel="0" collapsed="false"/>
    <row r="4094" customFormat="false" ht="11.25" hidden="false" customHeight="true" outlineLevel="0" collapsed="false"/>
    <row r="4095" customFormat="false" ht="11.25" hidden="false" customHeight="true" outlineLevel="0" collapsed="false"/>
    <row r="4096" customFormat="false" ht="11.25" hidden="false" customHeight="true" outlineLevel="0" collapsed="false"/>
    <row r="4097" customFormat="false" ht="11.25" hidden="false" customHeight="true" outlineLevel="0" collapsed="false"/>
    <row r="4098" customFormat="false" ht="11.25" hidden="false" customHeight="true" outlineLevel="0" collapsed="false"/>
    <row r="4099" customFormat="false" ht="11.25" hidden="false" customHeight="true" outlineLevel="0" collapsed="false"/>
    <row r="4100" customFormat="false" ht="11.25" hidden="false" customHeight="true" outlineLevel="0" collapsed="false"/>
    <row r="4101" customFormat="false" ht="11.25" hidden="false" customHeight="true" outlineLevel="0" collapsed="false"/>
    <row r="4102" customFormat="false" ht="11.25" hidden="false" customHeight="true" outlineLevel="0" collapsed="false"/>
    <row r="4103" customFormat="false" ht="11.25" hidden="false" customHeight="true" outlineLevel="0" collapsed="false"/>
    <row r="4104" customFormat="false" ht="11.25" hidden="false" customHeight="true" outlineLevel="0" collapsed="false"/>
    <row r="4105" customFormat="false" ht="11.25" hidden="false" customHeight="true" outlineLevel="0" collapsed="false"/>
    <row r="4106" customFormat="false" ht="11.25" hidden="false" customHeight="true" outlineLevel="0" collapsed="false"/>
    <row r="4107" customFormat="false" ht="11.25" hidden="false" customHeight="true" outlineLevel="0" collapsed="false"/>
    <row r="4108" customFormat="false" ht="11.25" hidden="false" customHeight="true" outlineLevel="0" collapsed="false"/>
    <row r="4109" customFormat="false" ht="11.25" hidden="false" customHeight="true" outlineLevel="0" collapsed="false"/>
    <row r="4110" customFormat="false" ht="11.25" hidden="false" customHeight="true" outlineLevel="0" collapsed="false"/>
    <row r="4111" customFormat="false" ht="11.25" hidden="false" customHeight="true" outlineLevel="0" collapsed="false"/>
    <row r="4112" customFormat="false" ht="11.25" hidden="false" customHeight="true" outlineLevel="0" collapsed="false"/>
    <row r="4113" customFormat="false" ht="11.25" hidden="false" customHeight="true" outlineLevel="0" collapsed="false"/>
    <row r="4114" customFormat="false" ht="11.25" hidden="false" customHeight="true" outlineLevel="0" collapsed="false"/>
    <row r="4115" customFormat="false" ht="11.25" hidden="false" customHeight="true" outlineLevel="0" collapsed="false"/>
    <row r="4116" customFormat="false" ht="11.25" hidden="false" customHeight="true" outlineLevel="0" collapsed="false"/>
    <row r="4117" customFormat="false" ht="11.25" hidden="false" customHeight="true" outlineLevel="0" collapsed="false"/>
    <row r="4118" customFormat="false" ht="11.25" hidden="false" customHeight="true" outlineLevel="0" collapsed="false"/>
    <row r="4119" customFormat="false" ht="11.25" hidden="false" customHeight="true" outlineLevel="0" collapsed="false"/>
    <row r="4120" customFormat="false" ht="11.25" hidden="false" customHeight="true" outlineLevel="0" collapsed="false"/>
    <row r="4121" customFormat="false" ht="11.25" hidden="false" customHeight="true" outlineLevel="0" collapsed="false"/>
    <row r="4122" customFormat="false" ht="11.25" hidden="false" customHeight="true" outlineLevel="0" collapsed="false"/>
    <row r="4123" customFormat="false" ht="11.25" hidden="false" customHeight="true" outlineLevel="0" collapsed="false"/>
    <row r="4124" customFormat="false" ht="11.25" hidden="false" customHeight="true" outlineLevel="0" collapsed="false"/>
    <row r="4125" customFormat="false" ht="11.25" hidden="false" customHeight="true" outlineLevel="0" collapsed="false"/>
    <row r="4126" customFormat="false" ht="11.25" hidden="false" customHeight="true" outlineLevel="0" collapsed="false"/>
    <row r="4127" customFormat="false" ht="11.25" hidden="false" customHeight="true" outlineLevel="0" collapsed="false"/>
    <row r="4128" customFormat="false" ht="11.25" hidden="false" customHeight="true" outlineLevel="0" collapsed="false"/>
    <row r="4129" customFormat="false" ht="11.25" hidden="false" customHeight="true" outlineLevel="0" collapsed="false"/>
    <row r="4130" customFormat="false" ht="11.25" hidden="false" customHeight="true" outlineLevel="0" collapsed="false"/>
    <row r="4131" customFormat="false" ht="11.25" hidden="false" customHeight="true" outlineLevel="0" collapsed="false"/>
    <row r="4132" customFormat="false" ht="11.25" hidden="false" customHeight="true" outlineLevel="0" collapsed="false"/>
    <row r="4133" customFormat="false" ht="11.25" hidden="false" customHeight="true" outlineLevel="0" collapsed="false"/>
    <row r="4134" customFormat="false" ht="11.25" hidden="false" customHeight="true" outlineLevel="0" collapsed="false"/>
    <row r="4135" customFormat="false" ht="11.25" hidden="false" customHeight="true" outlineLevel="0" collapsed="false"/>
    <row r="4136" customFormat="false" ht="11.25" hidden="false" customHeight="true" outlineLevel="0" collapsed="false"/>
    <row r="4137" customFormat="false" ht="11.25" hidden="false" customHeight="true" outlineLevel="0" collapsed="false"/>
    <row r="4138" customFormat="false" ht="11.25" hidden="false" customHeight="true" outlineLevel="0" collapsed="false"/>
    <row r="4139" customFormat="false" ht="11.25" hidden="false" customHeight="true" outlineLevel="0" collapsed="false"/>
    <row r="4140" customFormat="false" ht="11.25" hidden="false" customHeight="true" outlineLevel="0" collapsed="false"/>
    <row r="4141" customFormat="false" ht="11.25" hidden="false" customHeight="true" outlineLevel="0" collapsed="false"/>
    <row r="4142" customFormat="false" ht="11.25" hidden="false" customHeight="true" outlineLevel="0" collapsed="false"/>
    <row r="4143" customFormat="false" ht="11.25" hidden="false" customHeight="true" outlineLevel="0" collapsed="false"/>
    <row r="4144" customFormat="false" ht="11.25" hidden="false" customHeight="true" outlineLevel="0" collapsed="false"/>
    <row r="4145" customFormat="false" ht="11.25" hidden="false" customHeight="true" outlineLevel="0" collapsed="false"/>
    <row r="4146" customFormat="false" ht="11.25" hidden="false" customHeight="true" outlineLevel="0" collapsed="false"/>
    <row r="4147" customFormat="false" ht="11.25" hidden="false" customHeight="true" outlineLevel="0" collapsed="false"/>
    <row r="4148" customFormat="false" ht="11.25" hidden="false" customHeight="true" outlineLevel="0" collapsed="false"/>
    <row r="4149" customFormat="false" ht="11.25" hidden="false" customHeight="true" outlineLevel="0" collapsed="false"/>
    <row r="4150" customFormat="false" ht="11.25" hidden="false" customHeight="true" outlineLevel="0" collapsed="false"/>
    <row r="4151" customFormat="false" ht="11.25" hidden="false" customHeight="true" outlineLevel="0" collapsed="false"/>
    <row r="4152" customFormat="false" ht="11.25" hidden="false" customHeight="true" outlineLevel="0" collapsed="false"/>
    <row r="4153" customFormat="false" ht="11.25" hidden="false" customHeight="true" outlineLevel="0" collapsed="false"/>
    <row r="4154" customFormat="false" ht="11.25" hidden="false" customHeight="true" outlineLevel="0" collapsed="false"/>
    <row r="4155" customFormat="false" ht="11.25" hidden="false" customHeight="true" outlineLevel="0" collapsed="false"/>
    <row r="4156" customFormat="false" ht="11.25" hidden="false" customHeight="true" outlineLevel="0" collapsed="false"/>
    <row r="4157" customFormat="false" ht="11.25" hidden="false" customHeight="true" outlineLevel="0" collapsed="false"/>
    <row r="4158" customFormat="false" ht="11.25" hidden="false" customHeight="true" outlineLevel="0" collapsed="false"/>
    <row r="4159" customFormat="false" ht="11.25" hidden="false" customHeight="true" outlineLevel="0" collapsed="false"/>
    <row r="4160" customFormat="false" ht="11.25" hidden="false" customHeight="true" outlineLevel="0" collapsed="false"/>
    <row r="4161" customFormat="false" ht="11.25" hidden="false" customHeight="true" outlineLevel="0" collapsed="false"/>
    <row r="4162" customFormat="false" ht="11.25" hidden="false" customHeight="true" outlineLevel="0" collapsed="false"/>
    <row r="4163" customFormat="false" ht="11.25" hidden="false" customHeight="true" outlineLevel="0" collapsed="false"/>
    <row r="4164" customFormat="false" ht="11.25" hidden="false" customHeight="true" outlineLevel="0" collapsed="false"/>
    <row r="4165" customFormat="false" ht="11.25" hidden="false" customHeight="true" outlineLevel="0" collapsed="false"/>
    <row r="4166" customFormat="false" ht="11.25" hidden="false" customHeight="true" outlineLevel="0" collapsed="false"/>
    <row r="4167" customFormat="false" ht="11.25" hidden="false" customHeight="true" outlineLevel="0" collapsed="false"/>
    <row r="4168" customFormat="false" ht="11.25" hidden="false" customHeight="true" outlineLevel="0" collapsed="false"/>
    <row r="4169" customFormat="false" ht="11.25" hidden="false" customHeight="true" outlineLevel="0" collapsed="false"/>
    <row r="4170" customFormat="false" ht="11.25" hidden="false" customHeight="true" outlineLevel="0" collapsed="false"/>
    <row r="4171" customFormat="false" ht="11.25" hidden="false" customHeight="true" outlineLevel="0" collapsed="false"/>
    <row r="4172" customFormat="false" ht="11.25" hidden="false" customHeight="true" outlineLevel="0" collapsed="false"/>
    <row r="4173" customFormat="false" ht="11.25" hidden="false" customHeight="true" outlineLevel="0" collapsed="false"/>
    <row r="4174" customFormat="false" ht="11.25" hidden="false" customHeight="true" outlineLevel="0" collapsed="false"/>
    <row r="4175" customFormat="false" ht="11.25" hidden="false" customHeight="true" outlineLevel="0" collapsed="false"/>
    <row r="4176" customFormat="false" ht="11.25" hidden="false" customHeight="true" outlineLevel="0" collapsed="false"/>
    <row r="4177" customFormat="false" ht="11.25" hidden="false" customHeight="true" outlineLevel="0" collapsed="false"/>
    <row r="4178" customFormat="false" ht="11.25" hidden="false" customHeight="true" outlineLevel="0" collapsed="false"/>
    <row r="4179" customFormat="false" ht="11.25" hidden="false" customHeight="true" outlineLevel="0" collapsed="false"/>
    <row r="4180" customFormat="false" ht="11.25" hidden="false" customHeight="true" outlineLevel="0" collapsed="false"/>
    <row r="4181" customFormat="false" ht="11.25" hidden="false" customHeight="true" outlineLevel="0" collapsed="false"/>
    <row r="4182" customFormat="false" ht="11.25" hidden="false" customHeight="true" outlineLevel="0" collapsed="false"/>
    <row r="4183" customFormat="false" ht="11.25" hidden="false" customHeight="true" outlineLevel="0" collapsed="false"/>
    <row r="4184" customFormat="false" ht="11.25" hidden="false" customHeight="true" outlineLevel="0" collapsed="false"/>
    <row r="4185" customFormat="false" ht="11.25" hidden="false" customHeight="true" outlineLevel="0" collapsed="false"/>
    <row r="4186" customFormat="false" ht="11.25" hidden="false" customHeight="true" outlineLevel="0" collapsed="false"/>
    <row r="4187" customFormat="false" ht="11.25" hidden="false" customHeight="true" outlineLevel="0" collapsed="false"/>
    <row r="4188" customFormat="false" ht="11.25" hidden="false" customHeight="true" outlineLevel="0" collapsed="false"/>
    <row r="4189" customFormat="false" ht="11.25" hidden="false" customHeight="true" outlineLevel="0" collapsed="false"/>
    <row r="4190" customFormat="false" ht="11.25" hidden="false" customHeight="true" outlineLevel="0" collapsed="false"/>
    <row r="4191" customFormat="false" ht="11.25" hidden="false" customHeight="true" outlineLevel="0" collapsed="false"/>
    <row r="4192" customFormat="false" ht="11.25" hidden="false" customHeight="true" outlineLevel="0" collapsed="false"/>
    <row r="4193" customFormat="false" ht="11.25" hidden="false" customHeight="true" outlineLevel="0" collapsed="false"/>
    <row r="4194" customFormat="false" ht="11.25" hidden="false" customHeight="true" outlineLevel="0" collapsed="false"/>
    <row r="4195" customFormat="false" ht="11.25" hidden="false" customHeight="true" outlineLevel="0" collapsed="false"/>
    <row r="4196" customFormat="false" ht="11.25" hidden="false" customHeight="true" outlineLevel="0" collapsed="false"/>
    <row r="4197" customFormat="false" ht="11.25" hidden="false" customHeight="true" outlineLevel="0" collapsed="false"/>
    <row r="4198" customFormat="false" ht="11.25" hidden="false" customHeight="true" outlineLevel="0" collapsed="false"/>
    <row r="4199" customFormat="false" ht="11.25" hidden="false" customHeight="true" outlineLevel="0" collapsed="false"/>
    <row r="4200" customFormat="false" ht="11.25" hidden="false" customHeight="true" outlineLevel="0" collapsed="false"/>
    <row r="4201" customFormat="false" ht="11.25" hidden="false" customHeight="true" outlineLevel="0" collapsed="false"/>
    <row r="4202" customFormat="false" ht="11.25" hidden="false" customHeight="true" outlineLevel="0" collapsed="false"/>
    <row r="4203" customFormat="false" ht="11.25" hidden="false" customHeight="true" outlineLevel="0" collapsed="false"/>
    <row r="4204" customFormat="false" ht="11.25" hidden="false" customHeight="true" outlineLevel="0" collapsed="false"/>
    <row r="4205" customFormat="false" ht="11.25" hidden="false" customHeight="true" outlineLevel="0" collapsed="false"/>
    <row r="4206" customFormat="false" ht="11.25" hidden="false" customHeight="true" outlineLevel="0" collapsed="false"/>
    <row r="4207" customFormat="false" ht="11.25" hidden="false" customHeight="true" outlineLevel="0" collapsed="false"/>
    <row r="4208" customFormat="false" ht="11.25" hidden="false" customHeight="true" outlineLevel="0" collapsed="false"/>
    <row r="4209" customFormat="false" ht="11.25" hidden="false" customHeight="true" outlineLevel="0" collapsed="false"/>
    <row r="4210" customFormat="false" ht="11.25" hidden="false" customHeight="true" outlineLevel="0" collapsed="false"/>
    <row r="4211" customFormat="false" ht="11.25" hidden="false" customHeight="true" outlineLevel="0" collapsed="false"/>
    <row r="4212" customFormat="false" ht="11.25" hidden="false" customHeight="true" outlineLevel="0" collapsed="false"/>
    <row r="4213" customFormat="false" ht="11.25" hidden="false" customHeight="true" outlineLevel="0" collapsed="false"/>
    <row r="4214" customFormat="false" ht="11.25" hidden="false" customHeight="true" outlineLevel="0" collapsed="false"/>
    <row r="4215" customFormat="false" ht="11.25" hidden="false" customHeight="true" outlineLevel="0" collapsed="false"/>
    <row r="4216" customFormat="false" ht="11.25" hidden="false" customHeight="true" outlineLevel="0" collapsed="false"/>
    <row r="4217" customFormat="false" ht="11.25" hidden="false" customHeight="true" outlineLevel="0" collapsed="false"/>
    <row r="4218" customFormat="false" ht="11.25" hidden="false" customHeight="true" outlineLevel="0" collapsed="false"/>
    <row r="4219" customFormat="false" ht="11.25" hidden="false" customHeight="true" outlineLevel="0" collapsed="false"/>
    <row r="4220" customFormat="false" ht="11.25" hidden="false" customHeight="true" outlineLevel="0" collapsed="false"/>
    <row r="4221" customFormat="false" ht="11.25" hidden="false" customHeight="true" outlineLevel="0" collapsed="false"/>
    <row r="4222" customFormat="false" ht="11.25" hidden="false" customHeight="true" outlineLevel="0" collapsed="false"/>
    <row r="4223" customFormat="false" ht="11.25" hidden="false" customHeight="true" outlineLevel="0" collapsed="false"/>
    <row r="4224" customFormat="false" ht="11.25" hidden="false" customHeight="true" outlineLevel="0" collapsed="false"/>
    <row r="4225" customFormat="false" ht="11.25" hidden="false" customHeight="true" outlineLevel="0" collapsed="false"/>
    <row r="4226" customFormat="false" ht="11.25" hidden="false" customHeight="true" outlineLevel="0" collapsed="false"/>
    <row r="4227" customFormat="false" ht="11.25" hidden="false" customHeight="true" outlineLevel="0" collapsed="false"/>
    <row r="4228" customFormat="false" ht="11.25" hidden="false" customHeight="true" outlineLevel="0" collapsed="false"/>
    <row r="4229" customFormat="false" ht="11.25" hidden="false" customHeight="true" outlineLevel="0" collapsed="false"/>
    <row r="4230" customFormat="false" ht="11.25" hidden="false" customHeight="true" outlineLevel="0" collapsed="false"/>
    <row r="4231" customFormat="false" ht="11.25" hidden="false" customHeight="true" outlineLevel="0" collapsed="false"/>
    <row r="4232" customFormat="false" ht="11.25" hidden="false" customHeight="true" outlineLevel="0" collapsed="false"/>
    <row r="4233" customFormat="false" ht="11.25" hidden="false" customHeight="true" outlineLevel="0" collapsed="false"/>
    <row r="4234" customFormat="false" ht="11.25" hidden="false" customHeight="true" outlineLevel="0" collapsed="false"/>
    <row r="4235" customFormat="false" ht="11.25" hidden="false" customHeight="true" outlineLevel="0" collapsed="false"/>
    <row r="4236" customFormat="false" ht="11.25" hidden="false" customHeight="true" outlineLevel="0" collapsed="false"/>
    <row r="4237" customFormat="false" ht="11.25" hidden="false" customHeight="true" outlineLevel="0" collapsed="false"/>
    <row r="4238" customFormat="false" ht="11.25" hidden="false" customHeight="true" outlineLevel="0" collapsed="false"/>
    <row r="4239" customFormat="false" ht="11.25" hidden="false" customHeight="true" outlineLevel="0" collapsed="false"/>
    <row r="4240" customFormat="false" ht="11.25" hidden="false" customHeight="true" outlineLevel="0" collapsed="false"/>
    <row r="4241" customFormat="false" ht="11.25" hidden="false" customHeight="true" outlineLevel="0" collapsed="false"/>
    <row r="4242" customFormat="false" ht="11.25" hidden="false" customHeight="true" outlineLevel="0" collapsed="false"/>
    <row r="4243" customFormat="false" ht="11.25" hidden="false" customHeight="true" outlineLevel="0" collapsed="false"/>
    <row r="4244" customFormat="false" ht="11.25" hidden="false" customHeight="true" outlineLevel="0" collapsed="false"/>
    <row r="4245" customFormat="false" ht="11.25" hidden="false" customHeight="true" outlineLevel="0" collapsed="false"/>
    <row r="4246" customFormat="false" ht="11.25" hidden="false" customHeight="true" outlineLevel="0" collapsed="false"/>
    <row r="4247" customFormat="false" ht="11.25" hidden="false" customHeight="true" outlineLevel="0" collapsed="false"/>
    <row r="4248" customFormat="false" ht="11.25" hidden="false" customHeight="true" outlineLevel="0" collapsed="false"/>
    <row r="4249" customFormat="false" ht="11.25" hidden="false" customHeight="true" outlineLevel="0" collapsed="false"/>
    <row r="4250" customFormat="false" ht="11.25" hidden="false" customHeight="true" outlineLevel="0" collapsed="false"/>
    <row r="4251" customFormat="false" ht="11.25" hidden="false" customHeight="true" outlineLevel="0" collapsed="false"/>
    <row r="4252" customFormat="false" ht="11.25" hidden="false" customHeight="true" outlineLevel="0" collapsed="false"/>
    <row r="4253" customFormat="false" ht="11.25" hidden="false" customHeight="true" outlineLevel="0" collapsed="false"/>
    <row r="4254" customFormat="false" ht="11.25" hidden="false" customHeight="true" outlineLevel="0" collapsed="false"/>
    <row r="4255" customFormat="false" ht="11.25" hidden="false" customHeight="true" outlineLevel="0" collapsed="false"/>
    <row r="4256" customFormat="false" ht="11.25" hidden="false" customHeight="true" outlineLevel="0" collapsed="false"/>
    <row r="4257" customFormat="false" ht="11.25" hidden="false" customHeight="true" outlineLevel="0" collapsed="false"/>
    <row r="4258" customFormat="false" ht="11.25" hidden="false" customHeight="true" outlineLevel="0" collapsed="false"/>
    <row r="4259" customFormat="false" ht="11.25" hidden="false" customHeight="true" outlineLevel="0" collapsed="false"/>
    <row r="4260" customFormat="false" ht="11.25" hidden="false" customHeight="true" outlineLevel="0" collapsed="false"/>
    <row r="4261" customFormat="false" ht="11.25" hidden="false" customHeight="true" outlineLevel="0" collapsed="false"/>
    <row r="4262" customFormat="false" ht="11.25" hidden="false" customHeight="true" outlineLevel="0" collapsed="false"/>
    <row r="4263" customFormat="false" ht="11.25" hidden="false" customHeight="true" outlineLevel="0" collapsed="false"/>
    <row r="4264" customFormat="false" ht="11.25" hidden="false" customHeight="true" outlineLevel="0" collapsed="false"/>
    <row r="4265" customFormat="false" ht="11.25" hidden="false" customHeight="true" outlineLevel="0" collapsed="false"/>
    <row r="4266" customFormat="false" ht="11.25" hidden="false" customHeight="true" outlineLevel="0" collapsed="false"/>
    <row r="4267" customFormat="false" ht="11.25" hidden="false" customHeight="true" outlineLevel="0" collapsed="false"/>
    <row r="4268" customFormat="false" ht="11.25" hidden="false" customHeight="true" outlineLevel="0" collapsed="false"/>
    <row r="4269" customFormat="false" ht="11.25" hidden="false" customHeight="true" outlineLevel="0" collapsed="false"/>
    <row r="4270" customFormat="false" ht="11.25" hidden="false" customHeight="true" outlineLevel="0" collapsed="false"/>
    <row r="4271" customFormat="false" ht="11.25" hidden="false" customHeight="true" outlineLevel="0" collapsed="false"/>
    <row r="4272" customFormat="false" ht="11.25" hidden="false" customHeight="true" outlineLevel="0" collapsed="false"/>
    <row r="4273" customFormat="false" ht="11.25" hidden="false" customHeight="true" outlineLevel="0" collapsed="false"/>
    <row r="4274" customFormat="false" ht="11.25" hidden="false" customHeight="true" outlineLevel="0" collapsed="false"/>
    <row r="4275" customFormat="false" ht="11.25" hidden="false" customHeight="true" outlineLevel="0" collapsed="false"/>
    <row r="4276" customFormat="false" ht="11.25" hidden="false" customHeight="true" outlineLevel="0" collapsed="false"/>
    <row r="4277" customFormat="false" ht="11.25" hidden="false" customHeight="true" outlineLevel="0" collapsed="false"/>
    <row r="4278" customFormat="false" ht="11.25" hidden="false" customHeight="true" outlineLevel="0" collapsed="false"/>
    <row r="4279" customFormat="false" ht="11.25" hidden="false" customHeight="true" outlineLevel="0" collapsed="false"/>
    <row r="4280" customFormat="false" ht="11.25" hidden="false" customHeight="true" outlineLevel="0" collapsed="false"/>
    <row r="4281" customFormat="false" ht="11.25" hidden="false" customHeight="true" outlineLevel="0" collapsed="false"/>
    <row r="4282" customFormat="false" ht="11.25" hidden="false" customHeight="true" outlineLevel="0" collapsed="false"/>
    <row r="4283" customFormat="false" ht="11.25" hidden="false" customHeight="true" outlineLevel="0" collapsed="false"/>
    <row r="4284" customFormat="false" ht="11.25" hidden="false" customHeight="true" outlineLevel="0" collapsed="false"/>
    <row r="4285" customFormat="false" ht="11.25" hidden="false" customHeight="true" outlineLevel="0" collapsed="false"/>
    <row r="4286" customFormat="false" ht="11.25" hidden="false" customHeight="true" outlineLevel="0" collapsed="false"/>
    <row r="4287" customFormat="false" ht="11.25" hidden="false" customHeight="true" outlineLevel="0" collapsed="false"/>
    <row r="4288" customFormat="false" ht="11.25" hidden="false" customHeight="true" outlineLevel="0" collapsed="false"/>
    <row r="4289" customFormat="false" ht="11.25" hidden="false" customHeight="true" outlineLevel="0" collapsed="false"/>
    <row r="4290" customFormat="false" ht="11.25" hidden="false" customHeight="true" outlineLevel="0" collapsed="false"/>
    <row r="4291" customFormat="false" ht="11.25" hidden="false" customHeight="true" outlineLevel="0" collapsed="false"/>
    <row r="4292" customFormat="false" ht="11.25" hidden="false" customHeight="true" outlineLevel="0" collapsed="false"/>
    <row r="4293" customFormat="false" ht="11.25" hidden="false" customHeight="true" outlineLevel="0" collapsed="false"/>
    <row r="4294" customFormat="false" ht="11.25" hidden="false" customHeight="true" outlineLevel="0" collapsed="false"/>
    <row r="4295" customFormat="false" ht="11.25" hidden="false" customHeight="true" outlineLevel="0" collapsed="false"/>
    <row r="4296" customFormat="false" ht="11.25" hidden="false" customHeight="true" outlineLevel="0" collapsed="false"/>
    <row r="4297" customFormat="false" ht="11.25" hidden="false" customHeight="true" outlineLevel="0" collapsed="false"/>
    <row r="4298" customFormat="false" ht="11.25" hidden="false" customHeight="true" outlineLevel="0" collapsed="false"/>
    <row r="4299" customFormat="false" ht="11.25" hidden="false" customHeight="true" outlineLevel="0" collapsed="false"/>
    <row r="4300" customFormat="false" ht="11.25" hidden="false" customHeight="true" outlineLevel="0" collapsed="false"/>
    <row r="4301" customFormat="false" ht="11.25" hidden="false" customHeight="true" outlineLevel="0" collapsed="false"/>
    <row r="4302" customFormat="false" ht="11.25" hidden="false" customHeight="true" outlineLevel="0" collapsed="false"/>
    <row r="4303" customFormat="false" ht="11.25" hidden="false" customHeight="true" outlineLevel="0" collapsed="false"/>
    <row r="4304" customFormat="false" ht="11.25" hidden="false" customHeight="true" outlineLevel="0" collapsed="false"/>
    <row r="4305" customFormat="false" ht="11.25" hidden="false" customHeight="true" outlineLevel="0" collapsed="false"/>
    <row r="4306" customFormat="false" ht="11.25" hidden="false" customHeight="true" outlineLevel="0" collapsed="false"/>
    <row r="4307" customFormat="false" ht="11.25" hidden="false" customHeight="true" outlineLevel="0" collapsed="false"/>
    <row r="4308" customFormat="false" ht="11.25" hidden="false" customHeight="true" outlineLevel="0" collapsed="false"/>
    <row r="4309" customFormat="false" ht="11.25" hidden="false" customHeight="true" outlineLevel="0" collapsed="false"/>
    <row r="4310" customFormat="false" ht="11.25" hidden="false" customHeight="true" outlineLevel="0" collapsed="false"/>
    <row r="4311" customFormat="false" ht="11.25" hidden="false" customHeight="true" outlineLevel="0" collapsed="false"/>
    <row r="4312" customFormat="false" ht="11.25" hidden="false" customHeight="true" outlineLevel="0" collapsed="false"/>
    <row r="4313" customFormat="false" ht="11.25" hidden="false" customHeight="true" outlineLevel="0" collapsed="false"/>
    <row r="4314" customFormat="false" ht="11.25" hidden="false" customHeight="true" outlineLevel="0" collapsed="false"/>
    <row r="4315" customFormat="false" ht="11.25" hidden="false" customHeight="true" outlineLevel="0" collapsed="false"/>
    <row r="4316" customFormat="false" ht="11.25" hidden="false" customHeight="true" outlineLevel="0" collapsed="false"/>
    <row r="4317" customFormat="false" ht="11.25" hidden="false" customHeight="true" outlineLevel="0" collapsed="false"/>
    <row r="4318" customFormat="false" ht="11.25" hidden="false" customHeight="true" outlineLevel="0" collapsed="false"/>
    <row r="4319" customFormat="false" ht="11.25" hidden="false" customHeight="true" outlineLevel="0" collapsed="false"/>
    <row r="4320" customFormat="false" ht="11.25" hidden="false" customHeight="true" outlineLevel="0" collapsed="false"/>
    <row r="4321" customFormat="false" ht="11.25" hidden="false" customHeight="true" outlineLevel="0" collapsed="false"/>
    <row r="4322" customFormat="false" ht="11.25" hidden="false" customHeight="true" outlineLevel="0" collapsed="false"/>
    <row r="4323" customFormat="false" ht="11.25" hidden="false" customHeight="true" outlineLevel="0" collapsed="false"/>
    <row r="4324" customFormat="false" ht="11.25" hidden="false" customHeight="true" outlineLevel="0" collapsed="false"/>
    <row r="4325" customFormat="false" ht="11.25" hidden="false" customHeight="true" outlineLevel="0" collapsed="false"/>
    <row r="4326" customFormat="false" ht="11.25" hidden="false" customHeight="true" outlineLevel="0" collapsed="false"/>
    <row r="4327" customFormat="false" ht="11.25" hidden="false" customHeight="true" outlineLevel="0" collapsed="false"/>
    <row r="4328" customFormat="false" ht="11.25" hidden="false" customHeight="true" outlineLevel="0" collapsed="false"/>
    <row r="4329" customFormat="false" ht="11.25" hidden="false" customHeight="true" outlineLevel="0" collapsed="false"/>
    <row r="4330" customFormat="false" ht="11.25" hidden="false" customHeight="true" outlineLevel="0" collapsed="false"/>
    <row r="4331" customFormat="false" ht="11.25" hidden="false" customHeight="true" outlineLevel="0" collapsed="false"/>
    <row r="4332" customFormat="false" ht="11.25" hidden="false" customHeight="true" outlineLevel="0" collapsed="false"/>
    <row r="4333" customFormat="false" ht="11.25" hidden="false" customHeight="true" outlineLevel="0" collapsed="false"/>
    <row r="4334" customFormat="false" ht="11.25" hidden="false" customHeight="true" outlineLevel="0" collapsed="false"/>
    <row r="4335" customFormat="false" ht="11.25" hidden="false" customHeight="true" outlineLevel="0" collapsed="false"/>
    <row r="4336" customFormat="false" ht="11.25" hidden="false" customHeight="true" outlineLevel="0" collapsed="false"/>
    <row r="4337" customFormat="false" ht="11.25" hidden="false" customHeight="true" outlineLevel="0" collapsed="false"/>
    <row r="4338" customFormat="false" ht="11.25" hidden="false" customHeight="true" outlineLevel="0" collapsed="false"/>
    <row r="4339" customFormat="false" ht="11.25" hidden="false" customHeight="true" outlineLevel="0" collapsed="false"/>
    <row r="4340" customFormat="false" ht="11.25" hidden="false" customHeight="true" outlineLevel="0" collapsed="false"/>
    <row r="4341" customFormat="false" ht="11.25" hidden="false" customHeight="true" outlineLevel="0" collapsed="false"/>
    <row r="4342" customFormat="false" ht="11.25" hidden="false" customHeight="true" outlineLevel="0" collapsed="false"/>
    <row r="4343" customFormat="false" ht="11.25" hidden="false" customHeight="true" outlineLevel="0" collapsed="false"/>
    <row r="4344" customFormat="false" ht="11.25" hidden="false" customHeight="true" outlineLevel="0" collapsed="false"/>
    <row r="4345" customFormat="false" ht="11.25" hidden="false" customHeight="true" outlineLevel="0" collapsed="false"/>
    <row r="4346" customFormat="false" ht="11.25" hidden="false" customHeight="true" outlineLevel="0" collapsed="false"/>
    <row r="4347" customFormat="false" ht="11.25" hidden="false" customHeight="true" outlineLevel="0" collapsed="false"/>
    <row r="4348" customFormat="false" ht="11.25" hidden="false" customHeight="true" outlineLevel="0" collapsed="false"/>
    <row r="4349" customFormat="false" ht="11.25" hidden="false" customHeight="true" outlineLevel="0" collapsed="false"/>
    <row r="4350" customFormat="false" ht="11.25" hidden="false" customHeight="true" outlineLevel="0" collapsed="false"/>
    <row r="4351" customFormat="false" ht="11.25" hidden="false" customHeight="true" outlineLevel="0" collapsed="false"/>
    <row r="4352" customFormat="false" ht="11.25" hidden="false" customHeight="true" outlineLevel="0" collapsed="false"/>
    <row r="4353" customFormat="false" ht="11.25" hidden="false" customHeight="true" outlineLevel="0" collapsed="false"/>
    <row r="4354" customFormat="false" ht="11.25" hidden="false" customHeight="true" outlineLevel="0" collapsed="false"/>
    <row r="4355" customFormat="false" ht="11.25" hidden="false" customHeight="true" outlineLevel="0" collapsed="false"/>
    <row r="4356" customFormat="false" ht="11.25" hidden="false" customHeight="true" outlineLevel="0" collapsed="false"/>
    <row r="4357" customFormat="false" ht="11.25" hidden="false" customHeight="true" outlineLevel="0" collapsed="false"/>
    <row r="4358" customFormat="false" ht="11.25" hidden="false" customHeight="true" outlineLevel="0" collapsed="false"/>
    <row r="4359" customFormat="false" ht="11.25" hidden="false" customHeight="true" outlineLevel="0" collapsed="false"/>
    <row r="4360" customFormat="false" ht="11.25" hidden="false" customHeight="true" outlineLevel="0" collapsed="false"/>
    <row r="4361" customFormat="false" ht="11.25" hidden="false" customHeight="true" outlineLevel="0" collapsed="false"/>
    <row r="4362" customFormat="false" ht="11.25" hidden="false" customHeight="true" outlineLevel="0" collapsed="false"/>
    <row r="4363" customFormat="false" ht="11.25" hidden="false" customHeight="true" outlineLevel="0" collapsed="false"/>
    <row r="4364" customFormat="false" ht="11.25" hidden="false" customHeight="true" outlineLevel="0" collapsed="false"/>
    <row r="4365" customFormat="false" ht="11.25" hidden="false" customHeight="true" outlineLevel="0" collapsed="false"/>
    <row r="4366" customFormat="false" ht="11.25" hidden="false" customHeight="true" outlineLevel="0" collapsed="false"/>
    <row r="4367" customFormat="false" ht="11.25" hidden="false" customHeight="true" outlineLevel="0" collapsed="false"/>
    <row r="4368" customFormat="false" ht="11.25" hidden="false" customHeight="true" outlineLevel="0" collapsed="false"/>
    <row r="4369" customFormat="false" ht="11.25" hidden="false" customHeight="true" outlineLevel="0" collapsed="false"/>
    <row r="4370" customFormat="false" ht="11.25" hidden="false" customHeight="true" outlineLevel="0" collapsed="false"/>
    <row r="4371" customFormat="false" ht="11.25" hidden="false" customHeight="true" outlineLevel="0" collapsed="false"/>
    <row r="4372" customFormat="false" ht="11.25" hidden="false" customHeight="true" outlineLevel="0" collapsed="false"/>
    <row r="4373" customFormat="false" ht="11.25" hidden="false" customHeight="true" outlineLevel="0" collapsed="false"/>
    <row r="4374" customFormat="false" ht="11.25" hidden="false" customHeight="true" outlineLevel="0" collapsed="false"/>
    <row r="4375" customFormat="false" ht="11.25" hidden="false" customHeight="true" outlineLevel="0" collapsed="false"/>
    <row r="4376" customFormat="false" ht="11.25" hidden="false" customHeight="true" outlineLevel="0" collapsed="false"/>
    <row r="4377" customFormat="false" ht="11.25" hidden="false" customHeight="true" outlineLevel="0" collapsed="false"/>
    <row r="4378" customFormat="false" ht="11.25" hidden="false" customHeight="true" outlineLevel="0" collapsed="false"/>
    <row r="4379" customFormat="false" ht="11.25" hidden="false" customHeight="true" outlineLevel="0" collapsed="false"/>
    <row r="4380" customFormat="false" ht="11.25" hidden="false" customHeight="true" outlineLevel="0" collapsed="false"/>
    <row r="4381" customFormat="false" ht="11.25" hidden="false" customHeight="true" outlineLevel="0" collapsed="false"/>
    <row r="4382" customFormat="false" ht="11.25" hidden="false" customHeight="true" outlineLevel="0" collapsed="false"/>
    <row r="4383" customFormat="false" ht="11.25" hidden="false" customHeight="true" outlineLevel="0" collapsed="false"/>
    <row r="4384" customFormat="false" ht="11.25" hidden="false" customHeight="true" outlineLevel="0" collapsed="false"/>
    <row r="4385" customFormat="false" ht="11.25" hidden="false" customHeight="true" outlineLevel="0" collapsed="false"/>
    <row r="4386" customFormat="false" ht="11.25" hidden="false" customHeight="true" outlineLevel="0" collapsed="false"/>
    <row r="4387" customFormat="false" ht="11.25" hidden="false" customHeight="true" outlineLevel="0" collapsed="false"/>
    <row r="4388" customFormat="false" ht="11.25" hidden="false" customHeight="true" outlineLevel="0" collapsed="false"/>
    <row r="4389" customFormat="false" ht="11.25" hidden="false" customHeight="true" outlineLevel="0" collapsed="false"/>
    <row r="4390" customFormat="false" ht="11.25" hidden="false" customHeight="true" outlineLevel="0" collapsed="false"/>
    <row r="4391" customFormat="false" ht="11.25" hidden="false" customHeight="true" outlineLevel="0" collapsed="false"/>
    <row r="4392" customFormat="false" ht="11.25" hidden="false" customHeight="true" outlineLevel="0" collapsed="false"/>
    <row r="4393" customFormat="false" ht="11.25" hidden="false" customHeight="true" outlineLevel="0" collapsed="false"/>
    <row r="4394" customFormat="false" ht="11.25" hidden="false" customHeight="true" outlineLevel="0" collapsed="false"/>
    <row r="4395" customFormat="false" ht="11.25" hidden="false" customHeight="true" outlineLevel="0" collapsed="false"/>
    <row r="4396" customFormat="false" ht="11.25" hidden="false" customHeight="true" outlineLevel="0" collapsed="false"/>
    <row r="4397" customFormat="false" ht="11.25" hidden="false" customHeight="true" outlineLevel="0" collapsed="false"/>
    <row r="4398" customFormat="false" ht="11.25" hidden="false" customHeight="true" outlineLevel="0" collapsed="false"/>
    <row r="4399" customFormat="false" ht="11.25" hidden="false" customHeight="true" outlineLevel="0" collapsed="false"/>
    <row r="4400" customFormat="false" ht="11.25" hidden="false" customHeight="true" outlineLevel="0" collapsed="false"/>
    <row r="4401" customFormat="false" ht="11.25" hidden="false" customHeight="true" outlineLevel="0" collapsed="false"/>
    <row r="4402" customFormat="false" ht="11.25" hidden="false" customHeight="true" outlineLevel="0" collapsed="false"/>
    <row r="4403" customFormat="false" ht="11.25" hidden="false" customHeight="true" outlineLevel="0" collapsed="false"/>
    <row r="4404" customFormat="false" ht="11.25" hidden="false" customHeight="true" outlineLevel="0" collapsed="false"/>
    <row r="4405" customFormat="false" ht="11.25" hidden="false" customHeight="true" outlineLevel="0" collapsed="false"/>
    <row r="4406" customFormat="false" ht="11.25" hidden="false" customHeight="true" outlineLevel="0" collapsed="false"/>
    <row r="4407" customFormat="false" ht="11.25" hidden="false" customHeight="true" outlineLevel="0" collapsed="false"/>
    <row r="4408" customFormat="false" ht="11.25" hidden="false" customHeight="true" outlineLevel="0" collapsed="false"/>
    <row r="4409" customFormat="false" ht="11.25" hidden="false" customHeight="true" outlineLevel="0" collapsed="false"/>
    <row r="4410" customFormat="false" ht="11.25" hidden="false" customHeight="true" outlineLevel="0" collapsed="false"/>
    <row r="4411" customFormat="false" ht="11.25" hidden="false" customHeight="true" outlineLevel="0" collapsed="false"/>
    <row r="4412" customFormat="false" ht="11.25" hidden="false" customHeight="true" outlineLevel="0" collapsed="false"/>
    <row r="4413" customFormat="false" ht="11.25" hidden="false" customHeight="true" outlineLevel="0" collapsed="false"/>
    <row r="4414" customFormat="false" ht="11.25" hidden="false" customHeight="true" outlineLevel="0" collapsed="false"/>
    <row r="4415" customFormat="false" ht="11.25" hidden="false" customHeight="true" outlineLevel="0" collapsed="false"/>
    <row r="4416" customFormat="false" ht="11.25" hidden="false" customHeight="true" outlineLevel="0" collapsed="false"/>
    <row r="4417" customFormat="false" ht="11.25" hidden="false" customHeight="true" outlineLevel="0" collapsed="false"/>
    <row r="4418" customFormat="false" ht="11.25" hidden="false" customHeight="true" outlineLevel="0" collapsed="false"/>
    <row r="4419" customFormat="false" ht="11.25" hidden="false" customHeight="true" outlineLevel="0" collapsed="false"/>
    <row r="4420" customFormat="false" ht="11.25" hidden="false" customHeight="true" outlineLevel="0" collapsed="false"/>
    <row r="4421" customFormat="false" ht="11.25" hidden="false" customHeight="true" outlineLevel="0" collapsed="false"/>
    <row r="4422" customFormat="false" ht="11.25" hidden="false" customHeight="true" outlineLevel="0" collapsed="false"/>
    <row r="4423" customFormat="false" ht="11.25" hidden="false" customHeight="true" outlineLevel="0" collapsed="false"/>
    <row r="4424" customFormat="false" ht="11.25" hidden="false" customHeight="true" outlineLevel="0" collapsed="false"/>
    <row r="4425" customFormat="false" ht="11.25" hidden="false" customHeight="true" outlineLevel="0" collapsed="false"/>
    <row r="4426" customFormat="false" ht="11.25" hidden="false" customHeight="true" outlineLevel="0" collapsed="false"/>
    <row r="4427" customFormat="false" ht="11.25" hidden="false" customHeight="true" outlineLevel="0" collapsed="false"/>
    <row r="4428" customFormat="false" ht="11.25" hidden="false" customHeight="true" outlineLevel="0" collapsed="false"/>
    <row r="4429" customFormat="false" ht="11.25" hidden="false" customHeight="true" outlineLevel="0" collapsed="false"/>
    <row r="4430" customFormat="false" ht="11.25" hidden="false" customHeight="true" outlineLevel="0" collapsed="false"/>
    <row r="4431" customFormat="false" ht="11.25" hidden="false" customHeight="true" outlineLevel="0" collapsed="false"/>
    <row r="4432" customFormat="false" ht="11.25" hidden="false" customHeight="true" outlineLevel="0" collapsed="false"/>
    <row r="4433" customFormat="false" ht="11.25" hidden="false" customHeight="true" outlineLevel="0" collapsed="false"/>
    <row r="4434" customFormat="false" ht="11.25" hidden="false" customHeight="true" outlineLevel="0" collapsed="false"/>
    <row r="4435" customFormat="false" ht="11.25" hidden="false" customHeight="true" outlineLevel="0" collapsed="false"/>
    <row r="4436" customFormat="false" ht="11.25" hidden="false" customHeight="true" outlineLevel="0" collapsed="false"/>
    <row r="4437" customFormat="false" ht="11.25" hidden="false" customHeight="true" outlineLevel="0" collapsed="false"/>
    <row r="4438" customFormat="false" ht="11.25" hidden="false" customHeight="true" outlineLevel="0" collapsed="false"/>
    <row r="4439" customFormat="false" ht="11.25" hidden="false" customHeight="true" outlineLevel="0" collapsed="false"/>
    <row r="4440" customFormat="false" ht="11.25" hidden="false" customHeight="true" outlineLevel="0" collapsed="false"/>
    <row r="4441" customFormat="false" ht="11.25" hidden="false" customHeight="true" outlineLevel="0" collapsed="false"/>
    <row r="4442" customFormat="false" ht="11.25" hidden="false" customHeight="true" outlineLevel="0" collapsed="false"/>
    <row r="4443" customFormat="false" ht="11.25" hidden="false" customHeight="true" outlineLevel="0" collapsed="false"/>
    <row r="4444" customFormat="false" ht="11.25" hidden="false" customHeight="true" outlineLevel="0" collapsed="false"/>
    <row r="4445" customFormat="false" ht="11.25" hidden="false" customHeight="true" outlineLevel="0" collapsed="false"/>
    <row r="4446" customFormat="false" ht="11.25" hidden="false" customHeight="true" outlineLevel="0" collapsed="false"/>
    <row r="4447" customFormat="false" ht="11.25" hidden="false" customHeight="true" outlineLevel="0" collapsed="false"/>
    <row r="4448" customFormat="false" ht="11.25" hidden="false" customHeight="true" outlineLevel="0" collapsed="false"/>
    <row r="4449" customFormat="false" ht="11.25" hidden="false" customHeight="true" outlineLevel="0" collapsed="false"/>
    <row r="4450" customFormat="false" ht="11.25" hidden="false" customHeight="true" outlineLevel="0" collapsed="false"/>
    <row r="4451" customFormat="false" ht="11.25" hidden="false" customHeight="true" outlineLevel="0" collapsed="false"/>
    <row r="4452" customFormat="false" ht="11.25" hidden="false" customHeight="true" outlineLevel="0" collapsed="false"/>
    <row r="4453" customFormat="false" ht="11.25" hidden="false" customHeight="true" outlineLevel="0" collapsed="false"/>
    <row r="4454" customFormat="false" ht="11.25" hidden="false" customHeight="true" outlineLevel="0" collapsed="false"/>
    <row r="4455" customFormat="false" ht="11.25" hidden="false" customHeight="true" outlineLevel="0" collapsed="false"/>
    <row r="4456" customFormat="false" ht="11.25" hidden="false" customHeight="true" outlineLevel="0" collapsed="false"/>
    <row r="4457" customFormat="false" ht="11.25" hidden="false" customHeight="true" outlineLevel="0" collapsed="false"/>
    <row r="4458" customFormat="false" ht="11.25" hidden="false" customHeight="true" outlineLevel="0" collapsed="false"/>
    <row r="4459" customFormat="false" ht="11.25" hidden="false" customHeight="true" outlineLevel="0" collapsed="false"/>
    <row r="4460" customFormat="false" ht="11.25" hidden="false" customHeight="true" outlineLevel="0" collapsed="false"/>
    <row r="4461" customFormat="false" ht="11.25" hidden="false" customHeight="true" outlineLevel="0" collapsed="false"/>
    <row r="4462" customFormat="false" ht="11.25" hidden="false" customHeight="true" outlineLevel="0" collapsed="false"/>
    <row r="4463" customFormat="false" ht="11.25" hidden="false" customHeight="true" outlineLevel="0" collapsed="false"/>
    <row r="4464" customFormat="false" ht="11.25" hidden="false" customHeight="true" outlineLevel="0" collapsed="false"/>
    <row r="4465" customFormat="false" ht="11.25" hidden="false" customHeight="true" outlineLevel="0" collapsed="false"/>
    <row r="4466" customFormat="false" ht="11.25" hidden="false" customHeight="true" outlineLevel="0" collapsed="false"/>
    <row r="4467" customFormat="false" ht="11.25" hidden="false" customHeight="true" outlineLevel="0" collapsed="false"/>
    <row r="4468" customFormat="false" ht="11.25" hidden="false" customHeight="true" outlineLevel="0" collapsed="false"/>
    <row r="4469" customFormat="false" ht="11.25" hidden="false" customHeight="true" outlineLevel="0" collapsed="false"/>
    <row r="4470" customFormat="false" ht="11.25" hidden="false" customHeight="true" outlineLevel="0" collapsed="false"/>
    <row r="4471" customFormat="false" ht="11.25" hidden="false" customHeight="true" outlineLevel="0" collapsed="false"/>
    <row r="4472" customFormat="false" ht="11.25" hidden="false" customHeight="true" outlineLevel="0" collapsed="false"/>
    <row r="4473" customFormat="false" ht="11.25" hidden="false" customHeight="true" outlineLevel="0" collapsed="false"/>
    <row r="4474" customFormat="false" ht="11.25" hidden="false" customHeight="true" outlineLevel="0" collapsed="false"/>
    <row r="4475" customFormat="false" ht="11.25" hidden="false" customHeight="true" outlineLevel="0" collapsed="false"/>
    <row r="4476" customFormat="false" ht="11.25" hidden="false" customHeight="true" outlineLevel="0" collapsed="false"/>
    <row r="4477" customFormat="false" ht="11.25" hidden="false" customHeight="true" outlineLevel="0" collapsed="false"/>
    <row r="4478" customFormat="false" ht="11.25" hidden="false" customHeight="true" outlineLevel="0" collapsed="false"/>
    <row r="4479" customFormat="false" ht="11.25" hidden="false" customHeight="true" outlineLevel="0" collapsed="false"/>
    <row r="4480" customFormat="false" ht="11.25" hidden="false" customHeight="true" outlineLevel="0" collapsed="false"/>
    <row r="4481" customFormat="false" ht="11.25" hidden="false" customHeight="true" outlineLevel="0" collapsed="false"/>
    <row r="4482" customFormat="false" ht="11.25" hidden="false" customHeight="true" outlineLevel="0" collapsed="false"/>
    <row r="4483" customFormat="false" ht="11.25" hidden="false" customHeight="true" outlineLevel="0" collapsed="false"/>
    <row r="4484" customFormat="false" ht="11.25" hidden="false" customHeight="true" outlineLevel="0" collapsed="false"/>
    <row r="4485" customFormat="false" ht="11.25" hidden="false" customHeight="true" outlineLevel="0" collapsed="false"/>
    <row r="4486" customFormat="false" ht="11.25" hidden="false" customHeight="true" outlineLevel="0" collapsed="false"/>
    <row r="4487" customFormat="false" ht="11.25" hidden="false" customHeight="true" outlineLevel="0" collapsed="false"/>
    <row r="4488" customFormat="false" ht="11.25" hidden="false" customHeight="true" outlineLevel="0" collapsed="false"/>
    <row r="4489" customFormat="false" ht="11.25" hidden="false" customHeight="true" outlineLevel="0" collapsed="false"/>
    <row r="4490" customFormat="false" ht="11.25" hidden="false" customHeight="true" outlineLevel="0" collapsed="false"/>
    <row r="4491" customFormat="false" ht="11.25" hidden="false" customHeight="true" outlineLevel="0" collapsed="false"/>
    <row r="4492" customFormat="false" ht="11.25" hidden="false" customHeight="true" outlineLevel="0" collapsed="false"/>
    <row r="4493" customFormat="false" ht="11.25" hidden="false" customHeight="true" outlineLevel="0" collapsed="false"/>
    <row r="4494" customFormat="false" ht="11.25" hidden="false" customHeight="true" outlineLevel="0" collapsed="false"/>
    <row r="4495" customFormat="false" ht="11.25" hidden="false" customHeight="true" outlineLevel="0" collapsed="false"/>
    <row r="4496" customFormat="false" ht="11.25" hidden="false" customHeight="true" outlineLevel="0" collapsed="false"/>
    <row r="4497" customFormat="false" ht="11.25" hidden="false" customHeight="true" outlineLevel="0" collapsed="false"/>
    <row r="4498" customFormat="false" ht="11.25" hidden="false" customHeight="true" outlineLevel="0" collapsed="false"/>
    <row r="4499" customFormat="false" ht="11.25" hidden="false" customHeight="true" outlineLevel="0" collapsed="false"/>
    <row r="4500" customFormat="false" ht="11.25" hidden="false" customHeight="true" outlineLevel="0" collapsed="false"/>
    <row r="4501" customFormat="false" ht="11.25" hidden="false" customHeight="true" outlineLevel="0" collapsed="false"/>
    <row r="4502" customFormat="false" ht="11.25" hidden="false" customHeight="true" outlineLevel="0" collapsed="false"/>
    <row r="4503" customFormat="false" ht="11.25" hidden="false" customHeight="true" outlineLevel="0" collapsed="false"/>
    <row r="4504" customFormat="false" ht="11.25" hidden="false" customHeight="true" outlineLevel="0" collapsed="false"/>
    <row r="4505" customFormat="false" ht="11.25" hidden="false" customHeight="true" outlineLevel="0" collapsed="false"/>
    <row r="4506" customFormat="false" ht="11.25" hidden="false" customHeight="true" outlineLevel="0" collapsed="false"/>
    <row r="4507" customFormat="false" ht="11.25" hidden="false" customHeight="true" outlineLevel="0" collapsed="false"/>
    <row r="4508" customFormat="false" ht="11.25" hidden="false" customHeight="true" outlineLevel="0" collapsed="false"/>
    <row r="4509" customFormat="false" ht="11.25" hidden="false" customHeight="true" outlineLevel="0" collapsed="false"/>
    <row r="4510" customFormat="false" ht="11.25" hidden="false" customHeight="true" outlineLevel="0" collapsed="false"/>
    <row r="4511" customFormat="false" ht="11.25" hidden="false" customHeight="true" outlineLevel="0" collapsed="false"/>
    <row r="4512" customFormat="false" ht="11.25" hidden="false" customHeight="true" outlineLevel="0" collapsed="false"/>
    <row r="4513" customFormat="false" ht="11.25" hidden="false" customHeight="true" outlineLevel="0" collapsed="false"/>
    <row r="4514" customFormat="false" ht="11.25" hidden="false" customHeight="true" outlineLevel="0" collapsed="false"/>
    <row r="4515" customFormat="false" ht="11.25" hidden="false" customHeight="true" outlineLevel="0" collapsed="false"/>
    <row r="4516" customFormat="false" ht="11.25" hidden="false" customHeight="true" outlineLevel="0" collapsed="false"/>
    <row r="4517" customFormat="false" ht="11.25" hidden="false" customHeight="true" outlineLevel="0" collapsed="false"/>
    <row r="4518" customFormat="false" ht="11.25" hidden="false" customHeight="true" outlineLevel="0" collapsed="false"/>
    <row r="4519" customFormat="false" ht="11.25" hidden="false" customHeight="true" outlineLevel="0" collapsed="false"/>
    <row r="4520" customFormat="false" ht="11.25" hidden="false" customHeight="true" outlineLevel="0" collapsed="false"/>
    <row r="4521" customFormat="false" ht="11.25" hidden="false" customHeight="true" outlineLevel="0" collapsed="false"/>
    <row r="4522" customFormat="false" ht="11.25" hidden="false" customHeight="true" outlineLevel="0" collapsed="false"/>
    <row r="4523" customFormat="false" ht="11.25" hidden="false" customHeight="true" outlineLevel="0" collapsed="false"/>
    <row r="4524" customFormat="false" ht="11.25" hidden="false" customHeight="true" outlineLevel="0" collapsed="false"/>
    <row r="4525" customFormat="false" ht="11.25" hidden="false" customHeight="true" outlineLevel="0" collapsed="false"/>
    <row r="4526" customFormat="false" ht="11.25" hidden="false" customHeight="true" outlineLevel="0" collapsed="false"/>
    <row r="4527" customFormat="false" ht="11.25" hidden="false" customHeight="true" outlineLevel="0" collapsed="false"/>
    <row r="4528" customFormat="false" ht="11.25" hidden="false" customHeight="true" outlineLevel="0" collapsed="false"/>
    <row r="4529" customFormat="false" ht="11.25" hidden="false" customHeight="true" outlineLevel="0" collapsed="false"/>
    <row r="4530" customFormat="false" ht="11.25" hidden="false" customHeight="true" outlineLevel="0" collapsed="false"/>
    <row r="4531" customFormat="false" ht="11.25" hidden="false" customHeight="true" outlineLevel="0" collapsed="false"/>
    <row r="4532" customFormat="false" ht="11.25" hidden="false" customHeight="true" outlineLevel="0" collapsed="false"/>
    <row r="4533" customFormat="false" ht="11.25" hidden="false" customHeight="true" outlineLevel="0" collapsed="false"/>
    <row r="4534" customFormat="false" ht="11.25" hidden="false" customHeight="true" outlineLevel="0" collapsed="false"/>
    <row r="4535" customFormat="false" ht="11.25" hidden="false" customHeight="true" outlineLevel="0" collapsed="false"/>
    <row r="4536" customFormat="false" ht="11.25" hidden="false" customHeight="true" outlineLevel="0" collapsed="false"/>
    <row r="4537" customFormat="false" ht="11.25" hidden="false" customHeight="true" outlineLevel="0" collapsed="false"/>
    <row r="4538" customFormat="false" ht="11.25" hidden="false" customHeight="true" outlineLevel="0" collapsed="false"/>
    <row r="4539" customFormat="false" ht="11.25" hidden="false" customHeight="true" outlineLevel="0" collapsed="false"/>
    <row r="4540" customFormat="false" ht="11.25" hidden="false" customHeight="true" outlineLevel="0" collapsed="false"/>
    <row r="4541" customFormat="false" ht="11.25" hidden="false" customHeight="true" outlineLevel="0" collapsed="false"/>
    <row r="4542" customFormat="false" ht="11.25" hidden="false" customHeight="true" outlineLevel="0" collapsed="false"/>
    <row r="4543" customFormat="false" ht="11.25" hidden="false" customHeight="true" outlineLevel="0" collapsed="false"/>
    <row r="4544" customFormat="false" ht="11.25" hidden="false" customHeight="true" outlineLevel="0" collapsed="false"/>
    <row r="4545" customFormat="false" ht="11.25" hidden="false" customHeight="true" outlineLevel="0" collapsed="false"/>
    <row r="4546" customFormat="false" ht="11.25" hidden="false" customHeight="true" outlineLevel="0" collapsed="false"/>
    <row r="4547" customFormat="false" ht="11.25" hidden="false" customHeight="true" outlineLevel="0" collapsed="false"/>
    <row r="4548" customFormat="false" ht="11.25" hidden="false" customHeight="true" outlineLevel="0" collapsed="false"/>
    <row r="4549" customFormat="false" ht="11.25" hidden="false" customHeight="true" outlineLevel="0" collapsed="false"/>
    <row r="4550" customFormat="false" ht="11.25" hidden="false" customHeight="true" outlineLevel="0" collapsed="false"/>
    <row r="4551" customFormat="false" ht="11.25" hidden="false" customHeight="true" outlineLevel="0" collapsed="false"/>
    <row r="4552" customFormat="false" ht="11.25" hidden="false" customHeight="true" outlineLevel="0" collapsed="false"/>
    <row r="4553" customFormat="false" ht="11.25" hidden="false" customHeight="true" outlineLevel="0" collapsed="false"/>
    <row r="4554" customFormat="false" ht="11.25" hidden="false" customHeight="true" outlineLevel="0" collapsed="false"/>
    <row r="4555" customFormat="false" ht="11.25" hidden="false" customHeight="true" outlineLevel="0" collapsed="false"/>
    <row r="4556" customFormat="false" ht="11.25" hidden="false" customHeight="true" outlineLevel="0" collapsed="false"/>
    <row r="4557" customFormat="false" ht="11.25" hidden="false" customHeight="true" outlineLevel="0" collapsed="false"/>
    <row r="4558" customFormat="false" ht="11.25" hidden="false" customHeight="true" outlineLevel="0" collapsed="false"/>
    <row r="4559" customFormat="false" ht="11.25" hidden="false" customHeight="true" outlineLevel="0" collapsed="false"/>
    <row r="4560" customFormat="false" ht="11.25" hidden="false" customHeight="true" outlineLevel="0" collapsed="false"/>
    <row r="4561" customFormat="false" ht="11.25" hidden="false" customHeight="true" outlineLevel="0" collapsed="false"/>
    <row r="4562" customFormat="false" ht="11.25" hidden="false" customHeight="true" outlineLevel="0" collapsed="false"/>
    <row r="4563" customFormat="false" ht="11.25" hidden="false" customHeight="true" outlineLevel="0" collapsed="false"/>
    <row r="4564" customFormat="false" ht="11.25" hidden="false" customHeight="true" outlineLevel="0" collapsed="false"/>
    <row r="4565" customFormat="false" ht="11.25" hidden="false" customHeight="true" outlineLevel="0" collapsed="false"/>
    <row r="4566" customFormat="false" ht="11.25" hidden="false" customHeight="true" outlineLevel="0" collapsed="false"/>
    <row r="4567" customFormat="false" ht="11.25" hidden="false" customHeight="true" outlineLevel="0" collapsed="false"/>
    <row r="4568" customFormat="false" ht="11.25" hidden="false" customHeight="true" outlineLevel="0" collapsed="false"/>
    <row r="4569" customFormat="false" ht="11.25" hidden="false" customHeight="true" outlineLevel="0" collapsed="false"/>
    <row r="4570" customFormat="false" ht="11.25" hidden="false" customHeight="true" outlineLevel="0" collapsed="false"/>
    <row r="4571" customFormat="false" ht="11.25" hidden="false" customHeight="true" outlineLevel="0" collapsed="false"/>
    <row r="4572" customFormat="false" ht="11.25" hidden="false" customHeight="true" outlineLevel="0" collapsed="false"/>
    <row r="4573" customFormat="false" ht="11.25" hidden="false" customHeight="true" outlineLevel="0" collapsed="false"/>
    <row r="4574" customFormat="false" ht="11.25" hidden="false" customHeight="true" outlineLevel="0" collapsed="false"/>
    <row r="4575" customFormat="false" ht="11.25" hidden="false" customHeight="true" outlineLevel="0" collapsed="false"/>
    <row r="4576" customFormat="false" ht="11.25" hidden="false" customHeight="true" outlineLevel="0" collapsed="false"/>
    <row r="4577" customFormat="false" ht="11.25" hidden="false" customHeight="true" outlineLevel="0" collapsed="false"/>
    <row r="4578" customFormat="false" ht="11.25" hidden="false" customHeight="true" outlineLevel="0" collapsed="false"/>
    <row r="4579" customFormat="false" ht="11.25" hidden="false" customHeight="true" outlineLevel="0" collapsed="false"/>
    <row r="4580" customFormat="false" ht="11.25" hidden="false" customHeight="true" outlineLevel="0" collapsed="false"/>
    <row r="4581" customFormat="false" ht="11.25" hidden="false" customHeight="true" outlineLevel="0" collapsed="false"/>
    <row r="4582" customFormat="false" ht="11.25" hidden="false" customHeight="true" outlineLevel="0" collapsed="false"/>
    <row r="4583" customFormat="false" ht="11.25" hidden="false" customHeight="true" outlineLevel="0" collapsed="false"/>
    <row r="4584" customFormat="false" ht="11.25" hidden="false" customHeight="true" outlineLevel="0" collapsed="false"/>
    <row r="4585" customFormat="false" ht="11.25" hidden="false" customHeight="true" outlineLevel="0" collapsed="false"/>
    <row r="4586" customFormat="false" ht="11.25" hidden="false" customHeight="true" outlineLevel="0" collapsed="false"/>
    <row r="4587" customFormat="false" ht="11.25" hidden="false" customHeight="true" outlineLevel="0" collapsed="false"/>
    <row r="4588" customFormat="false" ht="11.25" hidden="false" customHeight="true" outlineLevel="0" collapsed="false"/>
    <row r="4589" customFormat="false" ht="11.25" hidden="false" customHeight="true" outlineLevel="0" collapsed="false"/>
    <row r="4590" customFormat="false" ht="11.25" hidden="false" customHeight="true" outlineLevel="0" collapsed="false"/>
    <row r="4591" customFormat="false" ht="11.25" hidden="false" customHeight="true" outlineLevel="0" collapsed="false"/>
    <row r="4592" customFormat="false" ht="11.25" hidden="false" customHeight="true" outlineLevel="0" collapsed="false"/>
    <row r="4593" customFormat="false" ht="11.25" hidden="false" customHeight="true" outlineLevel="0" collapsed="false"/>
    <row r="4594" customFormat="false" ht="11.25" hidden="false" customHeight="true" outlineLevel="0" collapsed="false"/>
    <row r="4595" customFormat="false" ht="11.25" hidden="false" customHeight="true" outlineLevel="0" collapsed="false"/>
    <row r="4596" customFormat="false" ht="11.25" hidden="false" customHeight="true" outlineLevel="0" collapsed="false"/>
    <row r="4597" customFormat="false" ht="11.25" hidden="false" customHeight="true" outlineLevel="0" collapsed="false"/>
    <row r="4598" customFormat="false" ht="11.25" hidden="false" customHeight="true" outlineLevel="0" collapsed="false"/>
    <row r="4599" customFormat="false" ht="11.25" hidden="false" customHeight="true" outlineLevel="0" collapsed="false"/>
    <row r="4600" customFormat="false" ht="11.25" hidden="false" customHeight="true" outlineLevel="0" collapsed="false"/>
    <row r="4601" customFormat="false" ht="11.25" hidden="false" customHeight="true" outlineLevel="0" collapsed="false"/>
    <row r="4602" customFormat="false" ht="11.25" hidden="false" customHeight="true" outlineLevel="0" collapsed="false"/>
    <row r="4603" customFormat="false" ht="11.25" hidden="false" customHeight="true" outlineLevel="0" collapsed="false"/>
    <row r="4604" customFormat="false" ht="11.25" hidden="false" customHeight="true" outlineLevel="0" collapsed="false"/>
    <row r="4605" customFormat="false" ht="11.25" hidden="false" customHeight="true" outlineLevel="0" collapsed="false"/>
    <row r="4606" customFormat="false" ht="11.25" hidden="false" customHeight="true" outlineLevel="0" collapsed="false"/>
    <row r="4607" customFormat="false" ht="11.25" hidden="false" customHeight="true" outlineLevel="0" collapsed="false"/>
    <row r="4608" customFormat="false" ht="11.25" hidden="false" customHeight="true" outlineLevel="0" collapsed="false"/>
    <row r="4609" customFormat="false" ht="11.25" hidden="false" customHeight="true" outlineLevel="0" collapsed="false"/>
    <row r="4610" customFormat="false" ht="11.25" hidden="false" customHeight="true" outlineLevel="0" collapsed="false"/>
    <row r="4611" customFormat="false" ht="11.25" hidden="false" customHeight="true" outlineLevel="0" collapsed="false"/>
    <row r="4612" customFormat="false" ht="11.25" hidden="false" customHeight="true" outlineLevel="0" collapsed="false"/>
    <row r="4613" customFormat="false" ht="11.25" hidden="false" customHeight="true" outlineLevel="0" collapsed="false"/>
    <row r="4614" customFormat="false" ht="11.25" hidden="false" customHeight="true" outlineLevel="0" collapsed="false"/>
    <row r="4615" customFormat="false" ht="11.25" hidden="false" customHeight="true" outlineLevel="0" collapsed="false"/>
    <row r="4616" customFormat="false" ht="11.25" hidden="false" customHeight="true" outlineLevel="0" collapsed="false"/>
    <row r="4617" customFormat="false" ht="11.25" hidden="false" customHeight="true" outlineLevel="0" collapsed="false"/>
    <row r="4618" customFormat="false" ht="11.25" hidden="false" customHeight="true" outlineLevel="0" collapsed="false"/>
    <row r="4619" customFormat="false" ht="11.25" hidden="false" customHeight="true" outlineLevel="0" collapsed="false"/>
    <row r="4620" customFormat="false" ht="11.25" hidden="false" customHeight="true" outlineLevel="0" collapsed="false"/>
    <row r="4621" customFormat="false" ht="11.25" hidden="false" customHeight="true" outlineLevel="0" collapsed="false"/>
    <row r="4622" customFormat="false" ht="11.25" hidden="false" customHeight="true" outlineLevel="0" collapsed="false"/>
    <row r="4623" customFormat="false" ht="11.25" hidden="false" customHeight="true" outlineLevel="0" collapsed="false"/>
    <row r="4624" customFormat="false" ht="11.25" hidden="false" customHeight="true" outlineLevel="0" collapsed="false"/>
    <row r="4625" customFormat="false" ht="11.25" hidden="false" customHeight="true" outlineLevel="0" collapsed="false"/>
    <row r="4626" customFormat="false" ht="11.25" hidden="false" customHeight="true" outlineLevel="0" collapsed="false"/>
    <row r="4627" customFormat="false" ht="11.25" hidden="false" customHeight="true" outlineLevel="0" collapsed="false"/>
    <row r="4628" customFormat="false" ht="11.25" hidden="false" customHeight="true" outlineLevel="0" collapsed="false"/>
    <row r="4629" customFormat="false" ht="11.25" hidden="false" customHeight="true" outlineLevel="0" collapsed="false"/>
    <row r="4630" customFormat="false" ht="11.25" hidden="false" customHeight="true" outlineLevel="0" collapsed="false"/>
    <row r="4631" customFormat="false" ht="11.25" hidden="false" customHeight="true" outlineLevel="0" collapsed="false"/>
    <row r="4632" customFormat="false" ht="11.25" hidden="false" customHeight="true" outlineLevel="0" collapsed="false"/>
    <row r="4633" customFormat="false" ht="11.25" hidden="false" customHeight="true" outlineLevel="0" collapsed="false"/>
    <row r="4634" customFormat="false" ht="11.25" hidden="false" customHeight="true" outlineLevel="0" collapsed="false"/>
    <row r="4635" customFormat="false" ht="11.25" hidden="false" customHeight="true" outlineLevel="0" collapsed="false"/>
    <row r="4636" customFormat="false" ht="11.25" hidden="false" customHeight="true" outlineLevel="0" collapsed="false"/>
    <row r="4637" customFormat="false" ht="11.25" hidden="false" customHeight="true" outlineLevel="0" collapsed="false"/>
    <row r="4638" customFormat="false" ht="11.25" hidden="false" customHeight="true" outlineLevel="0" collapsed="false"/>
    <row r="4639" customFormat="false" ht="11.25" hidden="false" customHeight="true" outlineLevel="0" collapsed="false"/>
    <row r="4640" customFormat="false" ht="11.25" hidden="false" customHeight="true" outlineLevel="0" collapsed="false"/>
    <row r="4641" customFormat="false" ht="11.25" hidden="false" customHeight="true" outlineLevel="0" collapsed="false"/>
    <row r="4642" customFormat="false" ht="11.25" hidden="false" customHeight="true" outlineLevel="0" collapsed="false"/>
    <row r="4643" customFormat="false" ht="11.25" hidden="false" customHeight="true" outlineLevel="0" collapsed="false"/>
    <row r="4644" customFormat="false" ht="11.25" hidden="false" customHeight="true" outlineLevel="0" collapsed="false"/>
    <row r="4645" customFormat="false" ht="11.25" hidden="false" customHeight="true" outlineLevel="0" collapsed="false"/>
    <row r="4646" customFormat="false" ht="11.25" hidden="false" customHeight="true" outlineLevel="0" collapsed="false"/>
    <row r="4647" customFormat="false" ht="11.25" hidden="false" customHeight="true" outlineLevel="0" collapsed="false"/>
    <row r="4648" customFormat="false" ht="11.25" hidden="false" customHeight="true" outlineLevel="0" collapsed="false"/>
    <row r="4649" customFormat="false" ht="11.25" hidden="false" customHeight="true" outlineLevel="0" collapsed="false"/>
    <row r="4650" customFormat="false" ht="11.25" hidden="false" customHeight="true" outlineLevel="0" collapsed="false"/>
    <row r="4651" customFormat="false" ht="11.25" hidden="false" customHeight="true" outlineLevel="0" collapsed="false"/>
    <row r="4652" customFormat="false" ht="11.25" hidden="false" customHeight="true" outlineLevel="0" collapsed="false"/>
    <row r="4653" customFormat="false" ht="11.25" hidden="false" customHeight="true" outlineLevel="0" collapsed="false"/>
    <row r="4654" customFormat="false" ht="11.25" hidden="false" customHeight="true" outlineLevel="0" collapsed="false"/>
    <row r="4655" customFormat="false" ht="11.25" hidden="false" customHeight="true" outlineLevel="0" collapsed="false"/>
    <row r="4656" customFormat="false" ht="11.25" hidden="false" customHeight="true" outlineLevel="0" collapsed="false"/>
    <row r="4657" customFormat="false" ht="11.25" hidden="false" customHeight="true" outlineLevel="0" collapsed="false"/>
    <row r="4658" customFormat="false" ht="11.25" hidden="false" customHeight="true" outlineLevel="0" collapsed="false"/>
    <row r="4659" customFormat="false" ht="11.25" hidden="false" customHeight="true" outlineLevel="0" collapsed="false"/>
    <row r="4660" customFormat="false" ht="11.25" hidden="false" customHeight="true" outlineLevel="0" collapsed="false"/>
    <row r="4661" customFormat="false" ht="11.25" hidden="false" customHeight="true" outlineLevel="0" collapsed="false"/>
    <row r="4662" customFormat="false" ht="11.25" hidden="false" customHeight="true" outlineLevel="0" collapsed="false"/>
    <row r="4663" customFormat="false" ht="11.25" hidden="false" customHeight="true" outlineLevel="0" collapsed="false"/>
    <row r="4664" customFormat="false" ht="11.25" hidden="false" customHeight="true" outlineLevel="0" collapsed="false"/>
    <row r="4665" customFormat="false" ht="11.25" hidden="false" customHeight="true" outlineLevel="0" collapsed="false"/>
    <row r="4666" customFormat="false" ht="11.25" hidden="false" customHeight="true" outlineLevel="0" collapsed="false"/>
    <row r="4667" customFormat="false" ht="11.25" hidden="false" customHeight="true" outlineLevel="0" collapsed="false"/>
    <row r="4668" customFormat="false" ht="11.25" hidden="false" customHeight="true" outlineLevel="0" collapsed="false"/>
    <row r="4669" customFormat="false" ht="11.25" hidden="false" customHeight="true" outlineLevel="0" collapsed="false"/>
    <row r="4670" customFormat="false" ht="11.25" hidden="false" customHeight="true" outlineLevel="0" collapsed="false"/>
    <row r="4671" customFormat="false" ht="11.25" hidden="false" customHeight="true" outlineLevel="0" collapsed="false"/>
    <row r="4672" customFormat="false" ht="11.25" hidden="false" customHeight="true" outlineLevel="0" collapsed="false"/>
    <row r="4673" customFormat="false" ht="11.25" hidden="false" customHeight="true" outlineLevel="0" collapsed="false"/>
    <row r="4674" customFormat="false" ht="11.25" hidden="false" customHeight="true" outlineLevel="0" collapsed="false"/>
    <row r="4675" customFormat="false" ht="11.25" hidden="false" customHeight="true" outlineLevel="0" collapsed="false"/>
    <row r="4676" customFormat="false" ht="11.25" hidden="false" customHeight="true" outlineLevel="0" collapsed="false"/>
    <row r="4677" customFormat="false" ht="11.25" hidden="false" customHeight="true" outlineLevel="0" collapsed="false"/>
    <row r="4678" customFormat="false" ht="11.25" hidden="false" customHeight="true" outlineLevel="0" collapsed="false"/>
    <row r="4679" customFormat="false" ht="11.25" hidden="false" customHeight="true" outlineLevel="0" collapsed="false"/>
    <row r="4680" customFormat="false" ht="11.25" hidden="false" customHeight="true" outlineLevel="0" collapsed="false"/>
    <row r="4681" customFormat="false" ht="11.25" hidden="false" customHeight="true" outlineLevel="0" collapsed="false"/>
    <row r="4682" customFormat="false" ht="11.25" hidden="false" customHeight="true" outlineLevel="0" collapsed="false"/>
    <row r="4683" customFormat="false" ht="11.25" hidden="false" customHeight="true" outlineLevel="0" collapsed="false"/>
    <row r="4684" customFormat="false" ht="11.25" hidden="false" customHeight="true" outlineLevel="0" collapsed="false"/>
    <row r="4685" customFormat="false" ht="11.25" hidden="false" customHeight="true" outlineLevel="0" collapsed="false"/>
    <row r="4686" customFormat="false" ht="11.25" hidden="false" customHeight="true" outlineLevel="0" collapsed="false"/>
    <row r="4687" customFormat="false" ht="11.25" hidden="false" customHeight="true" outlineLevel="0" collapsed="false"/>
    <row r="4688" customFormat="false" ht="11.25" hidden="false" customHeight="true" outlineLevel="0" collapsed="false"/>
    <row r="4689" customFormat="false" ht="11.25" hidden="false" customHeight="true" outlineLevel="0" collapsed="false"/>
    <row r="4690" customFormat="false" ht="11.25" hidden="false" customHeight="true" outlineLevel="0" collapsed="false"/>
    <row r="4691" customFormat="false" ht="11.25" hidden="false" customHeight="true" outlineLevel="0" collapsed="false"/>
    <row r="4692" customFormat="false" ht="11.25" hidden="false" customHeight="true" outlineLevel="0" collapsed="false"/>
    <row r="4693" customFormat="false" ht="11.25" hidden="false" customHeight="true" outlineLevel="0" collapsed="false"/>
    <row r="4694" customFormat="false" ht="11.25" hidden="false" customHeight="true" outlineLevel="0" collapsed="false"/>
    <row r="4695" customFormat="false" ht="11.25" hidden="false" customHeight="true" outlineLevel="0" collapsed="false"/>
    <row r="4696" customFormat="false" ht="11.25" hidden="false" customHeight="true" outlineLevel="0" collapsed="false"/>
    <row r="4697" customFormat="false" ht="11.25" hidden="false" customHeight="true" outlineLevel="0" collapsed="false"/>
    <row r="4698" customFormat="false" ht="11.25" hidden="false" customHeight="true" outlineLevel="0" collapsed="false"/>
    <row r="4699" customFormat="false" ht="11.25" hidden="false" customHeight="true" outlineLevel="0" collapsed="false"/>
    <row r="4700" customFormat="false" ht="11.25" hidden="false" customHeight="true" outlineLevel="0" collapsed="false"/>
    <row r="4701" customFormat="false" ht="11.25" hidden="false" customHeight="true" outlineLevel="0" collapsed="false"/>
    <row r="4702" customFormat="false" ht="11.25" hidden="false" customHeight="true" outlineLevel="0" collapsed="false"/>
    <row r="4703" customFormat="false" ht="11.25" hidden="false" customHeight="true" outlineLevel="0" collapsed="false"/>
    <row r="4704" customFormat="false" ht="11.25" hidden="false" customHeight="true" outlineLevel="0" collapsed="false"/>
    <row r="4705" customFormat="false" ht="11.25" hidden="false" customHeight="true" outlineLevel="0" collapsed="false"/>
    <row r="4706" customFormat="false" ht="11.25" hidden="false" customHeight="true" outlineLevel="0" collapsed="false"/>
    <row r="4707" customFormat="false" ht="11.25" hidden="false" customHeight="true" outlineLevel="0" collapsed="false"/>
    <row r="4708" customFormat="false" ht="11.25" hidden="false" customHeight="true" outlineLevel="0" collapsed="false"/>
    <row r="4709" customFormat="false" ht="11.25" hidden="false" customHeight="true" outlineLevel="0" collapsed="false"/>
    <row r="4710" customFormat="false" ht="11.25" hidden="false" customHeight="true" outlineLevel="0" collapsed="false"/>
    <row r="4711" customFormat="false" ht="11.25" hidden="false" customHeight="true" outlineLevel="0" collapsed="false"/>
    <row r="4712" customFormat="false" ht="11.25" hidden="false" customHeight="true" outlineLevel="0" collapsed="false"/>
    <row r="4713" customFormat="false" ht="11.25" hidden="false" customHeight="true" outlineLevel="0" collapsed="false"/>
    <row r="4714" customFormat="false" ht="11.25" hidden="false" customHeight="true" outlineLevel="0" collapsed="false"/>
    <row r="4715" customFormat="false" ht="11.25" hidden="false" customHeight="true" outlineLevel="0" collapsed="false"/>
    <row r="4716" customFormat="false" ht="11.25" hidden="false" customHeight="true" outlineLevel="0" collapsed="false"/>
    <row r="4717" customFormat="false" ht="11.25" hidden="false" customHeight="true" outlineLevel="0" collapsed="false"/>
    <row r="4718" customFormat="false" ht="11.25" hidden="false" customHeight="true" outlineLevel="0" collapsed="false"/>
    <row r="4719" customFormat="false" ht="11.25" hidden="false" customHeight="true" outlineLevel="0" collapsed="false"/>
    <row r="4720" customFormat="false" ht="11.25" hidden="false" customHeight="true" outlineLevel="0" collapsed="false"/>
    <row r="4721" customFormat="false" ht="11.25" hidden="false" customHeight="true" outlineLevel="0" collapsed="false"/>
    <row r="4722" customFormat="false" ht="11.25" hidden="false" customHeight="true" outlineLevel="0" collapsed="false"/>
    <row r="4723" customFormat="false" ht="11.25" hidden="false" customHeight="true" outlineLevel="0" collapsed="false"/>
    <row r="4724" customFormat="false" ht="11.25" hidden="false" customHeight="true" outlineLevel="0" collapsed="false"/>
    <row r="4725" customFormat="false" ht="11.25" hidden="false" customHeight="true" outlineLevel="0" collapsed="false"/>
    <row r="4726" customFormat="false" ht="11.25" hidden="false" customHeight="true" outlineLevel="0" collapsed="false"/>
    <row r="4727" customFormat="false" ht="11.25" hidden="false" customHeight="true" outlineLevel="0" collapsed="false"/>
    <row r="4728" customFormat="false" ht="11.25" hidden="false" customHeight="true" outlineLevel="0" collapsed="false"/>
    <row r="4729" customFormat="false" ht="11.25" hidden="false" customHeight="true" outlineLevel="0" collapsed="false"/>
    <row r="4730" customFormat="false" ht="11.25" hidden="false" customHeight="true" outlineLevel="0" collapsed="false"/>
    <row r="4731" customFormat="false" ht="11.25" hidden="false" customHeight="true" outlineLevel="0" collapsed="false"/>
    <row r="4732" customFormat="false" ht="11.25" hidden="false" customHeight="true" outlineLevel="0" collapsed="false"/>
    <row r="4733" customFormat="false" ht="11.25" hidden="false" customHeight="true" outlineLevel="0" collapsed="false"/>
    <row r="4734" customFormat="false" ht="11.25" hidden="false" customHeight="true" outlineLevel="0" collapsed="false"/>
    <row r="4735" customFormat="false" ht="11.25" hidden="false" customHeight="true" outlineLevel="0" collapsed="false"/>
    <row r="4736" customFormat="false" ht="11.25" hidden="false" customHeight="true" outlineLevel="0" collapsed="false"/>
    <row r="4737" customFormat="false" ht="11.25" hidden="false" customHeight="true" outlineLevel="0" collapsed="false"/>
    <row r="4738" customFormat="false" ht="11.25" hidden="false" customHeight="true" outlineLevel="0" collapsed="false"/>
    <row r="4739" customFormat="false" ht="11.25" hidden="false" customHeight="true" outlineLevel="0" collapsed="false"/>
    <row r="4740" customFormat="false" ht="11.25" hidden="false" customHeight="true" outlineLevel="0" collapsed="false"/>
    <row r="4741" customFormat="false" ht="11.25" hidden="false" customHeight="true" outlineLevel="0" collapsed="false"/>
    <row r="4742" customFormat="false" ht="11.25" hidden="false" customHeight="true" outlineLevel="0" collapsed="false"/>
    <row r="4743" customFormat="false" ht="11.25" hidden="false" customHeight="true" outlineLevel="0" collapsed="false"/>
    <row r="4744" customFormat="false" ht="11.25" hidden="false" customHeight="true" outlineLevel="0" collapsed="false"/>
    <row r="4745" customFormat="false" ht="11.25" hidden="false" customHeight="true" outlineLevel="0" collapsed="false"/>
    <row r="4746" customFormat="false" ht="11.25" hidden="false" customHeight="true" outlineLevel="0" collapsed="false"/>
    <row r="4747" customFormat="false" ht="11.25" hidden="false" customHeight="true" outlineLevel="0" collapsed="false"/>
    <row r="4748" customFormat="false" ht="11.25" hidden="false" customHeight="true" outlineLevel="0" collapsed="false"/>
    <row r="4749" customFormat="false" ht="11.25" hidden="false" customHeight="true" outlineLevel="0" collapsed="false"/>
    <row r="4750" customFormat="false" ht="11.25" hidden="false" customHeight="true" outlineLevel="0" collapsed="false"/>
    <row r="4751" customFormat="false" ht="11.25" hidden="false" customHeight="true" outlineLevel="0" collapsed="false"/>
    <row r="4752" customFormat="false" ht="11.25" hidden="false" customHeight="true" outlineLevel="0" collapsed="false"/>
    <row r="4753" customFormat="false" ht="11.25" hidden="false" customHeight="true" outlineLevel="0" collapsed="false"/>
    <row r="4754" customFormat="false" ht="11.25" hidden="false" customHeight="true" outlineLevel="0" collapsed="false"/>
    <row r="4755" customFormat="false" ht="11.25" hidden="false" customHeight="true" outlineLevel="0" collapsed="false"/>
    <row r="4756" customFormat="false" ht="11.25" hidden="false" customHeight="true" outlineLevel="0" collapsed="false"/>
    <row r="4757" customFormat="false" ht="11.25" hidden="false" customHeight="true" outlineLevel="0" collapsed="false"/>
    <row r="4758" customFormat="false" ht="11.25" hidden="false" customHeight="true" outlineLevel="0" collapsed="false"/>
    <row r="4759" customFormat="false" ht="11.25" hidden="false" customHeight="true" outlineLevel="0" collapsed="false"/>
    <row r="4760" customFormat="false" ht="11.25" hidden="false" customHeight="true" outlineLevel="0" collapsed="false"/>
    <row r="4761" customFormat="false" ht="11.25" hidden="false" customHeight="true" outlineLevel="0" collapsed="false"/>
    <row r="4762" customFormat="false" ht="11.25" hidden="false" customHeight="true" outlineLevel="0" collapsed="false"/>
    <row r="4763" customFormat="false" ht="11.25" hidden="false" customHeight="true" outlineLevel="0" collapsed="false"/>
    <row r="4764" customFormat="false" ht="11.25" hidden="false" customHeight="true" outlineLevel="0" collapsed="false"/>
    <row r="4765" customFormat="false" ht="11.25" hidden="false" customHeight="true" outlineLevel="0" collapsed="false"/>
    <row r="4766" customFormat="false" ht="11.25" hidden="false" customHeight="true" outlineLevel="0" collapsed="false"/>
    <row r="4767" customFormat="false" ht="11.25" hidden="false" customHeight="true" outlineLevel="0" collapsed="false"/>
    <row r="4768" customFormat="false" ht="11.25" hidden="false" customHeight="true" outlineLevel="0" collapsed="false"/>
    <row r="4769" customFormat="false" ht="11.25" hidden="false" customHeight="true" outlineLevel="0" collapsed="false"/>
    <row r="4770" customFormat="false" ht="11.25" hidden="false" customHeight="true" outlineLevel="0" collapsed="false"/>
    <row r="4771" customFormat="false" ht="11.25" hidden="false" customHeight="true" outlineLevel="0" collapsed="false"/>
    <row r="4772" customFormat="false" ht="11.25" hidden="false" customHeight="true" outlineLevel="0" collapsed="false"/>
    <row r="4773" customFormat="false" ht="11.25" hidden="false" customHeight="true" outlineLevel="0" collapsed="false"/>
    <row r="4774" customFormat="false" ht="11.25" hidden="false" customHeight="true" outlineLevel="0" collapsed="false"/>
    <row r="4775" customFormat="false" ht="11.25" hidden="false" customHeight="true" outlineLevel="0" collapsed="false"/>
    <row r="4776" customFormat="false" ht="11.25" hidden="false" customHeight="true" outlineLevel="0" collapsed="false"/>
    <row r="4777" customFormat="false" ht="11.25" hidden="false" customHeight="true" outlineLevel="0" collapsed="false"/>
    <row r="4778" customFormat="false" ht="11.25" hidden="false" customHeight="true" outlineLevel="0" collapsed="false"/>
    <row r="4779" customFormat="false" ht="11.25" hidden="false" customHeight="true" outlineLevel="0" collapsed="false"/>
    <row r="4780" customFormat="false" ht="11.25" hidden="false" customHeight="true" outlineLevel="0" collapsed="false"/>
    <row r="4781" customFormat="false" ht="11.25" hidden="false" customHeight="true" outlineLevel="0" collapsed="false"/>
    <row r="4782" customFormat="false" ht="11.25" hidden="false" customHeight="true" outlineLevel="0" collapsed="false"/>
    <row r="4783" customFormat="false" ht="11.25" hidden="false" customHeight="true" outlineLevel="0" collapsed="false"/>
    <row r="4784" customFormat="false" ht="11.25" hidden="false" customHeight="true" outlineLevel="0" collapsed="false"/>
    <row r="4785" customFormat="false" ht="11.25" hidden="false" customHeight="true" outlineLevel="0" collapsed="false"/>
    <row r="4786" customFormat="false" ht="11.25" hidden="false" customHeight="true" outlineLevel="0" collapsed="false"/>
    <row r="4787" customFormat="false" ht="11.25" hidden="false" customHeight="true" outlineLevel="0" collapsed="false"/>
    <row r="4788" customFormat="false" ht="11.25" hidden="false" customHeight="true" outlineLevel="0" collapsed="false"/>
    <row r="4789" customFormat="false" ht="11.25" hidden="false" customHeight="true" outlineLevel="0" collapsed="false"/>
    <row r="4790" customFormat="false" ht="11.25" hidden="false" customHeight="true" outlineLevel="0" collapsed="false"/>
    <row r="4791" customFormat="false" ht="11.25" hidden="false" customHeight="true" outlineLevel="0" collapsed="false"/>
    <row r="4792" customFormat="false" ht="11.25" hidden="false" customHeight="true" outlineLevel="0" collapsed="false"/>
    <row r="4793" customFormat="false" ht="11.25" hidden="false" customHeight="true" outlineLevel="0" collapsed="false"/>
    <row r="4794" customFormat="false" ht="11.25" hidden="false" customHeight="true" outlineLevel="0" collapsed="false"/>
    <row r="4795" customFormat="false" ht="11.25" hidden="false" customHeight="true" outlineLevel="0" collapsed="false"/>
    <row r="4796" customFormat="false" ht="11.25" hidden="false" customHeight="true" outlineLevel="0" collapsed="false"/>
    <row r="4797" customFormat="false" ht="11.25" hidden="false" customHeight="true" outlineLevel="0" collapsed="false"/>
    <row r="4798" customFormat="false" ht="11.25" hidden="false" customHeight="true" outlineLevel="0" collapsed="false"/>
    <row r="4799" customFormat="false" ht="11.25" hidden="false" customHeight="true" outlineLevel="0" collapsed="false"/>
    <row r="4800" customFormat="false" ht="11.25" hidden="false" customHeight="true" outlineLevel="0" collapsed="false"/>
    <row r="4801" customFormat="false" ht="11.25" hidden="false" customHeight="true" outlineLevel="0" collapsed="false"/>
    <row r="4802" customFormat="false" ht="11.25" hidden="false" customHeight="true" outlineLevel="0" collapsed="false"/>
    <row r="4803" customFormat="false" ht="11.25" hidden="false" customHeight="true" outlineLevel="0" collapsed="false"/>
    <row r="4804" customFormat="false" ht="11.25" hidden="false" customHeight="true" outlineLevel="0" collapsed="false"/>
    <row r="4805" customFormat="false" ht="11.25" hidden="false" customHeight="true" outlineLevel="0" collapsed="false"/>
    <row r="4806" customFormat="false" ht="11.25" hidden="false" customHeight="true" outlineLevel="0" collapsed="false"/>
    <row r="4807" customFormat="false" ht="11.25" hidden="false" customHeight="true" outlineLevel="0" collapsed="false"/>
    <row r="4808" customFormat="false" ht="11.25" hidden="false" customHeight="true" outlineLevel="0" collapsed="false"/>
    <row r="4809" customFormat="false" ht="11.25" hidden="false" customHeight="true" outlineLevel="0" collapsed="false"/>
    <row r="4810" customFormat="false" ht="11.25" hidden="false" customHeight="true" outlineLevel="0" collapsed="false"/>
    <row r="4811" customFormat="false" ht="11.25" hidden="false" customHeight="true" outlineLevel="0" collapsed="false"/>
    <row r="4812" customFormat="false" ht="11.25" hidden="false" customHeight="true" outlineLevel="0" collapsed="false"/>
    <row r="4813" customFormat="false" ht="11.25" hidden="false" customHeight="true" outlineLevel="0" collapsed="false"/>
    <row r="4814" customFormat="false" ht="11.25" hidden="false" customHeight="true" outlineLevel="0" collapsed="false"/>
    <row r="4815" customFormat="false" ht="11.25" hidden="false" customHeight="true" outlineLevel="0" collapsed="false"/>
    <row r="4816" customFormat="false" ht="11.25" hidden="false" customHeight="true" outlineLevel="0" collapsed="false"/>
    <row r="4817" customFormat="false" ht="11.25" hidden="false" customHeight="true" outlineLevel="0" collapsed="false"/>
    <row r="4818" customFormat="false" ht="11.25" hidden="false" customHeight="true" outlineLevel="0" collapsed="false"/>
    <row r="4819" customFormat="false" ht="11.25" hidden="false" customHeight="true" outlineLevel="0" collapsed="false"/>
    <row r="4820" customFormat="false" ht="11.25" hidden="false" customHeight="true" outlineLevel="0" collapsed="false"/>
    <row r="4821" customFormat="false" ht="11.25" hidden="false" customHeight="true" outlineLevel="0" collapsed="false"/>
    <row r="4822" customFormat="false" ht="11.25" hidden="false" customHeight="true" outlineLevel="0" collapsed="false"/>
    <row r="4823" customFormat="false" ht="11.25" hidden="false" customHeight="true" outlineLevel="0" collapsed="false"/>
    <row r="4824" customFormat="false" ht="11.25" hidden="false" customHeight="true" outlineLevel="0" collapsed="false"/>
    <row r="4825" customFormat="false" ht="11.25" hidden="false" customHeight="true" outlineLevel="0" collapsed="false"/>
    <row r="4826" customFormat="false" ht="11.25" hidden="false" customHeight="true" outlineLevel="0" collapsed="false"/>
    <row r="4827" customFormat="false" ht="11.25" hidden="false" customHeight="true" outlineLevel="0" collapsed="false"/>
    <row r="4828" customFormat="false" ht="11.25" hidden="false" customHeight="true" outlineLevel="0" collapsed="false"/>
    <row r="4829" customFormat="false" ht="11.25" hidden="false" customHeight="true" outlineLevel="0" collapsed="false"/>
    <row r="4830" customFormat="false" ht="11.25" hidden="false" customHeight="true" outlineLevel="0" collapsed="false"/>
    <row r="4831" customFormat="false" ht="11.25" hidden="false" customHeight="true" outlineLevel="0" collapsed="false"/>
    <row r="4832" customFormat="false" ht="11.25" hidden="false" customHeight="true" outlineLevel="0" collapsed="false"/>
    <row r="4833" customFormat="false" ht="11.25" hidden="false" customHeight="true" outlineLevel="0" collapsed="false"/>
    <row r="4834" customFormat="false" ht="11.25" hidden="false" customHeight="true" outlineLevel="0" collapsed="false"/>
    <row r="4835" customFormat="false" ht="11.25" hidden="false" customHeight="true" outlineLevel="0" collapsed="false"/>
    <row r="4836" customFormat="false" ht="11.25" hidden="false" customHeight="true" outlineLevel="0" collapsed="false"/>
    <row r="4837" customFormat="false" ht="11.25" hidden="false" customHeight="true" outlineLevel="0" collapsed="false"/>
    <row r="4838" customFormat="false" ht="11.25" hidden="false" customHeight="true" outlineLevel="0" collapsed="false"/>
    <row r="4839" customFormat="false" ht="11.25" hidden="false" customHeight="true" outlineLevel="0" collapsed="false"/>
    <row r="4840" customFormat="false" ht="11.25" hidden="false" customHeight="true" outlineLevel="0" collapsed="false"/>
    <row r="4841" customFormat="false" ht="11.25" hidden="false" customHeight="true" outlineLevel="0" collapsed="false"/>
    <row r="4842" customFormat="false" ht="11.25" hidden="false" customHeight="true" outlineLevel="0" collapsed="false"/>
    <row r="4843" customFormat="false" ht="11.25" hidden="false" customHeight="true" outlineLevel="0" collapsed="false"/>
    <row r="4844" customFormat="false" ht="11.25" hidden="false" customHeight="true" outlineLevel="0" collapsed="false"/>
    <row r="4845" customFormat="false" ht="11.25" hidden="false" customHeight="true" outlineLevel="0" collapsed="false"/>
    <row r="4846" customFormat="false" ht="11.25" hidden="false" customHeight="true" outlineLevel="0" collapsed="false"/>
    <row r="4847" customFormat="false" ht="11.25" hidden="false" customHeight="true" outlineLevel="0" collapsed="false"/>
    <row r="4848" customFormat="false" ht="11.25" hidden="false" customHeight="true" outlineLevel="0" collapsed="false"/>
    <row r="4849" customFormat="false" ht="11.25" hidden="false" customHeight="true" outlineLevel="0" collapsed="false"/>
    <row r="4850" customFormat="false" ht="11.25" hidden="false" customHeight="true" outlineLevel="0" collapsed="false"/>
    <row r="4851" customFormat="false" ht="11.25" hidden="false" customHeight="true" outlineLevel="0" collapsed="false"/>
    <row r="4852" customFormat="false" ht="11.25" hidden="false" customHeight="true" outlineLevel="0" collapsed="false"/>
    <row r="4853" customFormat="false" ht="11.25" hidden="false" customHeight="true" outlineLevel="0" collapsed="false"/>
    <row r="4854" customFormat="false" ht="11.25" hidden="false" customHeight="true" outlineLevel="0" collapsed="false"/>
    <row r="4855" customFormat="false" ht="11.25" hidden="false" customHeight="true" outlineLevel="0" collapsed="false"/>
    <row r="4856" customFormat="false" ht="11.25" hidden="false" customHeight="true" outlineLevel="0" collapsed="false"/>
    <row r="4857" customFormat="false" ht="11.25" hidden="false" customHeight="true" outlineLevel="0" collapsed="false"/>
    <row r="4858" customFormat="false" ht="11.25" hidden="false" customHeight="true" outlineLevel="0" collapsed="false"/>
    <row r="4859" customFormat="false" ht="11.25" hidden="false" customHeight="true" outlineLevel="0" collapsed="false"/>
    <row r="4860" customFormat="false" ht="11.25" hidden="false" customHeight="true" outlineLevel="0" collapsed="false"/>
    <row r="4861" customFormat="false" ht="11.25" hidden="false" customHeight="true" outlineLevel="0" collapsed="false"/>
    <row r="4862" customFormat="false" ht="11.25" hidden="false" customHeight="true" outlineLevel="0" collapsed="false"/>
    <row r="4863" customFormat="false" ht="11.25" hidden="false" customHeight="true" outlineLevel="0" collapsed="false"/>
    <row r="4864" customFormat="false" ht="11.25" hidden="false" customHeight="true" outlineLevel="0" collapsed="false"/>
    <row r="4865" customFormat="false" ht="11.25" hidden="false" customHeight="true" outlineLevel="0" collapsed="false"/>
    <row r="4866" customFormat="false" ht="11.25" hidden="false" customHeight="true" outlineLevel="0" collapsed="false"/>
    <row r="4867" customFormat="false" ht="11.25" hidden="false" customHeight="true" outlineLevel="0" collapsed="false"/>
    <row r="4868" customFormat="false" ht="11.25" hidden="false" customHeight="true" outlineLevel="0" collapsed="false"/>
    <row r="4869" customFormat="false" ht="11.25" hidden="false" customHeight="true" outlineLevel="0" collapsed="false"/>
    <row r="4870" customFormat="false" ht="11.25" hidden="false" customHeight="true" outlineLevel="0" collapsed="false"/>
    <row r="4871" customFormat="false" ht="11.25" hidden="false" customHeight="true" outlineLevel="0" collapsed="false"/>
    <row r="4872" customFormat="false" ht="11.25" hidden="false" customHeight="true" outlineLevel="0" collapsed="false"/>
    <row r="4873" customFormat="false" ht="11.25" hidden="false" customHeight="true" outlineLevel="0" collapsed="false"/>
    <row r="4874" customFormat="false" ht="11.25" hidden="false" customHeight="true" outlineLevel="0" collapsed="false"/>
    <row r="4875" customFormat="false" ht="11.25" hidden="false" customHeight="true" outlineLevel="0" collapsed="false"/>
    <row r="4876" customFormat="false" ht="11.25" hidden="false" customHeight="true" outlineLevel="0" collapsed="false"/>
    <row r="4877" customFormat="false" ht="11.25" hidden="false" customHeight="true" outlineLevel="0" collapsed="false"/>
    <row r="4878" customFormat="false" ht="11.25" hidden="false" customHeight="true" outlineLevel="0" collapsed="false"/>
    <row r="4879" customFormat="false" ht="11.25" hidden="false" customHeight="true" outlineLevel="0" collapsed="false"/>
    <row r="4880" customFormat="false" ht="11.25" hidden="false" customHeight="true" outlineLevel="0" collapsed="false"/>
    <row r="4881" customFormat="false" ht="11.25" hidden="false" customHeight="true" outlineLevel="0" collapsed="false"/>
    <row r="4882" customFormat="false" ht="11.25" hidden="false" customHeight="true" outlineLevel="0" collapsed="false"/>
    <row r="4883" customFormat="false" ht="11.25" hidden="false" customHeight="true" outlineLevel="0" collapsed="false"/>
    <row r="4884" customFormat="false" ht="11.25" hidden="false" customHeight="true" outlineLevel="0" collapsed="false"/>
    <row r="4885" customFormat="false" ht="11.25" hidden="false" customHeight="true" outlineLevel="0" collapsed="false"/>
    <row r="4886" customFormat="false" ht="11.25" hidden="false" customHeight="true" outlineLevel="0" collapsed="false"/>
    <row r="4887" customFormat="false" ht="11.25" hidden="false" customHeight="true" outlineLevel="0" collapsed="false"/>
    <row r="4888" customFormat="false" ht="11.25" hidden="false" customHeight="true" outlineLevel="0" collapsed="false"/>
    <row r="4889" customFormat="false" ht="11.25" hidden="false" customHeight="true" outlineLevel="0" collapsed="false"/>
    <row r="4890" customFormat="false" ht="11.25" hidden="false" customHeight="true" outlineLevel="0" collapsed="false"/>
    <row r="4891" customFormat="false" ht="11.25" hidden="false" customHeight="true" outlineLevel="0" collapsed="false"/>
    <row r="4892" customFormat="false" ht="11.25" hidden="false" customHeight="true" outlineLevel="0" collapsed="false"/>
    <row r="4893" customFormat="false" ht="11.25" hidden="false" customHeight="true" outlineLevel="0" collapsed="false"/>
    <row r="4894" customFormat="false" ht="11.25" hidden="false" customHeight="true" outlineLevel="0" collapsed="false"/>
    <row r="4895" customFormat="false" ht="11.25" hidden="false" customHeight="true" outlineLevel="0" collapsed="false"/>
    <row r="4896" customFormat="false" ht="11.25" hidden="false" customHeight="true" outlineLevel="0" collapsed="false"/>
    <row r="4897" customFormat="false" ht="11.25" hidden="false" customHeight="true" outlineLevel="0" collapsed="false"/>
    <row r="4898" customFormat="false" ht="11.25" hidden="false" customHeight="true" outlineLevel="0" collapsed="false"/>
    <row r="4899" customFormat="false" ht="11.25" hidden="false" customHeight="true" outlineLevel="0" collapsed="false"/>
    <row r="4900" customFormat="false" ht="11.25" hidden="false" customHeight="true" outlineLevel="0" collapsed="false"/>
    <row r="4901" customFormat="false" ht="11.25" hidden="false" customHeight="true" outlineLevel="0" collapsed="false"/>
    <row r="4902" customFormat="false" ht="11.25" hidden="false" customHeight="true" outlineLevel="0" collapsed="false"/>
    <row r="4903" customFormat="false" ht="11.25" hidden="false" customHeight="true" outlineLevel="0" collapsed="false"/>
    <row r="4904" customFormat="false" ht="11.25" hidden="false" customHeight="true" outlineLevel="0" collapsed="false"/>
    <row r="4905" customFormat="false" ht="11.25" hidden="false" customHeight="true" outlineLevel="0" collapsed="false"/>
    <row r="4906" customFormat="false" ht="11.25" hidden="false" customHeight="true" outlineLevel="0" collapsed="false"/>
    <row r="4907" customFormat="false" ht="11.25" hidden="false" customHeight="true" outlineLevel="0" collapsed="false"/>
    <row r="4908" customFormat="false" ht="11.25" hidden="false" customHeight="true" outlineLevel="0" collapsed="false"/>
    <row r="4909" customFormat="false" ht="11.25" hidden="false" customHeight="true" outlineLevel="0" collapsed="false"/>
    <row r="4910" customFormat="false" ht="11.25" hidden="false" customHeight="true" outlineLevel="0" collapsed="false"/>
    <row r="4911" customFormat="false" ht="11.25" hidden="false" customHeight="true" outlineLevel="0" collapsed="false"/>
    <row r="4912" customFormat="false" ht="11.25" hidden="false" customHeight="true" outlineLevel="0" collapsed="false"/>
    <row r="4913" customFormat="false" ht="11.25" hidden="false" customHeight="true" outlineLevel="0" collapsed="false"/>
    <row r="4914" customFormat="false" ht="11.25" hidden="false" customHeight="true" outlineLevel="0" collapsed="false"/>
    <row r="4915" customFormat="false" ht="11.25" hidden="false" customHeight="true" outlineLevel="0" collapsed="false"/>
    <row r="4916" customFormat="false" ht="11.25" hidden="false" customHeight="true" outlineLevel="0" collapsed="false"/>
    <row r="4917" customFormat="false" ht="11.25" hidden="false" customHeight="true" outlineLevel="0" collapsed="false"/>
    <row r="4918" customFormat="false" ht="11.25" hidden="false" customHeight="true" outlineLevel="0" collapsed="false"/>
    <row r="4919" customFormat="false" ht="11.25" hidden="false" customHeight="true" outlineLevel="0" collapsed="false"/>
    <row r="4920" customFormat="false" ht="11.25" hidden="false" customHeight="true" outlineLevel="0" collapsed="false"/>
    <row r="4921" customFormat="false" ht="11.25" hidden="false" customHeight="true" outlineLevel="0" collapsed="false"/>
    <row r="4922" customFormat="false" ht="11.25" hidden="false" customHeight="true" outlineLevel="0" collapsed="false"/>
    <row r="4923" customFormat="false" ht="11.25" hidden="false" customHeight="true" outlineLevel="0" collapsed="false"/>
    <row r="4924" customFormat="false" ht="11.25" hidden="false" customHeight="true" outlineLevel="0" collapsed="false"/>
    <row r="4925" customFormat="false" ht="11.25" hidden="false" customHeight="true" outlineLevel="0" collapsed="false"/>
    <row r="4926" customFormat="false" ht="11.25" hidden="false" customHeight="true" outlineLevel="0" collapsed="false"/>
    <row r="4927" customFormat="false" ht="11.25" hidden="false" customHeight="true" outlineLevel="0" collapsed="false"/>
    <row r="4928" customFormat="false" ht="11.25" hidden="false" customHeight="true" outlineLevel="0" collapsed="false"/>
    <row r="4929" customFormat="false" ht="11.25" hidden="false" customHeight="true" outlineLevel="0" collapsed="false"/>
    <row r="4930" customFormat="false" ht="11.25" hidden="false" customHeight="true" outlineLevel="0" collapsed="false"/>
    <row r="4931" customFormat="false" ht="11.25" hidden="false" customHeight="true" outlineLevel="0" collapsed="false"/>
    <row r="4932" customFormat="false" ht="11.25" hidden="false" customHeight="true" outlineLevel="0" collapsed="false"/>
    <row r="4933" customFormat="false" ht="11.25" hidden="false" customHeight="true" outlineLevel="0" collapsed="false"/>
    <row r="4934" customFormat="false" ht="11.25" hidden="false" customHeight="true" outlineLevel="0" collapsed="false"/>
    <row r="4935" customFormat="false" ht="11.25" hidden="false" customHeight="true" outlineLevel="0" collapsed="false"/>
    <row r="4936" customFormat="false" ht="11.25" hidden="false" customHeight="true" outlineLevel="0" collapsed="false"/>
    <row r="4937" customFormat="false" ht="11.25" hidden="false" customHeight="true" outlineLevel="0" collapsed="false"/>
    <row r="4938" customFormat="false" ht="11.25" hidden="false" customHeight="true" outlineLevel="0" collapsed="false"/>
    <row r="4939" customFormat="false" ht="11.25" hidden="false" customHeight="true" outlineLevel="0" collapsed="false"/>
    <row r="4940" customFormat="false" ht="11.25" hidden="false" customHeight="true" outlineLevel="0" collapsed="false"/>
    <row r="4941" customFormat="false" ht="11.25" hidden="false" customHeight="true" outlineLevel="0" collapsed="false"/>
    <row r="4942" customFormat="false" ht="11.25" hidden="false" customHeight="true" outlineLevel="0" collapsed="false"/>
    <row r="4943" customFormat="false" ht="11.25" hidden="false" customHeight="true" outlineLevel="0" collapsed="false"/>
    <row r="4944" customFormat="false" ht="11.25" hidden="false" customHeight="true" outlineLevel="0" collapsed="false"/>
    <row r="4945" customFormat="false" ht="11.25" hidden="false" customHeight="true" outlineLevel="0" collapsed="false"/>
    <row r="4946" customFormat="false" ht="11.25" hidden="false" customHeight="true" outlineLevel="0" collapsed="false"/>
    <row r="4947" customFormat="false" ht="11.25" hidden="false" customHeight="true" outlineLevel="0" collapsed="false"/>
    <row r="4948" customFormat="false" ht="11.25" hidden="false" customHeight="true" outlineLevel="0" collapsed="false"/>
    <row r="4949" customFormat="false" ht="11.25" hidden="false" customHeight="true" outlineLevel="0" collapsed="false"/>
    <row r="4950" customFormat="false" ht="11.25" hidden="false" customHeight="true" outlineLevel="0" collapsed="false"/>
    <row r="4951" customFormat="false" ht="11.25" hidden="false" customHeight="true" outlineLevel="0" collapsed="false"/>
    <row r="4952" customFormat="false" ht="11.25" hidden="false" customHeight="true" outlineLevel="0" collapsed="false"/>
    <row r="4953" customFormat="false" ht="11.25" hidden="false" customHeight="true" outlineLevel="0" collapsed="false"/>
    <row r="4954" customFormat="false" ht="11.25" hidden="false" customHeight="true" outlineLevel="0" collapsed="false"/>
    <row r="4955" customFormat="false" ht="11.25" hidden="false" customHeight="true" outlineLevel="0" collapsed="false"/>
    <row r="4956" customFormat="false" ht="11.25" hidden="false" customHeight="true" outlineLevel="0" collapsed="false"/>
    <row r="4957" customFormat="false" ht="11.25" hidden="false" customHeight="true" outlineLevel="0" collapsed="false"/>
    <row r="4958" customFormat="false" ht="11.25" hidden="false" customHeight="true" outlineLevel="0" collapsed="false"/>
    <row r="4959" customFormat="false" ht="11.25" hidden="false" customHeight="true" outlineLevel="0" collapsed="false"/>
    <row r="4960" customFormat="false" ht="11.25" hidden="false" customHeight="true" outlineLevel="0" collapsed="false"/>
    <row r="4961" customFormat="false" ht="11.25" hidden="false" customHeight="true" outlineLevel="0" collapsed="false"/>
    <row r="4962" customFormat="false" ht="11.25" hidden="false" customHeight="true" outlineLevel="0" collapsed="false"/>
    <row r="4963" customFormat="false" ht="11.25" hidden="false" customHeight="true" outlineLevel="0" collapsed="false"/>
    <row r="4964" customFormat="false" ht="11.25" hidden="false" customHeight="true" outlineLevel="0" collapsed="false"/>
    <row r="4965" customFormat="false" ht="11.25" hidden="false" customHeight="true" outlineLevel="0" collapsed="false"/>
    <row r="4966" customFormat="false" ht="11.25" hidden="false" customHeight="true" outlineLevel="0" collapsed="false"/>
    <row r="4967" customFormat="false" ht="11.25" hidden="false" customHeight="true" outlineLevel="0" collapsed="false"/>
    <row r="4968" customFormat="false" ht="11.25" hidden="false" customHeight="true" outlineLevel="0" collapsed="false"/>
    <row r="4969" customFormat="false" ht="11.25" hidden="false" customHeight="true" outlineLevel="0" collapsed="false"/>
    <row r="4970" customFormat="false" ht="11.25" hidden="false" customHeight="true" outlineLevel="0" collapsed="false"/>
    <row r="4971" customFormat="false" ht="11.25" hidden="false" customHeight="true" outlineLevel="0" collapsed="false"/>
    <row r="4972" customFormat="false" ht="11.25" hidden="false" customHeight="true" outlineLevel="0" collapsed="false"/>
    <row r="4973" customFormat="false" ht="11.25" hidden="false" customHeight="true" outlineLevel="0" collapsed="false"/>
    <row r="4974" customFormat="false" ht="11.25" hidden="false" customHeight="true" outlineLevel="0" collapsed="false"/>
    <row r="4975" customFormat="false" ht="11.25" hidden="false" customHeight="true" outlineLevel="0" collapsed="false"/>
    <row r="4976" customFormat="false" ht="11.25" hidden="false" customHeight="true" outlineLevel="0" collapsed="false"/>
    <row r="4977" customFormat="false" ht="11.25" hidden="false" customHeight="true" outlineLevel="0" collapsed="false"/>
    <row r="4978" customFormat="false" ht="11.25" hidden="false" customHeight="true" outlineLevel="0" collapsed="false"/>
    <row r="4979" customFormat="false" ht="11.25" hidden="false" customHeight="true" outlineLevel="0" collapsed="false"/>
    <row r="4980" customFormat="false" ht="11.25" hidden="false" customHeight="true" outlineLevel="0" collapsed="false"/>
    <row r="4981" customFormat="false" ht="11.25" hidden="false" customHeight="true" outlineLevel="0" collapsed="false"/>
    <row r="4982" customFormat="false" ht="11.25" hidden="false" customHeight="true" outlineLevel="0" collapsed="false"/>
    <row r="4983" customFormat="false" ht="11.25" hidden="false" customHeight="true" outlineLevel="0" collapsed="false"/>
    <row r="4984" customFormat="false" ht="11.25" hidden="false" customHeight="true" outlineLevel="0" collapsed="false"/>
    <row r="4985" customFormat="false" ht="11.25" hidden="false" customHeight="true" outlineLevel="0" collapsed="false"/>
    <row r="4986" customFormat="false" ht="11.25" hidden="false" customHeight="true" outlineLevel="0" collapsed="false"/>
    <row r="4987" customFormat="false" ht="11.25" hidden="false" customHeight="true" outlineLevel="0" collapsed="false"/>
    <row r="4988" customFormat="false" ht="11.25" hidden="false" customHeight="true" outlineLevel="0" collapsed="false"/>
    <row r="4989" customFormat="false" ht="11.25" hidden="false" customHeight="true" outlineLevel="0" collapsed="false"/>
    <row r="4990" customFormat="false" ht="11.25" hidden="false" customHeight="true" outlineLevel="0" collapsed="false"/>
    <row r="4991" customFormat="false" ht="11.25" hidden="false" customHeight="true" outlineLevel="0" collapsed="false"/>
    <row r="4992" customFormat="false" ht="11.25" hidden="false" customHeight="true" outlineLevel="0" collapsed="false"/>
    <row r="4993" customFormat="false" ht="11.25" hidden="false" customHeight="true" outlineLevel="0" collapsed="false"/>
    <row r="4994" customFormat="false" ht="11.25" hidden="false" customHeight="true" outlineLevel="0" collapsed="false"/>
    <row r="4995" customFormat="false" ht="11.25" hidden="false" customHeight="true" outlineLevel="0" collapsed="false"/>
    <row r="4996" customFormat="false" ht="11.25" hidden="false" customHeight="true" outlineLevel="0" collapsed="false"/>
    <row r="4997" customFormat="false" ht="11.25" hidden="false" customHeight="true" outlineLevel="0" collapsed="false"/>
    <row r="4998" customFormat="false" ht="11.25" hidden="false" customHeight="true" outlineLevel="0" collapsed="false"/>
    <row r="4999" customFormat="false" ht="11.25" hidden="false" customHeight="true" outlineLevel="0" collapsed="false"/>
    <row r="5000" customFormat="false" ht="11.25" hidden="false" customHeight="true" outlineLevel="0" collapsed="false"/>
    <row r="5001" customFormat="false" ht="11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9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X9" activeCellId="0" sqref="X9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6" width="32"/>
    <col collapsed="false" customWidth="true" hidden="false" outlineLevel="0" max="2" min="2" style="16" width="36.42"/>
    <col collapsed="false" customWidth="true" hidden="false" outlineLevel="0" max="4" min="3" style="16" width="22"/>
    <col collapsed="false" customWidth="true" hidden="false" outlineLevel="0" max="5" min="5" style="16" width="30"/>
    <col collapsed="false" customWidth="true" hidden="false" outlineLevel="0" max="6" min="6" style="16" width="12"/>
    <col collapsed="false" customWidth="true" hidden="false" outlineLevel="0" max="7" min="7" style="16" width="26.42"/>
    <col collapsed="false" customWidth="true" hidden="false" outlineLevel="0" max="8" min="8" style="16" width="63.42"/>
    <col collapsed="false" customWidth="true" hidden="false" outlineLevel="0" max="9" min="9" style="16" width="10.42"/>
    <col collapsed="false" customWidth="true" hidden="false" outlineLevel="0" max="10" min="10" style="16" width="25"/>
    <col collapsed="false" customWidth="false" hidden="false" outlineLevel="0" max="16" min="11" style="16" width="8.71"/>
    <col collapsed="false" customWidth="true" hidden="false" outlineLevel="0" max="17" min="17" style="16" width="22"/>
    <col collapsed="false" customWidth="true" hidden="false" outlineLevel="0" max="18" min="18" style="16" width="13.86"/>
    <col collapsed="false" customWidth="true" hidden="false" outlineLevel="0" max="19" min="19" style="16" width="12.15"/>
    <col collapsed="false" customWidth="true" hidden="false" outlineLevel="0" max="20" min="20" style="16" width="26.42"/>
    <col collapsed="false" customWidth="true" hidden="false" outlineLevel="0" max="21" min="21" style="16" width="14.86"/>
    <col collapsed="false" customWidth="false" hidden="false" outlineLevel="0" max="22" min="22" style="16" width="8.71"/>
    <col collapsed="false" customWidth="true" hidden="false" outlineLevel="0" max="23" min="23" style="16" width="55.29"/>
    <col collapsed="false" customWidth="true" hidden="false" outlineLevel="0" max="24" min="24" style="16" width="14.71"/>
    <col collapsed="false" customWidth="false" hidden="false" outlineLevel="0" max="26" min="25" style="16" width="8.71"/>
    <col collapsed="false" customWidth="true" hidden="false" outlineLevel="0" max="27" min="27" style="16" width="35.57"/>
    <col collapsed="false" customWidth="true" hidden="false" outlineLevel="0" max="28" min="28" style="16" width="10.42"/>
    <col collapsed="false" customWidth="false" hidden="false" outlineLevel="0" max="29" min="29" style="16" width="8.71"/>
    <col collapsed="false" customWidth="true" hidden="false" outlineLevel="0" max="30" min="30" style="16" width="48.57"/>
    <col collapsed="false" customWidth="false" hidden="false" outlineLevel="0" max="32" min="31" style="16" width="8.71"/>
    <col collapsed="false" customWidth="true" hidden="false" outlineLevel="0" max="33" min="33" style="16" width="32.29"/>
    <col collapsed="false" customWidth="true" hidden="false" outlineLevel="0" max="34" min="34" style="16" width="6.14"/>
    <col collapsed="false" customWidth="false" hidden="false" outlineLevel="0" max="35" min="35" style="16" width="8.71"/>
    <col collapsed="false" customWidth="true" hidden="false" outlineLevel="0" max="36" min="36" style="16" width="43.71"/>
    <col collapsed="false" customWidth="false" hidden="false" outlineLevel="0" max="16384" min="37" style="16" width="8.71"/>
  </cols>
  <sheetData>
    <row r="1" customFormat="false" ht="15.75" hidden="false" customHeight="true" outlineLevel="0" collapsed="false">
      <c r="A1" s="17" t="s">
        <v>921</v>
      </c>
      <c r="B1" s="17"/>
      <c r="C1" s="18"/>
      <c r="D1" s="19"/>
      <c r="E1" s="19"/>
      <c r="G1" s="17" t="s">
        <v>922</v>
      </c>
      <c r="H1" s="17"/>
      <c r="J1" s="20" t="s">
        <v>923</v>
      </c>
      <c r="K1" s="20"/>
      <c r="L1" s="20"/>
      <c r="M1" s="20"/>
      <c r="N1" s="20"/>
      <c r="O1" s="20"/>
      <c r="Q1" s="21" t="s">
        <v>924</v>
      </c>
      <c r="R1" s="21"/>
      <c r="S1" s="21"/>
      <c r="T1" s="21"/>
      <c r="W1" s="17" t="s">
        <v>925</v>
      </c>
      <c r="X1" s="17"/>
      <c r="AA1" s="22" t="s">
        <v>926</v>
      </c>
      <c r="AD1" s="22" t="s">
        <v>927</v>
      </c>
      <c r="AG1" s="22" t="s">
        <v>928</v>
      </c>
      <c r="AJ1" s="22" t="s">
        <v>929</v>
      </c>
    </row>
    <row r="2" customFormat="false" ht="24" hidden="false" customHeight="true" outlineLevel="0" collapsed="false">
      <c r="A2" s="23" t="s">
        <v>930</v>
      </c>
      <c r="B2" s="23" t="s">
        <v>931</v>
      </c>
      <c r="D2" s="24"/>
      <c r="E2" s="24"/>
      <c r="G2" s="23" t="s">
        <v>932</v>
      </c>
      <c r="H2" s="23" t="s">
        <v>933</v>
      </c>
      <c r="J2" s="23" t="s">
        <v>14</v>
      </c>
      <c r="K2" s="23" t="s">
        <v>167</v>
      </c>
      <c r="L2" s="23" t="s">
        <v>123</v>
      </c>
      <c r="M2" s="23" t="s">
        <v>192</v>
      </c>
      <c r="N2" s="23" t="s">
        <v>934</v>
      </c>
      <c r="Q2" s="25" t="s">
        <v>935</v>
      </c>
      <c r="R2" s="25" t="s">
        <v>936</v>
      </c>
      <c r="S2" s="25" t="s">
        <v>937</v>
      </c>
      <c r="T2" s="25" t="s">
        <v>938</v>
      </c>
      <c r="W2" s="23" t="s">
        <v>939</v>
      </c>
      <c r="X2" s="23" t="s">
        <v>940</v>
      </c>
      <c r="AA2" s="25" t="s">
        <v>941</v>
      </c>
      <c r="AB2" s="25" t="s">
        <v>942</v>
      </c>
      <c r="AD2" s="26" t="s">
        <v>943</v>
      </c>
      <c r="AE2" s="26" t="s">
        <v>944</v>
      </c>
      <c r="AG2" s="26" t="s">
        <v>8</v>
      </c>
      <c r="AH2" s="26" t="s">
        <v>933</v>
      </c>
      <c r="AJ2" s="25" t="s">
        <v>945</v>
      </c>
      <c r="AK2" s="25" t="s">
        <v>933</v>
      </c>
    </row>
    <row r="3" customFormat="false" ht="30" hidden="false" customHeight="true" outlineLevel="0" collapsed="false">
      <c r="A3" s="27" t="s">
        <v>946</v>
      </c>
      <c r="B3" s="28" t="n">
        <f aca="false">COUNTA(RawData[ID])</f>
        <v>100</v>
      </c>
      <c r="D3" s="29"/>
      <c r="E3" s="29"/>
      <c r="G3" s="30" t="s">
        <v>107</v>
      </c>
      <c r="H3" s="31" t="n">
        <f aca="false">COUNTIF(RawData[Engagement Type],G3)</f>
        <v>28</v>
      </c>
      <c r="J3" s="29" t="s">
        <v>113</v>
      </c>
      <c r="K3" s="29" t="n">
        <f aca="false">COUNTIFS(RawData[Service Line],J3,RawData[Severity],"High")</f>
        <v>15</v>
      </c>
      <c r="L3" s="29" t="n">
        <f aca="false">COUNTIFS(RawData[Service Line],J3,RawData[Severity],"Moderate")</f>
        <v>28</v>
      </c>
      <c r="M3" s="29" t="n">
        <f aca="false">COUNTIFS(RawData[Service Line],J3,RawData[Severity],"Low")</f>
        <v>25</v>
      </c>
      <c r="N3" s="29" t="n">
        <f aca="false">SUM(K3:M3)</f>
        <v>68</v>
      </c>
      <c r="Q3" s="32" t="str">
        <f aca="false" t="array" ref="Q3:Q3">IFERROR(INDEX($AJ$2:$AJ$599,MATCH(1,($AK$2:$AK$599=R3)*(COUNTIF($Q2:$Q$3,$AJ$2:$AJ$599)=0)*($AJ$2:$AJ$599&lt;&gt;""),0)),"")</f>
        <v>Feedback on recent processes</v>
      </c>
      <c r="R3" s="33" t="n">
        <f aca="false">IFERROR(LARGE($AK$2:$AK$599,1),"")</f>
        <v>8</v>
      </c>
      <c r="S3" s="33" t="n">
        <f aca="false">IF(Q3="","",IFERROR(R3/$B$3,0))</f>
        <v>0.08</v>
      </c>
      <c r="T3" s="33" t="str">
        <f aca="false" t="array" ref="T3:T3">IF(Q3="","",IFERROR(INDEX(SummaryData[Engagement Type],MATCH(TRIM(Q3),TRIM(SummaryData[Statement]),0)),""))</f>
        <v>1:1</v>
      </c>
      <c r="W3" s="29" t="s">
        <v>176</v>
      </c>
      <c r="X3" s="29" t="n">
        <f aca="false">SUMPRODUCT((TRIM(RawData[Alignment])=TRIM(W3))*1)</f>
        <v>4</v>
      </c>
      <c r="AA3" s="16" t="str">
        <f aca="false" t="array" ref="AA3:AA3">IFERROR(INDEX($AM$2:$AM$199,MATCH(1,($AN$2:$AN$199=AB3)*(COUNTIF($AA2:$AA$3,$AM$2:$AM$199)=0)*($AM$2:$AM$199&lt;&gt;""),0)),"")</f>
        <v>HR Connect (Project Wise)</v>
      </c>
      <c r="AB3" s="16" t="n">
        <f aca="false">IFERROR(LARGE($AN$2:$AN$199,1),"")</f>
        <v>7</v>
      </c>
      <c r="AD3" s="16" t="str">
        <f aca="false">IF(Calc!Q3="","",Calc!Q3)</f>
        <v>Feedback on recent processes</v>
      </c>
      <c r="AE3" s="16" t="n">
        <f aca="false">IF(Calc!Q3="","",Calc!R3)</f>
        <v>8</v>
      </c>
      <c r="AG3" s="16" t="str">
        <f aca="false" t="array" ref="AG3:AG3">IFERROR(INDEX($G$3:$G$15,MATCH(1,(($H$3:$H$15)=AH3)*(COUNTIF($AG2:$AG$3,$G$3:$G$15)=0),0)),"")</f>
        <v>Large Connect</v>
      </c>
      <c r="AH3" s="16" t="n">
        <f aca="false">IFERROR(LARGE($H$3:$H$15,1),"")</f>
        <v>28</v>
      </c>
      <c r="AJ3" s="16" t="str">
        <f aca="false">IF(Data_Summary!Y3&lt;&gt;"Coverage","",IF(Data_Summary!AA3="","",IF(COUNTIFS(Data_Summary!$Y$2:$Y3,"Coverage",Data_Summary!$AA$2:$AA3,Data_Summary!AA3)=1,Data_Summary!AA3,"")))</f>
        <v/>
      </c>
      <c r="AK3" s="16" t="str">
        <f aca="false">IF(AJ3="","",COUNTIFS(Data_Summary!$Y$2:$Y$20001,"Coverage",Data_Summary!$AA$2:$AA$20001,AJ3))</f>
        <v/>
      </c>
    </row>
    <row r="4" customFormat="false" ht="25.5" hidden="false" customHeight="true" outlineLevel="0" collapsed="false">
      <c r="A4" s="27" t="s">
        <v>947</v>
      </c>
      <c r="B4" s="28" t="n">
        <f aca="false">COUNTIF(RawData[Status],"Open")</f>
        <v>12</v>
      </c>
      <c r="D4" s="29"/>
      <c r="E4" s="29"/>
      <c r="G4" s="29" t="s">
        <v>172</v>
      </c>
      <c r="H4" s="34" t="n">
        <f aca="false">COUNTIF(RawData[Engagement Type],G4)</f>
        <v>24</v>
      </c>
      <c r="J4" s="29" t="s">
        <v>863</v>
      </c>
      <c r="K4" s="29" t="n">
        <f aca="false">COUNTIFS(RawData[Service Line],J4,RawData[Severity],"High")</f>
        <v>0</v>
      </c>
      <c r="L4" s="29" t="n">
        <f aca="false">COUNTIFS(RawData[Service Line],J4,RawData[Severity],"Moderate")</f>
        <v>1</v>
      </c>
      <c r="M4" s="29" t="n">
        <f aca="false">COUNTIFS(RawData[Service Line],J4,RawData[Severity],"Low")</f>
        <v>0</v>
      </c>
      <c r="N4" s="29" t="n">
        <f aca="false">SUM(K4:M4)</f>
        <v>1</v>
      </c>
      <c r="Q4" s="35" t="str">
        <f aca="false" t="array" ref="Q4:Q4">IFERROR(INDEX($AJ$2:$AJ$599,MATCH(1,($AK$2:$AK$599=R4)*(COUNTIF($Q$3:$Q3,$AJ$2:$AJ$599)=0)*($AJ$2:$AJ$599&lt;&gt;""),0)),"")</f>
        <v>Clarity on expectations</v>
      </c>
      <c r="R4" s="33" t="n">
        <f aca="false">IFERROR(LARGE($AK$2:$AK$599,2),"")</f>
        <v>7</v>
      </c>
      <c r="S4" s="36" t="n">
        <f aca="false">IF(Q4="","",IFERROR(R4/$B$3,0))</f>
        <v>0.07</v>
      </c>
      <c r="T4" s="37" t="str">
        <f aca="false" t="array" ref="T4:T4">IF(Q4="","",IFERROR(INDEX(SummaryData[Engagement Type],MATCH(TRIM(Q4),TRIM(SummaryData[Statement]),0)),""))</f>
        <v>Large Connect</v>
      </c>
      <c r="W4" s="29" t="s">
        <v>948</v>
      </c>
      <c r="X4" s="29" t="n">
        <f aca="false">SUMPRODUCT((TRIM(RawData[Alignment])=TRIM(W4))*1)</f>
        <v>0</v>
      </c>
      <c r="AA4" s="16" t="str">
        <f aca="false" t="array" ref="AA4:AA4">IFERROR(INDEX($AM$2:$AM$199,MATCH(1,($AN$2:$AN$199=AB4)*(COUNTIF($AA$3:$AA3,$AM$2:$AM$199)=0)*($AM$2:$AM$199&lt;&gt;""),0)),"")</f>
        <v>New Joiner Connect (60 Days)</v>
      </c>
      <c r="AB4" s="16" t="n">
        <f aca="false">IFERROR(LARGE($AN$2:$AN$199,2),"")</f>
        <v>7</v>
      </c>
      <c r="AD4" s="16" t="str">
        <f aca="false">IF(Calc!Q4="","",Calc!Q4)</f>
        <v>Clarity on expectations</v>
      </c>
      <c r="AE4" s="16" t="n">
        <f aca="false">IF(Calc!Q4="","",Calc!R4)</f>
        <v>7</v>
      </c>
      <c r="AG4" s="16" t="str">
        <f aca="false" t="array" ref="AG4:AG4">IFERROR(INDEX($G$3:$G$15,MATCH(1,(($H$3:$H$15)=AH4)*(COUNTIF($AG$3:$AG3,$G$3:$G$15)=0),0)),"")</f>
        <v>FGD</v>
      </c>
      <c r="AH4" s="16" t="n">
        <f aca="false">IFERROR(LARGE($H$3:$H$15,2),"")</f>
        <v>24</v>
      </c>
      <c r="AJ4" s="16" t="str">
        <f aca="false">IF(Data_Summary!Y5&lt;&gt;"Coverage","",IF(Data_Summary!AA5="","",IF(COUNTIFS(Data_Summary!$Y$2:$Y5,"Coverage",Data_Summary!$AA$2:$AA5,Data_Summary!AA5)=1,Data_Summary!AA5,"")))</f>
        <v/>
      </c>
      <c r="AK4" s="16" t="str">
        <f aca="false">IF(AJ4="","",COUNTIFS(Data_Summary!$Y$2:$Y$20001,"Coverage",Data_Summary!$AA$2:$AA$20001,AJ4))</f>
        <v/>
      </c>
    </row>
    <row r="5" customFormat="false" ht="25.5" hidden="false" customHeight="true" outlineLevel="0" collapsed="false">
      <c r="A5" s="27" t="s">
        <v>949</v>
      </c>
      <c r="B5" s="28" t="n">
        <f aca="false">COUNTIF(RawData[Status],"In-progress")</f>
        <v>14</v>
      </c>
      <c r="D5" s="29"/>
      <c r="E5" s="29"/>
      <c r="G5" s="29" t="s">
        <v>244</v>
      </c>
      <c r="H5" s="34" t="n">
        <f aca="false">COUNTIF(RawData[Engagement Type],G5)</f>
        <v>19</v>
      </c>
      <c r="J5" s="29" t="s">
        <v>336</v>
      </c>
      <c r="K5" s="29" t="n">
        <f aca="false">COUNTIFS(RawData[Service Line],J5,RawData[Severity],"High")</f>
        <v>2</v>
      </c>
      <c r="L5" s="29" t="n">
        <f aca="false">COUNTIFS(RawData[Service Line],J5,RawData[Severity],"Moderate")</f>
        <v>0</v>
      </c>
      <c r="M5" s="29" t="n">
        <f aca="false">COUNTIFS(RawData[Service Line],J5,RawData[Severity],"Low")</f>
        <v>1</v>
      </c>
      <c r="N5" s="29" t="n">
        <f aca="false">SUM(K5:M5)</f>
        <v>3</v>
      </c>
      <c r="Q5" s="35" t="str">
        <f aca="false" t="array" ref="Q5:Q5">IFERROR(INDEX($AJ$2:$AJ$599,MATCH(1,($AK$2:$AK$599=R5)*(COUNTIF($Q$3:$Q4,$AJ$2:$AJ$599)=0)*($AJ$2:$AJ$599&lt;&gt;""),0)),"")</f>
        <v>Business &amp; Strategy Clarity</v>
      </c>
      <c r="R5" s="33" t="n">
        <f aca="false">IFERROR(LARGE($AK$2:$AK$599,3),"")</f>
        <v>6</v>
      </c>
      <c r="S5" s="36" t="n">
        <f aca="false">IF(Q5="","",IFERROR(R5/$B$3,0))</f>
        <v>0.06</v>
      </c>
      <c r="T5" s="37" t="str">
        <f aca="false" t="array" ref="T5:T5">IF(Q5="","",IFERROR(INDEX(SummaryData[Engagement Type],MATCH(TRIM(Q5),TRIM(SummaryData[Statement]),0)),""))</f>
        <v>Large Connect</v>
      </c>
      <c r="W5" s="29" t="s">
        <v>950</v>
      </c>
      <c r="X5" s="29" t="n">
        <f aca="false">SUMPRODUCT((TRIM(RawData[Alignment])=TRIM(W5))*1)</f>
        <v>0</v>
      </c>
      <c r="AA5" s="16" t="str">
        <f aca="false" t="array" ref="AA5:AA5">IFERROR(INDEX($AM$2:$AM$199,MATCH(1,($AN$2:$AN$199=AB5)*(COUNTIF($AA$3:$AA4,$AM$2:$AM$199)=0)*($AM$2:$AM$199&lt;&gt;""),0)),"")</f>
        <v>New Joiner Connect (90 Days)</v>
      </c>
      <c r="AB5" s="16" t="n">
        <f aca="false">IFERROR(LARGE($AN$2:$AN$199,3),"")</f>
        <v>6</v>
      </c>
      <c r="AD5" s="16" t="str">
        <f aca="false">IF(Calc!Q5="","",Calc!Q5)</f>
        <v>Business &amp; Strategy Clarity</v>
      </c>
      <c r="AE5" s="16" t="n">
        <f aca="false">IF(Calc!Q5="","",Calc!R5)</f>
        <v>6</v>
      </c>
      <c r="AG5" s="16" t="str">
        <f aca="false" t="array" ref="AG5:AG5">IFERROR(INDEX($G$3:$G$15,MATCH(1,(($H$3:$H$15)=AH5)*(COUNTIF($AG$3:$AG4,$G$3:$G$15)=0),0)),"")</f>
        <v>1:1</v>
      </c>
      <c r="AH5" s="16" t="n">
        <f aca="false">IFERROR(LARGE($H$3:$H$15,3),"")</f>
        <v>19</v>
      </c>
      <c r="AJ5" s="16" t="str">
        <f aca="false">IF(Data_Summary!Y6&lt;&gt;"Coverage","",IF(Data_Summary!AA6="","",IF(COUNTIFS(Data_Summary!$Y$2:$Y6,"Coverage",Data_Summary!$AA$2:$AA6,Data_Summary!AA6)=1,Data_Summary!AA6,"")))</f>
        <v/>
      </c>
      <c r="AK5" s="16" t="str">
        <f aca="false">IF(AJ5="","",COUNTIFS(Data_Summary!$Y$2:$Y$20001,"Coverage",Data_Summary!$AA$2:$AA$20001,AJ5))</f>
        <v/>
      </c>
    </row>
    <row r="6" customFormat="false" ht="15" hidden="false" customHeight="true" outlineLevel="0" collapsed="false">
      <c r="A6" s="27" t="s">
        <v>951</v>
      </c>
      <c r="B6" s="28" t="n">
        <f aca="false">COUNTIF(RawData[Status],"Closed")</f>
        <v>74</v>
      </c>
      <c r="D6" s="29"/>
      <c r="E6" s="29"/>
      <c r="G6" s="29" t="s">
        <v>278</v>
      </c>
      <c r="H6" s="34" t="n">
        <f aca="false">COUNTIF(RawData[Engagement Type],G6)</f>
        <v>10</v>
      </c>
      <c r="Q6" s="35" t="str">
        <f aca="false" t="array" ref="Q6:Q6">IFERROR(INDEX($AJ$2:$AJ$599,MATCH(1,($AK$2:$AK$599=R6)*(COUNTIF($Q$3:$Q5,$AJ$2:$AJ$599)=0)*($AJ$2:$AJ$599&lt;&gt;""),0)),"")</f>
        <v>General wellbeing check-in</v>
      </c>
      <c r="R6" s="33" t="n">
        <f aca="false">IFERROR(LARGE($AK$2:$AK$599,4),"")</f>
        <v>6</v>
      </c>
      <c r="S6" s="36" t="n">
        <f aca="false">IF(Q6="","",IFERROR(R6/$B$3,0))</f>
        <v>0.06</v>
      </c>
      <c r="T6" s="37" t="str">
        <f aca="false" t="array" ref="T6:T6">IF(Q6="","",IFERROR(INDEX(SummaryData[Engagement Type],MATCH(TRIM(Q6),TRIM(SummaryData[Statement]),0)),""))</f>
        <v>Location-Offshore</v>
      </c>
      <c r="W6" s="29" t="s">
        <v>271</v>
      </c>
      <c r="X6" s="29" t="n">
        <f aca="false">SUMPRODUCT((TRIM(RawData[Alignment])=TRIM(W6))*1)</f>
        <v>5</v>
      </c>
      <c r="AA6" s="16" t="str">
        <f aca="false" t="array" ref="AA6:AA6">IFERROR(INDEX($AM$2:$AM$199,MATCH(1,($AN$2:$AN$199=AB6)*(COUNTIF($AA$3:$AA5,$AM$2:$AM$199)=0)*($AM$2:$AM$199&lt;&gt;""),0)),"")</f>
        <v>New Joiner Connect (30 Days)</v>
      </c>
      <c r="AB6" s="16" t="n">
        <f aca="false">IFERROR(LARGE($AN$2:$AN$199,4),"")</f>
        <v>5</v>
      </c>
      <c r="AD6" s="16" t="str">
        <f aca="false">IF(Calc!Q6="","",Calc!Q6)</f>
        <v>General wellbeing check-in</v>
      </c>
      <c r="AE6" s="16" t="n">
        <f aca="false">IF(Calc!Q6="","",Calc!R6)</f>
        <v>6</v>
      </c>
      <c r="AG6" s="16" t="str">
        <f aca="false" t="array" ref="AG6:AG6">IFERROR(INDEX($G$3:$G$15,MATCH(1,(($H$3:$H$15)=AH6)*(COUNTIF($AG$3:$AG5,$G$3:$G$15)=0),0)),"")</f>
        <v>Location-Offshore</v>
      </c>
      <c r="AH6" s="16" t="n">
        <f aca="false">IFERROR(LARGE($H$3:$H$15,4),"")</f>
        <v>11</v>
      </c>
      <c r="AJ6" s="16" t="str">
        <f aca="false">IF(Data_Summary!Y7&lt;&gt;"Coverage","",IF(Data_Summary!AA7="","",IF(COUNTIFS(Data_Summary!$Y$2:$Y7,"Coverage",Data_Summary!$AA$2:$AA7,Data_Summary!AA7)=1,Data_Summary!AA7,"")))</f>
        <v>Business &amp; Strategy Clarity</v>
      </c>
      <c r="AK6" s="16" t="n">
        <f aca="false">IF(AJ6="","",COUNTIFS(Data_Summary!$Y$2:$Y$20001,"Coverage",Data_Summary!$AA$2:$AA$20001,AJ6))</f>
        <v>6</v>
      </c>
    </row>
    <row r="7" customFormat="false" ht="15" hidden="false" customHeight="true" outlineLevel="0" collapsed="false">
      <c r="A7" s="27" t="s">
        <v>952</v>
      </c>
      <c r="B7" s="28" t="n">
        <f aca="false">COUNTIF(RawData[Severity],"High")</f>
        <v>22</v>
      </c>
      <c r="D7" s="29"/>
      <c r="E7" s="29"/>
      <c r="G7" s="29" t="s">
        <v>157</v>
      </c>
      <c r="H7" s="34" t="n">
        <f aca="false">COUNTIF(RawData[Engagement Type],G7)</f>
        <v>11</v>
      </c>
      <c r="Q7" s="35" t="str">
        <f aca="false" t="array" ref="Q7:Q7">IFERROR(INDEX($AJ$2:$AJ$599,MATCH(1,($AK$2:$AK$599=R7)*(COUNTIF($Q$3:$Q6,$AJ$2:$AJ$599)=0)*($AJ$2:$AJ$599&lt;&gt;""),0)),"")</f>
        <v>Career Visibility &amp; Skill Roadmap</v>
      </c>
      <c r="R7" s="33" t="n">
        <f aca="false">IFERROR(LARGE($AK$2:$AK$599,5),"")</f>
        <v>5</v>
      </c>
      <c r="S7" s="36" t="n">
        <f aca="false">IF(Q7="","",IFERROR(R7/$B$3,0))</f>
        <v>0.05</v>
      </c>
      <c r="T7" s="37" t="str">
        <f aca="false" t="array" ref="T7:T7">IF(Q7="","",IFERROR(INDEX(SummaryData[Engagement Type],MATCH(TRIM(Q7),TRIM(SummaryData[Statement]),0)),""))</f>
        <v>Large Connect</v>
      </c>
      <c r="W7" s="29" t="s">
        <v>339</v>
      </c>
      <c r="X7" s="29" t="n">
        <f aca="false">SUMPRODUCT((TRIM(RawData[Alignment])=TRIM(W7))*1)</f>
        <v>7</v>
      </c>
      <c r="AA7" s="16" t="str">
        <f aca="false" t="array" ref="AA7:AA7">IFERROR(INDEX($AM$2:$AM$199,MATCH(1,($AN$2:$AN$199=AB7)*(COUNTIF($AA$3:$AA6,$AM$2:$AM$199)=0)*($AM$2:$AM$199&lt;&gt;""),0)),"")</f>
        <v>ELTP Connect (12-24m)</v>
      </c>
      <c r="AB7" s="16" t="n">
        <f aca="false">IFERROR(LARGE($AN$2:$AN$199,5),"")</f>
        <v>4</v>
      </c>
      <c r="AD7" s="16" t="str">
        <f aca="false">IF(Calc!Q7="","",Calc!Q7)</f>
        <v>Career Visibility &amp; Skill Roadmap</v>
      </c>
      <c r="AE7" s="16" t="n">
        <f aca="false">IF(Calc!Q7="","",Calc!R7)</f>
        <v>5</v>
      </c>
      <c r="AG7" s="16" t="str">
        <f aca="false" t="array" ref="AG7:AG7">IFERROR(INDEX($G$3:$G$15,MATCH(1,(($H$3:$H$15)=AH7)*(COUNTIF($AG$3:$AG6,$G$3:$G$15)=0),0)),"")</f>
        <v>Floor Connect</v>
      </c>
      <c r="AH7" s="16" t="n">
        <f aca="false">IFERROR(LARGE($H$3:$H$15,5),"")</f>
        <v>10</v>
      </c>
      <c r="AJ7" s="16" t="str">
        <f aca="false">IF(Data_Summary!Y8&lt;&gt;"Coverage","",IF(Data_Summary!AA8="","",IF(COUNTIFS(Data_Summary!$Y$2:$Y8,"Coverage",Data_Summary!$AA$2:$AA8,Data_Summary!AA8)=1,Data_Summary!AA8,"")))</f>
        <v>Career Visibility &amp; Skill Roadmap</v>
      </c>
      <c r="AK7" s="16" t="n">
        <f aca="false">IF(AJ7="","",COUNTIFS(Data_Summary!$Y$2:$Y$20001,"Coverage",Data_Summary!$AA$2:$AA$20001,AJ7))</f>
        <v>5</v>
      </c>
    </row>
    <row r="8" customFormat="false" ht="15" hidden="false" customHeight="true" outlineLevel="0" collapsed="false">
      <c r="A8" s="27" t="s">
        <v>953</v>
      </c>
      <c r="B8" s="28" t="n">
        <f aca="false">COUNTIF(RawData[Severity],"Moderate")</f>
        <v>44</v>
      </c>
      <c r="D8" s="29"/>
      <c r="E8" s="29"/>
      <c r="G8" s="29" t="s">
        <v>750</v>
      </c>
      <c r="H8" s="34" t="n">
        <f aca="false">COUNTIF(RawData[Engagement Type],G8)</f>
        <v>3</v>
      </c>
      <c r="Q8" s="35" t="str">
        <f aca="false" t="array" ref="Q8:Q8">IFERROR(INDEX($AJ$2:$AJ$599,MATCH(1,($AK$2:$AK$599=R8)*(COUNTIF($Q$3:$Q7,$AJ$2:$AJ$599)=0)*($AJ$2:$AJ$599&lt;&gt;""),0)),"")</f>
        <v>Business Context &amp; Org Awareness</v>
      </c>
      <c r="R8" s="33" t="n">
        <f aca="false">IFERROR(LARGE($AK$2:$AK$599,6),"")</f>
        <v>4</v>
      </c>
      <c r="S8" s="36" t="n">
        <f aca="false">IF(Q8="","",IFERROR(R8/$B$3,0))</f>
        <v>0.04</v>
      </c>
      <c r="T8" s="37" t="str">
        <f aca="false" t="array" ref="T8:T8">IF(Q8="","",IFERROR(INDEX(SummaryData[Engagement Type],MATCH(TRIM(Q8),TRIM(SummaryData[Statement]),0)),""))</f>
        <v>FGD</v>
      </c>
      <c r="W8" s="29" t="s">
        <v>381</v>
      </c>
      <c r="X8" s="29" t="n">
        <f aca="false">SUMPRODUCT((TRIM(RawData[Alignment])=TRIM(W8))*1)</f>
        <v>6</v>
      </c>
      <c r="AA8" s="16" t="str">
        <f aca="false" t="array" ref="AA8:AA8">IFERROR(INDEX($AM$2:$AM$199,MATCH(1,($AN$2:$AN$199=AB8)*(COUNTIF($AA$3:$AA7,$AM$2:$AM$199)=0)*($AM$2:$AM$199&lt;&gt;""),0)),"")</f>
        <v>Skip Meeting</v>
      </c>
      <c r="AB8" s="16" t="n">
        <f aca="false">IFERROR(LARGE($AN$2:$AN$199,6),"")</f>
        <v>4</v>
      </c>
      <c r="AD8" s="16" t="str">
        <f aca="false">IF(Calc!Q8="","",Calc!Q8)</f>
        <v>Business Context &amp; Org Awareness</v>
      </c>
      <c r="AE8" s="16" t="n">
        <f aca="false">IF(Calc!Q8="","",Calc!R8)</f>
        <v>4</v>
      </c>
      <c r="AG8" s="16" t="str">
        <f aca="false" t="array" ref="AG8:AG8">IFERROR(INDEX($G$3:$G$15,MATCH(1,(($H$3:$H$15)=AH8)*(COUNTIF($AG$3:$AG7,$G$3:$G$15)=0),0)),"")</f>
        <v>Workshop/Session</v>
      </c>
      <c r="AH8" s="16" t="n">
        <f aca="false">IFERROR(LARGE($H$3:$H$15,6),"")</f>
        <v>3</v>
      </c>
      <c r="AJ8" s="16" t="str">
        <f aca="false">IF(Data_Summary!Y9&lt;&gt;"Coverage","",IF(Data_Summary!AA9="","",IF(COUNTIFS(Data_Summary!$Y$2:$Y9,"Coverage",Data_Summary!$AA$2:$AA9,Data_Summary!AA9)=1,Data_Summary!AA9,"")))</f>
        <v>AI/future Readiness Messaging Is High-level</v>
      </c>
      <c r="AK8" s="16" t="n">
        <f aca="false">IF(AJ8="","",COUNTIFS(Data_Summary!$Y$2:$Y$20001,"Coverage",Data_Summary!$AA$2:$AA$20001,AJ8))</f>
        <v>3</v>
      </c>
    </row>
    <row r="9" customFormat="false" ht="15" hidden="false" customHeight="true" outlineLevel="0" collapsed="false">
      <c r="A9" s="27" t="s">
        <v>954</v>
      </c>
      <c r="B9" s="28" t="n">
        <f aca="false">COUNTIF(RawData[Severity],"Low")</f>
        <v>34</v>
      </c>
      <c r="D9" s="38"/>
      <c r="E9" s="29"/>
      <c r="G9" s="29" t="s">
        <v>955</v>
      </c>
      <c r="H9" s="34" t="n">
        <f aca="false">COUNTIF(RawData[Engagement Type],G9)</f>
        <v>0</v>
      </c>
      <c r="Q9" s="35" t="str">
        <f aca="false" t="array" ref="Q9:Q9">IFERROR(INDEX($AJ$2:$AJ$599,MATCH(1,($AK$2:$AK$599=R9)*(COUNTIF($Q$3:$Q8,$AJ$2:$AJ$599)=0)*($AJ$2:$AJ$599&lt;&gt;""),0)),"")</f>
        <v>Business &amp; Practice Awareness</v>
      </c>
      <c r="R9" s="33" t="n">
        <f aca="false">IFERROR(LARGE($AK$2:$AK$599,7),"")</f>
        <v>4</v>
      </c>
      <c r="S9" s="36" t="n">
        <f aca="false">IF(Q9="","",IFERROR(R9/$B$3,0))</f>
        <v>0.04</v>
      </c>
      <c r="T9" s="37" t="str">
        <f aca="false" t="array" ref="T9:T9">IF(Q9="","",IFERROR(INDEX(SummaryData[Engagement Type],MATCH(TRIM(Q9),TRIM(SummaryData[Statement]),0)),""))</f>
        <v>Large Connect</v>
      </c>
      <c r="W9" s="29" t="s">
        <v>148</v>
      </c>
      <c r="X9" s="29" t="n">
        <f aca="false">SUMPRODUCT((TRIM(RawData[Alignment])=TRIM(W9))*1)</f>
        <v>7</v>
      </c>
      <c r="AA9" s="16" t="str">
        <f aca="false" t="array" ref="AA9:AA9">IFERROR(INDEX($AM$2:$AM$199,MATCH(1,($AN$2:$AN$199=AB9)*(COUNTIF($AA$3:$AA8,$AM$2:$AM$199)=0)*($AM$2:$AM$199&lt;&gt;""),0)),"")</f>
        <v>New Joiner Connect (7 Days)</v>
      </c>
      <c r="AB9" s="16" t="n">
        <f aca="false">IFERROR(LARGE($AN$2:$AN$199,7),"")</f>
        <v>4</v>
      </c>
      <c r="AD9" s="16" t="str">
        <f aca="false">IF(Calc!Q9="","",Calc!Q9)</f>
        <v>Business &amp; Practice Awareness</v>
      </c>
      <c r="AE9" s="16" t="n">
        <f aca="false">IF(Calc!Q9="","",Calc!R9)</f>
        <v>4</v>
      </c>
      <c r="AG9" s="16" t="str">
        <f aca="false" t="array" ref="AG9:AG9">IFERROR(INDEX($G$3:$G$15,MATCH(1,(($H$3:$H$15)=AH9)*(COUNTIF($AG$3:$AG8,$G$3:$G$15)=0),0)),"")</f>
        <v>Location-Mixed</v>
      </c>
      <c r="AH9" s="16" t="n">
        <f aca="false">IFERROR(LARGE($H$3:$H$15,7),"")</f>
        <v>2</v>
      </c>
      <c r="AJ9" s="16" t="str">
        <f aca="false">IF(Data_Summary!Y10&lt;&gt;"Coverage","",IF(Data_Summary!AA10="","",IF(COUNTIFS(Data_Summary!$Y$2:$Y10,"Coverage",Data_Summary!$AA$2:$AA10,Data_Summary!AA10)=1,Data_Summary!AA10,"")))</f>
        <v/>
      </c>
      <c r="AK9" s="16" t="str">
        <f aca="false">IF(AJ9="","",COUNTIFS(Data_Summary!$Y$2:$Y$20001,"Coverage",Data_Summary!$AA$2:$AA$20001,AJ9))</f>
        <v/>
      </c>
    </row>
    <row r="10" customFormat="false" ht="15" hidden="false" customHeight="true" outlineLevel="0" collapsed="false">
      <c r="A10" s="27" t="s">
        <v>956</v>
      </c>
      <c r="B10" s="28" t="n">
        <f aca="false">COUNTIF(RawData[Overall Sentiment],"Positive")</f>
        <v>62</v>
      </c>
      <c r="D10" s="29"/>
      <c r="E10" s="29"/>
      <c r="G10" s="29" t="s">
        <v>713</v>
      </c>
      <c r="H10" s="34" t="n">
        <f aca="false">COUNTIF(RawData[Engagement Type],G10)</f>
        <v>2</v>
      </c>
      <c r="Q10" s="35" t="str">
        <f aca="false" t="array" ref="Q10:Q10">IFERROR(INDEX($AJ$2:$AJ$599,MATCH(1,($AK$2:$AK$599=R10)*(COUNTIF($Q$3:$Q9,$AJ$2:$AJ$599)=0)*($AJ$2:$AJ$599&lt;&gt;""),0)),"")</f>
        <v>HR / WFM / Training Communication Effectiveness</v>
      </c>
      <c r="R10" s="33" t="n">
        <f aca="false">IFERROR(LARGE($AK$2:$AK$599,8),"")</f>
        <v>4</v>
      </c>
      <c r="S10" s="36" t="n">
        <f aca="false">IF(Q10="","",IFERROR(R10/$B$3,0))</f>
        <v>0.04</v>
      </c>
      <c r="T10" s="37" t="str">
        <f aca="false" t="array" ref="T10:T10">IF(Q10="","",IFERROR(INDEX(SummaryData[Engagement Type],MATCH(TRIM(Q10),TRIM(SummaryData[Statement]),0)),""))</f>
        <v>1:1</v>
      </c>
      <c r="W10" s="29" t="s">
        <v>135</v>
      </c>
      <c r="X10" s="29" t="n">
        <f aca="false" t="array" ref="X10:X10">SUMPRODUCT((TRIM(RawData[Alignment])=TRIM(W10))*1)</f>
        <v>10</v>
      </c>
      <c r="AA10" s="16" t="str">
        <f aca="false" t="array" ref="AA10:AA10">IFERROR(INDEX($AM$2:$AM$199,MATCH(1,($AN$2:$AN$199=AB10)*(COUNTIF($AA$3:$AA9,$AM$2:$AM$199)=0)*($AM$2:$AM$199&lt;&gt;""),0)),"")</f>
        <v>Top Talent FGD Connect</v>
      </c>
      <c r="AB10" s="16" t="n">
        <f aca="false">IFERROR(LARGE($AN$2:$AN$199,8),"")</f>
        <v>3</v>
      </c>
      <c r="AD10" s="16" t="str">
        <f aca="false">IF(Calc!Q10="","",Calc!Q10)</f>
        <v>HR / WFM / Training Communication Effectiveness</v>
      </c>
      <c r="AE10" s="16" t="n">
        <f aca="false">IF(Calc!Q10="","",Calc!R10)</f>
        <v>4</v>
      </c>
      <c r="AG10" s="16" t="str">
        <f aca="false" t="array" ref="AG10:AG10">IFERROR(INDEX($G$3:$G$15,MATCH(1,(($H$3:$H$15)=AH10)*(COUNTIF($AG$3:$AG9,$G$3:$G$15)=0),0)),"")</f>
        <v>Induction</v>
      </c>
      <c r="AH10" s="16" t="n">
        <f aca="false">IFERROR(LARGE($H$3:$H$15,8),"")</f>
        <v>1</v>
      </c>
      <c r="AJ10" s="16" t="str">
        <f aca="false">IF(Data_Summary!Y11&lt;&gt;"Coverage","",IF(Data_Summary!AA11="","",IF(COUNTIFS(Data_Summary!$Y$2:$Y11,"Coverage",Data_Summary!$AA$2:$AA11,Data_Summary!AA11)=1,Data_Summary!AA11,"")))</f>
        <v/>
      </c>
      <c r="AK10" s="16" t="str">
        <f aca="false">IF(AJ10="","",COUNTIFS(Data_Summary!$Y$2:$Y$20001,"Coverage",Data_Summary!$AA$2:$AA$20001,AJ10))</f>
        <v/>
      </c>
    </row>
    <row r="11" customFormat="false" ht="28.5" hidden="false" customHeight="true" outlineLevel="0" collapsed="false">
      <c r="A11" s="27" t="s">
        <v>957</v>
      </c>
      <c r="B11" s="28" t="n">
        <f aca="false">COUNTIF(RawData[Overall Sentiment],"Mixed")</f>
        <v>11</v>
      </c>
      <c r="D11" s="29"/>
      <c r="E11" s="29"/>
      <c r="G11" s="29" t="s">
        <v>958</v>
      </c>
      <c r="H11" s="34" t="n">
        <f aca="false">COUNTIF(RawData[Engagement Type],G11)</f>
        <v>0</v>
      </c>
      <c r="Q11" s="35" t="str">
        <f aca="false" t="array" ref="Q11:Q11">IFERROR(INDEX($AJ$2:$AJ$599,MATCH(1,($AK$2:$AK$599=R11)*(COUNTIF($Q$3:$Q10,$AJ$2:$AJ$599)=0)*($AJ$2:$AJ$599&lt;&gt;""),0)),"")</f>
        <v>Career Progression &amp; Next-Level Readiness</v>
      </c>
      <c r="R11" s="33" t="n">
        <f aca="false">IFERROR(LARGE($AK$2:$AK$599,9),"")</f>
        <v>4</v>
      </c>
      <c r="S11" s="36" t="n">
        <f aca="false">IF(Q11="","",IFERROR(R11/$B$3,0))</f>
        <v>0.04</v>
      </c>
      <c r="T11" s="37" t="str">
        <f aca="false" t="array" ref="T11:T11">IF(Q11="","",IFERROR(INDEX(SummaryData[Engagement Type],MATCH(TRIM(Q11),TRIM(SummaryData[Statement]),0)),""))</f>
        <v>Large Connect</v>
      </c>
      <c r="W11" s="29" t="s">
        <v>448</v>
      </c>
      <c r="X11" s="29" t="n">
        <f aca="false" t="array" ref="X11:X11">SUMPRODUCT((TRIM(RawData[Empowerment])=TRIM(W11))*1)</f>
        <v>4</v>
      </c>
      <c r="AA11" s="16" t="str">
        <f aca="false" t="array" ref="AA11:AA11">IFERROR(INDEX($AM$2:$AM$199,MATCH(1,($AN$2:$AN$199=AB11)*(COUNTIF($AA$3:$AA10,$AM$2:$AM$199)=0)*($AM$2:$AM$199&lt;&gt;""),0)),"")</f>
        <v>ELTP Connect (Practice Level)</v>
      </c>
      <c r="AB11" s="16" t="n">
        <f aca="false">IFERROR(LARGE($AN$2:$AN$199,9),"")</f>
        <v>3</v>
      </c>
      <c r="AD11" s="16" t="str">
        <f aca="false">IF(Calc!Q11="","",Calc!Q11)</f>
        <v>Career Progression &amp; Next-Level Readiness</v>
      </c>
      <c r="AE11" s="16" t="n">
        <f aca="false">IF(Calc!Q11="","",Calc!R11)</f>
        <v>4</v>
      </c>
      <c r="AG11" s="16" t="str">
        <f aca="false" t="array" ref="AG11:AG11">IFERROR(INDEX($G$3:$G$15,MATCH(1,(($H$3:$H$15)=AH11)*(COUNTIF($AG$3:$AG10,$G$3:$G$15)=0),0)),"")</f>
        <v>Leadership Connect</v>
      </c>
      <c r="AH11" s="16" t="n">
        <f aca="false">IFERROR(LARGE($H$3:$H$15,9),"")</f>
        <v>1</v>
      </c>
      <c r="AJ11" s="16" t="str">
        <f aca="false">IF(Data_Summary!Y12&lt;&gt;"Coverage","",IF(Data_Summary!AA12="","",IF(COUNTIFS(Data_Summary!$Y$2:$Y12,"Coverage",Data_Summary!$AA$2:$AA12,Data_Summary!AA12)=1,Data_Summary!AA12,"")))</f>
        <v/>
      </c>
      <c r="AK11" s="16" t="str">
        <f aca="false">IF(AJ11="","",COUNTIFS(Data_Summary!$Y$2:$Y$20001,"Coverage",Data_Summary!$AA$2:$AA$20001,AJ11))</f>
        <v/>
      </c>
    </row>
    <row r="12" customFormat="false" ht="15" hidden="false" customHeight="true" outlineLevel="0" collapsed="false">
      <c r="A12" s="27" t="s">
        <v>959</v>
      </c>
      <c r="B12" s="28" t="n">
        <f aca="false">COUNTIF(RawData[Overall Sentiment],"Neutral")</f>
        <v>24</v>
      </c>
      <c r="D12" s="38"/>
      <c r="E12" s="29"/>
      <c r="G12" s="29" t="s">
        <v>405</v>
      </c>
      <c r="H12" s="34" t="n">
        <f aca="false">COUNTIF(RawData[Engagement Type],G12)</f>
        <v>1</v>
      </c>
      <c r="Q12" s="35" t="str">
        <f aca="false" t="array" ref="Q12:Q12">IFERROR(INDEX($AJ$2:$AJ$599,MATCH(1,($AK$2:$AK$599=R12)*(COUNTIF($Q$3:$Q11,$AJ$2:$AJ$599)=0)*($AJ$2:$AJ$599&lt;&gt;""),0)),"")</f>
        <v>AI/future Readiness Messaging Is High-level</v>
      </c>
      <c r="R12" s="33" t="n">
        <f aca="false">IFERROR(LARGE($AK$2:$AK$599,10),"")</f>
        <v>3</v>
      </c>
      <c r="S12" s="36" t="n">
        <f aca="false">IF(Q12="","",IFERROR(R12/$B$3,0))</f>
        <v>0.03</v>
      </c>
      <c r="T12" s="37" t="str">
        <f aca="false" t="array" ref="T12:T12">IF(Q12="","",IFERROR(INDEX(SummaryData[Engagement Type],MATCH(TRIM(Q12),TRIM(SummaryData[Statement]),0)),""))</f>
        <v>Large Connect</v>
      </c>
      <c r="W12" s="29" t="s">
        <v>960</v>
      </c>
      <c r="X12" s="29" t="n">
        <f aca="false" t="array" ref="X12:X12">SUMPRODUCT((TRIM(RawData[Career])=TRIM(W12))*1)</f>
        <v>0</v>
      </c>
      <c r="AA12" s="16" t="str">
        <f aca="false" t="array" ref="AA12:AA12">IFERROR(INDEX($AM$2:$AM$199,MATCH(1,($AN$2:$AN$199=AB12)*(COUNTIF($AA$3:$AA11,$AM$2:$AM$199)=0)*($AM$2:$AM$199&lt;&gt;""),0)),"")</f>
        <v>Leadership Connect</v>
      </c>
      <c r="AB12" s="16" t="n">
        <f aca="false">IFERROR(LARGE($AN$2:$AN$199,10),"")</f>
        <v>2</v>
      </c>
      <c r="AD12" s="16" t="str">
        <f aca="false">IF(Calc!Q12="","",Calc!Q12)</f>
        <v>AI/future Readiness Messaging Is High-level</v>
      </c>
      <c r="AE12" s="16" t="n">
        <f aca="false">IF(Calc!Q12="","",Calc!R12)</f>
        <v>3</v>
      </c>
      <c r="AG12" s="16" t="str">
        <f aca="false" t="array" ref="AG12:AG12">IFERROR(INDEX($G$3:$G$15,MATCH(1,(($H$3:$H$15)=AH12)*(COUNTIF($AG$3:$AG11,$G$3:$G$15)=0),0)),"")</f>
        <v>Monthly Cadence</v>
      </c>
      <c r="AH12" s="16" t="n">
        <f aca="false">IFERROR(LARGE($H$3:$H$15,10),"")</f>
        <v>1</v>
      </c>
      <c r="AJ12" s="16" t="str">
        <f aca="false">IF(Data_Summary!Y13&lt;&gt;"Coverage","",IF(Data_Summary!AA13="","",IF(COUNTIFS(Data_Summary!$Y$2:$Y13,"Coverage",Data_Summary!$AA$2:$AA13,Data_Summary!AA13)=1,Data_Summary!AA13,"")))</f>
        <v>Visibility on Allocation &amp; Demand</v>
      </c>
      <c r="AK12" s="16" t="n">
        <f aca="false">IF(AJ12="","",COUNTIFS(Data_Summary!$Y$2:$Y$20001,"Coverage",Data_Summary!$AA$2:$AA$20001,AJ12))</f>
        <v>2</v>
      </c>
      <c r="AM12" s="16" t="str">
        <f aca="false">IF(Data_Insight!X12="","",IF(COUNTIF(Data_Insight!$X$2:$X12,Data_Insight!X12)=1,Data_Insight!X12,""))</f>
        <v>Top Talent FGD Connect</v>
      </c>
      <c r="AN12" s="16" t="n">
        <f aca="false">IF(AM12="","",COUNTIF(Data_Insight!$X$2:$X$20001,AM12))</f>
        <v>3</v>
      </c>
    </row>
    <row r="13" customFormat="false" ht="15" hidden="false" customHeight="true" outlineLevel="0" collapsed="false">
      <c r="A13" s="27" t="s">
        <v>961</v>
      </c>
      <c r="B13" s="28" t="n">
        <f aca="false">IFERROR(COUNTIF(RawData[Status],"Closed")/COUNTA(RawData[ID])*100,0)</f>
        <v>74</v>
      </c>
      <c r="D13" s="38"/>
      <c r="E13" s="29"/>
      <c r="G13" s="29" t="s">
        <v>962</v>
      </c>
      <c r="H13" s="34" t="n">
        <f aca="false">COUNTIF(RawData[Engagement Type],G13)</f>
        <v>0</v>
      </c>
      <c r="Q13" s="35" t="str">
        <f aca="false" t="array" ref="Q13:Q13">IFERROR(INDEX($AJ$2:$AJ$599,MATCH(1,($AK$2:$AK$599=R13)*(COUNTIF($Q$3:$Q12,$AJ$2:$AJ$599)=0)*($AJ$2:$AJ$599&lt;&gt;""),0)),"")</f>
        <v>On Hybrid/WFO Rules And Monthly Compliance Expectations</v>
      </c>
      <c r="R13" s="39" t="n">
        <f aca="false">IFERROR(LARGE($AK$2:$AK$599,11),"")</f>
        <v>3</v>
      </c>
      <c r="S13" s="36" t="n">
        <f aca="false">IF(Q13="","",IFERROR(R13/$B$3,0))</f>
        <v>0.03</v>
      </c>
      <c r="T13" s="37" t="str">
        <f aca="false" t="array" ref="T13:T13">IF(Q13="","",IFERROR(INDEX(SummaryData[Engagement Type],MATCH(TRIM(Q13),TRIM(SummaryData[Statement]),0)),""))</f>
        <v>FGD</v>
      </c>
      <c r="W13" s="29" t="s">
        <v>963</v>
      </c>
      <c r="X13" s="29" t="n">
        <f aca="false" t="array" ref="X13:X13">SUMPRODUCT((TRIM(RawData[Career])=TRIM(W13))*1)</f>
        <v>0</v>
      </c>
      <c r="AA13" s="16" t="str">
        <f aca="false" t="array" ref="AA13:AA13">IFERROR(INDEX($AM$2:$AM$199,MATCH(1,($AN$2:$AN$199=AB13)*(COUNTIF($AA$3:$AA12,$AM$2:$AM$199)=0)*($AM$2:$AM$199&lt;&gt;""),0)),"")</f>
        <v>Josh (Fun Engagements)</v>
      </c>
      <c r="AB13" s="16" t="n">
        <f aca="false">IFERROR(LARGE($AN$2:$AN$199,11),"")</f>
        <v>2</v>
      </c>
      <c r="AG13" s="16" t="str">
        <f aca="false" t="array" ref="AG13:AG13">IFERROR(INDEX($G$3:$G$15,MATCH(1,(($H$3:$H$15)=AH13)*(COUNTIF($AG$3:$AG12,$G$3:$G$15)=0),0)),"")</f>
        <v>Connect with Women Associates</v>
      </c>
      <c r="AH13" s="16" t="n">
        <f aca="false">IFERROR(LARGE($H$3:$H$15,11),"")</f>
        <v>0</v>
      </c>
      <c r="AJ13" s="16" t="str">
        <f aca="false">IF(Data_Summary!Y14&lt;&gt;"Coverage","",IF(Data_Summary!AA14="","",IF(COUNTIFS(Data_Summary!$Y$2:$Y14,"Coverage",Data_Summary!$AA$2:$AA14,Data_Summary!AA14)=1,Data_Summary!AA14,"")))</f>
        <v/>
      </c>
      <c r="AK13" s="16" t="str">
        <f aca="false">IF(AJ13="","",COUNTIFS(Data_Summary!$Y$2:$Y$20001,"Coverage",Data_Summary!$AA$2:$AA$20001,AJ13))</f>
        <v/>
      </c>
      <c r="AM13" s="16" t="str">
        <f aca="false">IF(Data_Insight!X13="","",IF(COUNTIF(Data_Insight!$X$2:$X13,Data_Insight!X13)=1,Data_Insight!X13,""))</f>
        <v>Leadership Connect</v>
      </c>
      <c r="AN13" s="16" t="n">
        <f aca="false">IF(AM13="","",COUNTIF(Data_Insight!$X$2:$X$20001,AM13))</f>
        <v>2</v>
      </c>
    </row>
    <row r="14" customFormat="false" ht="15" hidden="false" customHeight="true" outlineLevel="0" collapsed="false">
      <c r="A14" s="27" t="s">
        <v>964</v>
      </c>
      <c r="B14" s="28" t="n">
        <f aca="false">IFERROR((COUNTIF(RawData[Overall Sentiment],"Positive")*100+COUNTIF(RawData[Overall Sentiment],"Neutral")*50+COUNTIF(RawData[Overall Sentiment],"Mixed")*25)/COUNTA(RawData[ID]),0)</f>
        <v>76.75</v>
      </c>
      <c r="D14" s="38"/>
      <c r="E14" s="29"/>
      <c r="G14" s="29" t="s">
        <v>260</v>
      </c>
      <c r="H14" s="34" t="n">
        <f aca="false">COUNTIF(RawData[Engagement Type],G14)</f>
        <v>1</v>
      </c>
      <c r="Q14" s="35" t="str">
        <f aca="false" t="array" ref="Q14:Q14">IFERROR(INDEX($AJ$2:$AJ$599,MATCH(1,($AK$2:$AK$599=R14)*(COUNTIF($Q$3:$Q13,$AJ$2:$AJ$599)=0)*($AJ$2:$AJ$599&lt;&gt;""),0)),"")</f>
        <v>Grievance/speak-up Clarity</v>
      </c>
      <c r="R14" s="33" t="n">
        <f aca="false">IFERROR(LARGE($AK$2:$AK$599,12),"")</f>
        <v>3</v>
      </c>
      <c r="S14" s="36" t="n">
        <f aca="false">IF(Q14="","",IFERROR(R14/$B$3,0))</f>
        <v>0.03</v>
      </c>
      <c r="T14" s="37" t="str">
        <f aca="false" t="array" ref="T14:T14">IF(Q14="","",IFERROR(INDEX(SummaryData[Engagement Type],MATCH(TRIM(Q14),TRIM(SummaryData[Statement]),0)),""))</f>
        <v>Large Connect</v>
      </c>
      <c r="W14" s="29" t="s">
        <v>965</v>
      </c>
      <c r="X14" s="29" t="n">
        <f aca="false" t="array" ref="X14:X14">SUMPRODUCT((TRIM(RawData[Career])=TRIM(W14))*1)</f>
        <v>0</v>
      </c>
      <c r="AA14" s="16" t="str">
        <f aca="false" t="array" ref="AA14:AA14">IFERROR(INDEX($AM$2:$AM$199,MATCH(1,($AN$2:$AN$199=AB14)*(COUNTIF($AA$3:$AA13,$AM$2:$AM$199)=0)*($AM$2:$AM$199&lt;&gt;""),0)),"")</f>
        <v>Top Talent Connect</v>
      </c>
      <c r="AB14" s="16" t="n">
        <f aca="false">IFERROR(LARGE($AN$2:$AN$199,12),"")</f>
        <v>2</v>
      </c>
      <c r="AG14" s="16" t="str">
        <f aca="false" t="array" ref="AG14:AG14">IFERROR(INDEX($G$3:$G$15,MATCH(1,(($H$3:$H$15)=AH14)*(COUNTIF($AG$3:$AG13,$G$3:$G$15)=0),0)),"")</f>
        <v>Account Based</v>
      </c>
      <c r="AH14" s="16" t="n">
        <f aca="false">IFERROR(LARGE($H$3:$H$15,12),"")</f>
        <v>0</v>
      </c>
      <c r="AJ14" s="16" t="str">
        <f aca="false">IF(Data_Summary!Y15&lt;&gt;"Coverage","",IF(Data_Summary!AA15="","",IF(COUNTIFS(Data_Summary!$Y$2:$Y15,"Coverage",Data_Summary!$AA$2:$AA15,Data_Summary!AA15)=1,Data_Summary!AA15,"")))</f>
        <v/>
      </c>
      <c r="AK14" s="16" t="str">
        <f aca="false">IF(AJ14="","",COUNTIFS(Data_Summary!$Y$2:$Y$20001,"Coverage",Data_Summary!$AA$2:$AA$20001,AJ14))</f>
        <v/>
      </c>
      <c r="AM14" s="16" t="str">
        <f aca="false">IF(Data_Insight!X14="","",IF(COUNTIF(Data_Insight!$X$2:$X14,Data_Insight!X14)=1,Data_Insight!X14,""))</f>
        <v>New Joiner Connect (30 Days)</v>
      </c>
      <c r="AN14" s="16" t="n">
        <f aca="false">IF(AM14="","",COUNTIF(Data_Insight!$X$2:$X$20001,AM14))</f>
        <v>5</v>
      </c>
    </row>
    <row r="15" customFormat="false" ht="15" hidden="false" customHeight="true" outlineLevel="0" collapsed="false">
      <c r="A15" s="27" t="s">
        <v>966</v>
      </c>
      <c r="B15" s="28" t="n">
        <f aca="false" t="array" ref="B15:B15">SUMPRODUCT((RawData[BHR Name]&lt;&gt;"")/COUNTIF(RawData[BHR Name],RawData[BHR Name]&amp;""))</f>
        <v>100</v>
      </c>
      <c r="G15" s="29" t="s">
        <v>781</v>
      </c>
      <c r="H15" s="34" t="n">
        <f aca="false">COUNTIF(RawData[Engagement Type],G15)</f>
        <v>1</v>
      </c>
      <c r="Q15" s="35" t="str">
        <f aca="false" t="array" ref="Q15:Q15">IFERROR(INDEX($AJ$2:$AJ$599,MATCH(1,($AK$2:$AK$599=R15)*(COUNTIF($Q$3:$Q14,$AJ$2:$AJ$599)=0)*($AJ$2:$AJ$599&lt;&gt;""),0)),"")</f>
        <v>Empathy And Communication</v>
      </c>
      <c r="R15" s="33" t="n">
        <f aca="false">IFERROR(LARGE($AK$2:$AK$599,13),"")</f>
        <v>3</v>
      </c>
      <c r="S15" s="36" t="n">
        <f aca="false">IF(Q15="","",IFERROR(R15/$B$3,0))</f>
        <v>0.03</v>
      </c>
      <c r="T15" s="37" t="str">
        <f aca="false" t="array" ref="T15:T15">IF(Q15="","",IFERROR(INDEX(SummaryData[Engagement Type],MATCH(TRIM(Q15),TRIM(SummaryData[Statement]),0)),""))</f>
        <v>Large Connect</v>
      </c>
      <c r="W15" s="29" t="s">
        <v>503</v>
      </c>
      <c r="X15" s="29" t="n">
        <f aca="false" t="array" ref="X15:X15">SUMPRODUCT((TRIM(RawData[Recognition])=TRIM(W15))*1)</f>
        <v>2</v>
      </c>
      <c r="AA15" s="16" t="str">
        <f aca="false" t="array" ref="AA15:AA15">IFERROR(INDEX($AM$2:$AM$199,MATCH(1,($AN$2:$AN$199=AB15)*(COUNTIF($AA$3:$AA14,$AM$2:$AM$199)=0)*($AM$2:$AM$199&lt;&gt;""),0)),"")</f>
        <v>ELTP Connect (&lt;6m)</v>
      </c>
      <c r="AB15" s="16" t="n">
        <f aca="false">IFERROR(LARGE($AN$2:$AN$199,13),"")</f>
        <v>2</v>
      </c>
      <c r="AG15" s="16" t="str">
        <f aca="false" t="array" ref="AG15:AG15">IFERROR(INDEX($G$3:$G$15,MATCH(1,(($H$3:$H$15)=AH15)*(COUNTIF($AG$3:$AG14,$G$3:$G$15)=0),0)),"")</f>
        <v>New Joiner Induction</v>
      </c>
      <c r="AH15" s="16" t="n">
        <f aca="false">IFERROR(LARGE($H$3:$H$15,13),"")</f>
        <v>0</v>
      </c>
      <c r="AJ15" s="16" t="str">
        <f aca="false">IF(Data_Summary!Y16&lt;&gt;"Coverage","",IF(Data_Summary!AA16="","",IF(COUNTIFS(Data_Summary!$Y$2:$Y16,"Coverage",Data_Summary!$AA$2:$AA16,Data_Summary!AA16)=1,Data_Summary!AA16,"")))</f>
        <v/>
      </c>
      <c r="AK15" s="16" t="str">
        <f aca="false">IF(AJ15="","",COUNTIFS(Data_Summary!$Y$2:$Y$20001,"Coverage",Data_Summary!$AA$2:$AA$20001,AJ15))</f>
        <v/>
      </c>
      <c r="AM15" s="16" t="str">
        <f aca="false">IF(Data_Insight!X15="","",IF(COUNTIF(Data_Insight!$X$2:$X15,Data_Insight!X15)=1,Data_Insight!X15,""))</f>
        <v/>
      </c>
      <c r="AN15" s="16" t="str">
        <f aca="false">IF(AM15="","",COUNTIF(Data_Insight!$X$2:$X$20001,AM15))</f>
        <v/>
      </c>
    </row>
    <row r="16" customFormat="false" ht="15" hidden="false" customHeight="true" outlineLevel="0" collapsed="false">
      <c r="A16" s="27" t="s">
        <v>967</v>
      </c>
      <c r="B16" s="28" t="n">
        <f aca="false">IFERROR(SUMPRODUCT((RawData[Service Line]&lt;&gt;"")/COUNTIF(RawData[Service Line],RawData[Service Line]&amp;"")),0)</f>
        <v>8</v>
      </c>
      <c r="Q16" s="35" t="str">
        <f aca="false" t="array" ref="Q16:Q16">IFERROR(INDEX($AJ$2:$AJ$599,MATCH(1,($AK$2:$AK$599=R16)*(COUNTIF($Q$3:$Q15,$AJ$2:$AJ$599)=0)*($AJ$2:$AJ$599&lt;&gt;""),0)),"")</f>
        <v>Career Support &amp; Sponsorship</v>
      </c>
      <c r="R16" s="33" t="n">
        <f aca="false">IFERROR(LARGE($AK$2:$AK$599,14),"")</f>
        <v>3</v>
      </c>
      <c r="S16" s="36" t="n">
        <f aca="false">IF(Q16="","",IFERROR(R16/$B$3,0))</f>
        <v>0.03</v>
      </c>
      <c r="T16" s="37" t="str">
        <f aca="false" t="array" ref="T16:T16">IF(Q16="","",IFERROR(INDEX(SummaryData[Engagement Type],MATCH(TRIM(Q16),TRIM(SummaryData[Statement]),0)),""))</f>
        <v>FGD</v>
      </c>
      <c r="W16" s="29" t="s">
        <v>968</v>
      </c>
      <c r="X16" s="29" t="n">
        <f aca="false" t="array" ref="X16:X16">SUMPRODUCT((TRIM(RawData[Recognition])=TRIM(W16))*1)</f>
        <v>0</v>
      </c>
      <c r="AA16" s="16" t="str">
        <f aca="false" t="array" ref="AA16:AA16">IFERROR(INDEX($AM$2:$AM$199,MATCH(1,($AN$2:$AN$199=AB16)*(COUNTIF($AA$3:$AA15,$AM$2:$AM$199)=0)*($AM$2:$AM$199&lt;&gt;""),0)),"")</f>
        <v>LSA Connect</v>
      </c>
      <c r="AB16" s="16" t="n">
        <f aca="false">IFERROR(LARGE($AN$2:$AN$199,14),"")</f>
        <v>2</v>
      </c>
      <c r="AJ16" s="16" t="str">
        <f aca="false">IF(Data_Summary!Y17&lt;&gt;"Coverage","",IF(Data_Summary!AA17="","",IF(COUNTIFS(Data_Summary!$Y$2:$Y17,"Coverage",Data_Summary!$AA$2:$AA17,Data_Summary!AA17)=1,Data_Summary!AA17,"")))</f>
        <v/>
      </c>
      <c r="AK16" s="16" t="str">
        <f aca="false">IF(AJ16="","",COUNTIFS(Data_Summary!$Y$2:$Y$20001,"Coverage",Data_Summary!$AA$2:$AA$20001,AJ16))</f>
        <v/>
      </c>
      <c r="AM16" s="16" t="str">
        <f aca="false">IF(Data_Insight!X16="","",IF(COUNTIF(Data_Insight!$X$2:$X16,Data_Insight!X16)=1,Data_Insight!X16,""))</f>
        <v/>
      </c>
      <c r="AN16" s="16" t="str">
        <f aca="false">IF(AM16="","",COUNTIF(Data_Insight!$X$2:$X$20001,AM16))</f>
        <v/>
      </c>
    </row>
    <row r="17" customFormat="false" ht="15" hidden="false" customHeight="true" outlineLevel="0" collapsed="false">
      <c r="A17" s="27" t="s">
        <v>969</v>
      </c>
      <c r="B17" s="28" t="str">
        <f aca="false" t="array" ref="B17:B17">IFERROR(INDEX(RawData[Service Line],MATCH(MAX(COUNTIF(RawData[Service Line],RawData[Service Line])),COUNTIF(RawData[Service Line],RawData[Service Line]),0)),"N/A")</f>
        <v>DEA Service Line</v>
      </c>
      <c r="Q17" s="35" t="str">
        <f aca="false" t="array" ref="Q17:Q17">IFERROR(INDEX($AJ$2:$AJ$599,MATCH(1,($AK$2:$AK$599=R17)*(COUNTIF($Q$3:$Q16,$AJ$2:$AJ$599)=0)*($AJ$2:$AJ$599&lt;&gt;""),0)),"")</f>
        <v>Work-Life Balance &amp; Flexibility</v>
      </c>
      <c r="R17" s="33" t="n">
        <f aca="false">IFERROR(LARGE($AK$2:$AK$599,15),"")</f>
        <v>3</v>
      </c>
      <c r="S17" s="36" t="n">
        <f aca="false">IF(Q17="","",IFERROR(R17/$B$3,0))</f>
        <v>0.03</v>
      </c>
      <c r="T17" s="37" t="str">
        <f aca="false" t="array" ref="T17:T17">IF(Q17="","",IFERROR(INDEX(SummaryData[Engagement Type],MATCH(TRIM(Q17),TRIM(SummaryData[Statement]),0)),""))</f>
        <v>FGD</v>
      </c>
      <c r="W17" s="29" t="s">
        <v>970</v>
      </c>
      <c r="X17" s="29" t="n">
        <f aca="false" t="array" ref="X17:X17">SUMPRODUCT((TRIM(RawData[Empowerment])=TRIM(W17))*1)</f>
        <v>0</v>
      </c>
      <c r="AA17" s="16" t="str">
        <f aca="false" t="array" ref="AA17:AA17">IFERROR(INDEX($AM$2:$AM$199,MATCH(1,($AN$2:$AN$199=AB17)*(COUNTIF($AA$3:$AA16,$AM$2:$AM$199)=0)*($AM$2:$AM$199&lt;&gt;""),0)),"")</f>
        <v>Exclusive Award Ceremony</v>
      </c>
      <c r="AB17" s="16" t="n">
        <f aca="false">IFERROR(LARGE($AN$2:$AN$199,15),"")</f>
        <v>1</v>
      </c>
      <c r="AJ17" s="16" t="str">
        <f aca="false">IF(Data_Summary!Y18&lt;&gt;"Coverage","",IF(Data_Summary!AA18="","",IF(COUNTIFS(Data_Summary!$Y$2:$Y18,"Coverage",Data_Summary!$AA$2:$AA18,Data_Summary!AA18)=1,Data_Summary!AA18,"")))</f>
        <v>General wellbeing check-in</v>
      </c>
      <c r="AK17" s="16" t="n">
        <f aca="false">IF(AJ17="","",COUNTIFS(Data_Summary!$Y$2:$Y$20001,"Coverage",Data_Summary!$AA$2:$AA$20001,AJ17))</f>
        <v>6</v>
      </c>
      <c r="AM17" s="16" t="str">
        <f aca="false">IF(Data_Insight!X17="","",IF(COUNTIF(Data_Insight!$X$2:$X17,Data_Insight!X17)=1,Data_Insight!X17,""))</f>
        <v>HR Connect (Project Wise)</v>
      </c>
      <c r="AN17" s="16" t="n">
        <f aca="false">IF(AM17="","",COUNTIF(Data_Insight!$X$2:$X$20001,AM17))</f>
        <v>7</v>
      </c>
    </row>
    <row r="18" customFormat="false" ht="32.25" hidden="false" customHeight="true" outlineLevel="0" collapsed="false">
      <c r="A18" s="27" t="s">
        <v>9</v>
      </c>
      <c r="B18" s="28" t="str">
        <f aca="false" t="array" ref="B18:B18">IFERROR(INDEX(RawData[IBU/Practice/Location],MATCH(MAX(COUNTIF(RawData[IBU/Practice/Location],RawData[IBU/Practice/Location])),COUNTIF(RawData[IBU/Practice/Location],RawData[IBU/Practice/Location]),0)),"N/A")</f>
        <v>IBU Specific Connect </v>
      </c>
      <c r="Q18" s="35" t="str">
        <f aca="false" t="array" ref="Q18:Q18">IFERROR(INDEX($AJ$2:$AJ$599,MATCH(1,($AK$2:$AK$599=R18)*(COUNTIF($Q$3:$Q17,$AJ$2:$AJ$599)=0)*($AJ$2:$AJ$599&lt;&gt;""),0)),"")</f>
        <v>Manager Support &amp; Local Leadership Effectiveness</v>
      </c>
      <c r="R18" s="33" t="n">
        <f aca="false">IFERROR(LARGE($AK$2:$AK$599,16),"")</f>
        <v>3</v>
      </c>
      <c r="S18" s="36" t="n">
        <f aca="false">IF(Q18="","",IFERROR(R18/$B$3,0))</f>
        <v>0.03</v>
      </c>
      <c r="T18" s="37" t="str">
        <f aca="false" t="array" ref="T18:T18">IF(Q18="","",IFERROR(INDEX(SummaryData[Engagement Type],MATCH(TRIM(Q18),TRIM(SummaryData[Statement]),0)),""))</f>
        <v>FGD</v>
      </c>
      <c r="W18" s="29" t="s">
        <v>457</v>
      </c>
      <c r="X18" s="29" t="n">
        <f aca="false" t="array" ref="X18:X18">SUMPRODUCT((TRIM(RawData[Empowerment])=TRIM(W18))*1)</f>
        <v>0</v>
      </c>
      <c r="AJ18" s="16" t="str">
        <f aca="false">IF(Data_Summary!Y19&lt;&gt;"Coverage","",IF(Data_Summary!AA19="","",IF(COUNTIFS(Data_Summary!$Y$2:$Y19,"Coverage",Data_Summary!$AA$2:$AA19,Data_Summary!AA19)=1,Data_Summary!AA19,"")))</f>
        <v/>
      </c>
      <c r="AK18" s="16" t="str">
        <f aca="false">IF(AJ18="","",COUNTIFS(Data_Summary!$Y$2:$Y$20001,"Coverage",Data_Summary!$AA$2:$AA$20001,AJ18))</f>
        <v/>
      </c>
      <c r="AM18" s="16" t="str">
        <f aca="false">IF(Data_Insight!X18="","",IF(COUNTIF(Data_Insight!$X$2:$X18,Data_Insight!X18)=1,Data_Insight!X18,""))</f>
        <v>ELTP Connect (12-24m)</v>
      </c>
      <c r="AN18" s="16" t="n">
        <f aca="false">IF(AM18="","",COUNTIF(Data_Insight!$X$2:$X$20001,AM18))</f>
        <v>4</v>
      </c>
    </row>
    <row r="19" customFormat="false" ht="30" hidden="false" customHeight="true" outlineLevel="0" collapsed="false">
      <c r="A19" s="27" t="s">
        <v>971</v>
      </c>
      <c r="B19" s="28" t="str">
        <f aca="false" t="array" ref="B19:B19">IFERROR(INDEX(RawData[CARES Framework],MATCH(MAX(COUNTIF(RawData[CARES Framework],RawData[CARES Framework])),COUNTIF(RawData[CARES Framework],RawData[CARES Framework]),0)),"N/A")</f>
        <v>Alignment</v>
      </c>
      <c r="Q19" s="35" t="str">
        <f aca="false" t="array" ref="Q19:Q19">IFERROR(INDEX($AJ$2:$AJ$599,MATCH(1,($AK$2:$AK$599=R19)*(COUNTIF($Q$3:$Q18,$AJ$2:$AJ$599)=0)*($AJ$2:$AJ$599&lt;&gt;""),0)),"")</f>
        <v>Discussion on team dynamics</v>
      </c>
      <c r="R19" s="33" t="n">
        <f aca="false">IFERROR(LARGE($AK$2:$AK$599,17),"")</f>
        <v>3</v>
      </c>
      <c r="S19" s="36" t="n">
        <f aca="false">IF(Q19="","",IFERROR(R19/$B$3,0))</f>
        <v>0.03</v>
      </c>
      <c r="T19" s="37" t="str">
        <f aca="false" t="array" ref="T19:T19">IF(Q19="","",IFERROR(INDEX(SummaryData[Engagement Type],MATCH(TRIM(Q19),TRIM(SummaryData[Statement]),0)),""))</f>
        <v>1:1</v>
      </c>
      <c r="W19" s="29" t="s">
        <v>972</v>
      </c>
      <c r="X19" s="29" t="n">
        <f aca="false" t="array" ref="X19:X19">SUMPRODUCT((TRIM(RawData[Empowerment])=TRIM(W19))*1)</f>
        <v>0</v>
      </c>
      <c r="AJ19" s="16" t="str">
        <f aca="false">IF(Data_Summary!Y20&lt;&gt;"Coverage","",IF(Data_Summary!AA20="","",IF(COUNTIFS(Data_Summary!$Y$2:$Y20,"Coverage",Data_Summary!$AA$2:$AA20,Data_Summary!AA20)=1,Data_Summary!AA20,"")))</f>
        <v/>
      </c>
      <c r="AK19" s="16" t="str">
        <f aca="false">IF(AJ19="","",COUNTIFS(Data_Summary!$Y$2:$Y$20001,"Coverage",Data_Summary!$AA$2:$AA$20001,AJ19))</f>
        <v/>
      </c>
      <c r="AM19" s="16" t="str">
        <f aca="false">IF(Data_Insight!X19="","",IF(COUNTIF(Data_Insight!$X$2:$X19,Data_Insight!X19)=1,Data_Insight!X19,""))</f>
        <v/>
      </c>
      <c r="AN19" s="16" t="str">
        <f aca="false">IF(AM19="","",COUNTIF(Data_Insight!$X$2:$X$20001,AM19))</f>
        <v/>
      </c>
    </row>
    <row r="20" customFormat="false" ht="26.25" hidden="false" customHeight="true" outlineLevel="0" collapsed="false">
      <c r="A20" s="27" t="s">
        <v>973</v>
      </c>
      <c r="B20" s="28" t="n">
        <f aca="false">COUNTIF(RawData[Status],"Open")+COUNTIF(RawData[Status],"In-progress")</f>
        <v>26</v>
      </c>
      <c r="Q20" s="35" t="str">
        <f aca="false" t="array" ref="Q20:Q20">IFERROR(INDEX($AJ$2:$AJ$599,MATCH(1,($AK$2:$AK$599=R20)*(COUNTIF($Q$3:$Q19,$AJ$2:$AJ$599)=0)*($AJ$2:$AJ$599&lt;&gt;""),0)),"")</f>
        <v>Workload Management</v>
      </c>
      <c r="R20" s="33" t="n">
        <f aca="false">IFERROR(LARGE($AK$2:$AK$599,18),"")</f>
        <v>3</v>
      </c>
      <c r="S20" s="36" t="n">
        <f aca="false">IF(Q20="","",IFERROR(R20/$B$3,0))</f>
        <v>0.03</v>
      </c>
      <c r="T20" s="37" t="str">
        <f aca="false" t="array" ref="T20:T20">IF(Q20="","",IFERROR(INDEX(SummaryData[Engagement Type],MATCH(TRIM(Q20),TRIM(SummaryData[Statement]),0)),""))</f>
        <v>Large Connect</v>
      </c>
      <c r="W20" s="29" t="s">
        <v>307</v>
      </c>
      <c r="X20" s="29" t="n">
        <f aca="false" t="array" ref="X20:X20">SUMPRODUCT((TRIM(RawData[Empowerment])=TRIM(W20))*1)</f>
        <v>0</v>
      </c>
      <c r="AJ20" s="16" t="str">
        <f aca="false">IF(Data_Summary!Y21&lt;&gt;"Coverage","",IF(Data_Summary!AA21="","",IF(COUNTIFS(Data_Summary!$Y$2:$Y21,"Coverage",Data_Summary!$AA$2:$AA21,Data_Summary!AA21)=1,Data_Summary!AA21,"")))</f>
        <v/>
      </c>
      <c r="AK20" s="16" t="str">
        <f aca="false">IF(AJ20="","",COUNTIFS(Data_Summary!$Y$2:$Y$20001,"Coverage",Data_Summary!$AA$2:$AA$20001,AJ20))</f>
        <v/>
      </c>
      <c r="AM20" s="16" t="str">
        <f aca="false">IF(Data_Insight!X20="","",IF(COUNTIF(Data_Insight!$X$2:$X20,Data_Insight!X20)=1,Data_Insight!X20,""))</f>
        <v>Josh (Fun Engagements)</v>
      </c>
      <c r="AN20" s="16" t="n">
        <f aca="false">IF(AM20="","",COUNTIF(Data_Insight!$X$2:$X$20001,AM20))</f>
        <v>2</v>
      </c>
    </row>
    <row r="21" customFormat="false" ht="26.25" hidden="false" customHeight="true" outlineLevel="0" collapsed="false">
      <c r="Q21" s="35" t="str">
        <f aca="false" t="array" ref="Q21:Q21">IFERROR(INDEX($AJ$2:$AJ$599,MATCH(1,($AK$2:$AK$599=R21)*(COUNTIF($Q$3:$Q20,$AJ$2:$AJ$599)=0)*($AJ$2:$AJ$599&lt;&gt;""),0)),"")</f>
        <v>Allocation &amp; Deployment Transparency</v>
      </c>
      <c r="R21" s="33" t="n">
        <f aca="false">IFERROR(LARGE($AK$2:$AK$599,19),"")</f>
        <v>3</v>
      </c>
      <c r="S21" s="36" t="n">
        <f aca="false">IF(Q21="","",IFERROR(R21/$B$3,0))</f>
        <v>0.03</v>
      </c>
      <c r="T21" s="37" t="str">
        <f aca="false" t="array" ref="T21:T21">IF(Q21="","",IFERROR(INDEX(SummaryData[Engagement Type],MATCH(TRIM(Q21),TRIM(SummaryData[Statement]),0)),""))</f>
        <v>Leadership Connect</v>
      </c>
      <c r="W21" s="29" t="s">
        <v>116</v>
      </c>
      <c r="X21" s="29" t="n">
        <f aca="false" t="array" ref="X21:X21">SUMPRODUCT((TRIM(RawData[Empowerment])=TRIM(W21))*1)</f>
        <v>0</v>
      </c>
      <c r="AJ21" s="16" t="str">
        <f aca="false">IF(Data_Summary!Y22&lt;&gt;"Coverage","",IF(Data_Summary!AA22="","",IF(COUNTIFS(Data_Summary!$Y$2:$Y22,"Coverage",Data_Summary!$AA$2:$AA22,Data_Summary!AA22)=1,Data_Summary!AA22,"")))</f>
        <v/>
      </c>
      <c r="AK21" s="16" t="str">
        <f aca="false">IF(AJ21="","",COUNTIFS(Data_Summary!$Y$2:$Y$20001,"Coverage",Data_Summary!$AA$2:$AA$20001,AJ21))</f>
        <v/>
      </c>
      <c r="AM21" s="16" t="str">
        <f aca="false">IF(Data_Insight!X21="","",IF(COUNTIF(Data_Insight!$X$2:$X21,Data_Insight!X21)=1,Data_Insight!X21,""))</f>
        <v>New Joiner Connect (60 Days)</v>
      </c>
      <c r="AN21" s="16" t="n">
        <f aca="false">IF(AM21="","",COUNTIF(Data_Insight!$X$2:$X$20001,AM21))</f>
        <v>7</v>
      </c>
    </row>
    <row r="22" customFormat="false" ht="15.75" hidden="false" customHeight="true" outlineLevel="0" collapsed="false">
      <c r="A22" s="17" t="s">
        <v>974</v>
      </c>
      <c r="B22" s="17"/>
      <c r="Q22" s="35" t="str">
        <f aca="false" t="array" ref="Q22:Q22">IFERROR(INDEX($AJ$2:$AJ$599,MATCH(1,($AK$2:$AK$599=R22)*(COUNTIF($Q$3:$Q21,$AJ$2:$AJ$599)=0)*($AJ$2:$AJ$599&lt;&gt;""),0)),"")</f>
        <v>Career Path Visibility</v>
      </c>
      <c r="R22" s="33" t="n">
        <f aca="false">IFERROR(LARGE($AK$2:$AK$599,20),"")</f>
        <v>3</v>
      </c>
      <c r="S22" s="36" t="n">
        <f aca="false">IF(Q22="","",IFERROR(R22/$B$3,0))</f>
        <v>0.03</v>
      </c>
      <c r="T22" s="37" t="str">
        <f aca="false" t="array" ref="T22:T22">IF(Q22="","",IFERROR(INDEX(SummaryData[Engagement Type],MATCH(TRIM(Q22),TRIM(SummaryData[Statement]),0)),""))</f>
        <v>Large Connect</v>
      </c>
      <c r="W22" s="29" t="s">
        <v>223</v>
      </c>
      <c r="X22" s="29" t="n">
        <f aca="false" t="array" ref="X22:X22">SUMPRODUCT((TRIM(RawData[Empowerment])=TRIM(W22))*1)</f>
        <v>8</v>
      </c>
      <c r="AJ22" s="16" t="str">
        <f aca="false">IF(Data_Summary!Y23&lt;&gt;"Coverage","",IF(Data_Summary!AA23="","",IF(COUNTIFS(Data_Summary!$Y$2:$Y23,"Coverage",Data_Summary!$AA$2:$AA23,Data_Summary!AA23)=1,Data_Summary!AA23,"")))</f>
        <v>Connect for recognition</v>
      </c>
      <c r="AK22" s="16" t="n">
        <f aca="false">IF(AJ22="","",COUNTIFS(Data_Summary!$Y$2:$Y$20001,"Coverage",Data_Summary!$AA$2:$AA$20001,AJ22))</f>
        <v>2</v>
      </c>
      <c r="AM22" s="16" t="str">
        <f aca="false">IF(Data_Insight!X22="","",IF(COUNTIF(Data_Insight!$X$2:$X22,Data_Insight!X22)=1,Data_Insight!X22,""))</f>
        <v>Top Talent Connect</v>
      </c>
      <c r="AN22" s="16" t="n">
        <f aca="false">IF(AM22="","",COUNTIF(Data_Insight!$X$2:$X$20001,AM22))</f>
        <v>2</v>
      </c>
    </row>
    <row r="23" customFormat="false" ht="13.5" hidden="false" customHeight="true" outlineLevel="0" collapsed="false">
      <c r="A23" s="23" t="s">
        <v>975</v>
      </c>
      <c r="B23" s="23" t="s">
        <v>933</v>
      </c>
      <c r="Q23" s="35" t="str">
        <f aca="false" t="array" ref="Q23:Q23">IFERROR(INDEX($AJ$2:$AJ$599,MATCH(1,($AK$2:$AK$599=R23)*(COUNTIF($Q$3:$Q22,$AJ$2:$AJ$599)=0)*($AJ$2:$AJ$599&lt;&gt;""),0)),"")</f>
        <v>Team Integration</v>
      </c>
      <c r="R23" s="33" t="n">
        <f aca="false">IFERROR(LARGE($AK$2:$AK$599,21),"")</f>
        <v>3</v>
      </c>
      <c r="S23" s="36" t="n">
        <f aca="false">IF(Q23="","",IFERROR(R23/$B$3,0))</f>
        <v>0.03</v>
      </c>
      <c r="T23" s="37" t="str">
        <f aca="false" t="array" ref="T23:T23">IF(Q23="","",IFERROR(INDEX(SummaryData[Engagement Type],MATCH(TRIM(Q23),TRIM(SummaryData[Statement]),0)),""))</f>
        <v>Induction</v>
      </c>
      <c r="W23" s="29" t="s">
        <v>976</v>
      </c>
      <c r="X23" s="29" t="n">
        <f aca="false" t="array" ref="X23:X23">SUMPRODUCT((TRIM(RawData[Empowerment])=TRIM(W23))*1)</f>
        <v>0</v>
      </c>
      <c r="AJ23" s="16" t="str">
        <f aca="false">IF(Data_Summary!Y24&lt;&gt;"Coverage","",IF(Data_Summary!AA24="","",IF(COUNTIFS(Data_Summary!$Y$2:$Y24,"Coverage",Data_Summary!$AA$2:$AA24,Data_Summary!AA24)=1,Data_Summary!AA24,"")))</f>
        <v>Clarity On Role-based Learning Expectations</v>
      </c>
      <c r="AK23" s="16" t="n">
        <f aca="false">IF(AJ23="","",COUNTIFS(Data_Summary!$Y$2:$Y$20001,"Coverage",Data_Summary!$AA$2:$AA$20001,AJ23))</f>
        <v>1</v>
      </c>
      <c r="AM23" s="16" t="str">
        <f aca="false">IF(Data_Insight!X23="","",IF(COUNTIF(Data_Insight!$X$2:$X23,Data_Insight!X23)=1,Data_Insight!X23,""))</f>
        <v/>
      </c>
      <c r="AN23" s="16" t="str">
        <f aca="false">IF(AM23="","",COUNTIF(Data_Insight!$X$2:$X$20001,AM23))</f>
        <v/>
      </c>
    </row>
    <row r="24" customFormat="false" ht="15" hidden="false" customHeight="true" outlineLevel="0" collapsed="false">
      <c r="A24" s="29" t="s">
        <v>152</v>
      </c>
      <c r="B24" s="29" t="n">
        <f aca="false">COUNTIF(RawData[Overall Sentiment],A24)</f>
        <v>62</v>
      </c>
      <c r="Q24" s="35" t="str">
        <f aca="false" t="array" ref="Q24:Q24">IFERROR(INDEX($AJ$2:$AJ$599,MATCH(1,($AK$2:$AK$599=R24)*(COUNTIF($Q$3:$Q23,$AJ$2:$AJ$599)=0)*($AJ$2:$AJ$599&lt;&gt;""),0)),"")</f>
        <v>Queries related to BGV check</v>
      </c>
      <c r="R24" s="33" t="n">
        <f aca="false">IFERROR(LARGE($AK$2:$AK$599,22),"")</f>
        <v>3</v>
      </c>
      <c r="S24" s="36" t="n">
        <f aca="false">IF(Q24="","",IFERROR(R24/$B$3,0))</f>
        <v>0.03</v>
      </c>
      <c r="T24" s="37" t="str">
        <f aca="false" t="array" ref="T24:T24">IF(Q24="","",IFERROR(INDEX(SummaryData[Engagement Type],MATCH(TRIM(Q24),TRIM(SummaryData[Statement]),0)),""))</f>
        <v>Induction</v>
      </c>
      <c r="W24" s="29" t="s">
        <v>260</v>
      </c>
      <c r="X24" s="29" t="n">
        <f aca="false" t="array" ref="X24:X24">SUMPRODUCT((TRIM(RawData[Empowerment])=TRIM(W24))*1)</f>
        <v>2</v>
      </c>
      <c r="AJ24" s="16" t="str">
        <f aca="false">IF(Data_Summary!Y25&lt;&gt;"Coverage","",IF(Data_Summary!AA25="","",IF(COUNTIFS(Data_Summary!$Y$2:$Y25,"Coverage",Data_Summary!$AA$2:$AA25,Data_Summary!AA25)=1,Data_Summary!AA25,"")))</f>
        <v>On Hybrid/WFO Rules And Monthly Compliance Expectations</v>
      </c>
      <c r="AK24" s="16" t="n">
        <f aca="false">IF(AJ24="","",COUNTIFS(Data_Summary!$Y$2:$Y$20001,"Coverage",Data_Summary!$AA$2:$AA$20001,AJ24))</f>
        <v>3</v>
      </c>
      <c r="AM24" s="16" t="str">
        <f aca="false">IF(Data_Insight!X24="","",IF(COUNTIF(Data_Insight!$X$2:$X24,Data_Insight!X24)=1,Data_Insight!X24,""))</f>
        <v/>
      </c>
      <c r="AN24" s="16" t="str">
        <f aca="false">IF(AM24="","",COUNTIF(Data_Insight!$X$2:$X$20001,AM24))</f>
        <v/>
      </c>
    </row>
    <row r="25" customFormat="false" ht="15" hidden="false" customHeight="true" outlineLevel="0" collapsed="false">
      <c r="A25" s="29" t="s">
        <v>120</v>
      </c>
      <c r="B25" s="29" t="n">
        <f aca="false">COUNTIF(RawData[Overall Sentiment],A25)</f>
        <v>24</v>
      </c>
      <c r="Q25" s="35" t="str">
        <f aca="false" t="array" ref="Q25:Q25">IFERROR(INDEX($AJ$2:$AJ$599,MATCH(1,($AK$2:$AK$599=R25)*(COUNTIF($Q$3:$Q24,$AJ$2:$AJ$599)=0)*($AJ$2:$AJ$599&lt;&gt;""),0)),"")</f>
        <v>Communication &amp; Transparency</v>
      </c>
      <c r="R25" s="33" t="n">
        <f aca="false">IFERROR(LARGE($AK$2:$AK$599,23),"")</f>
        <v>3</v>
      </c>
      <c r="S25" s="36" t="n">
        <f aca="false">IF(Q25="","",IFERROR(R25/$B$3,0))</f>
        <v>0.03</v>
      </c>
      <c r="T25" s="37" t="str">
        <f aca="false" t="array" ref="T25:T25">IF(Q25="","",IFERROR(INDEX(SummaryData[Engagement Type],MATCH(TRIM(Q25),TRIM(SummaryData[Statement]),0)),""))</f>
        <v>1:1</v>
      </c>
      <c r="W25" s="29" t="s">
        <v>977</v>
      </c>
      <c r="X25" s="29" t="n">
        <f aca="false" t="array" ref="X25:X25">SUMPRODUCT((TRIM(RawData[Empowerment])=TRIM(W25))*1)</f>
        <v>0</v>
      </c>
      <c r="AJ25" s="16" t="str">
        <f aca="false">IF(Data_Summary!Y26&lt;&gt;"Coverage","",IF(Data_Summary!AA26="","",IF(COUNTIFS(Data_Summary!$Y$2:$Y26,"Coverage",Data_Summary!$AA$2:$AA26,Data_Summary!AA26)=1,Data_Summary!AA26,"")))</f>
        <v/>
      </c>
      <c r="AK25" s="16" t="str">
        <f aca="false">IF(AJ25="","",COUNTIFS(Data_Summary!$Y$2:$Y$20001,"Coverage",Data_Summary!$AA$2:$AA$20001,AJ25))</f>
        <v/>
      </c>
      <c r="AM25" s="16" t="str">
        <f aca="false">IF(Data_Insight!X25="","",IF(COUNTIF(Data_Insight!$X$2:$X25,Data_Insight!X25)=1,Data_Insight!X25,""))</f>
        <v>ELTP Connect (Practice Level)</v>
      </c>
      <c r="AN25" s="16" t="n">
        <f aca="false">IF(AM25="","",COUNTIF(Data_Insight!$X$2:$X$20001,AM25))</f>
        <v>3</v>
      </c>
    </row>
    <row r="26" customFormat="false" ht="24.75" hidden="false" customHeight="true" outlineLevel="0" collapsed="false">
      <c r="A26" s="29" t="s">
        <v>227</v>
      </c>
      <c r="B26" s="29" t="n">
        <f aca="false">COUNTIF(RawData[Overall Sentiment],A26)</f>
        <v>11</v>
      </c>
      <c r="Q26" s="35" t="str">
        <f aca="false" t="array" ref="Q26:Q26">IFERROR(INDEX($AJ$2:$AJ$599,MATCH(1,($AK$2:$AK$599=R26)*(COUNTIF($Q$3:$Q25,$AJ$2:$AJ$599)=0)*($AJ$2:$AJ$599&lt;&gt;""),0)),"")</f>
        <v>Leadership Communication &amp; Q&amp;A Effectiveness</v>
      </c>
      <c r="R26" s="33" t="n">
        <f aca="false">IFERROR(LARGE($AK$2:$AK$599,24),"")</f>
        <v>3</v>
      </c>
      <c r="S26" s="36" t="n">
        <f aca="false">IF(Q26="","",IFERROR(R26/$B$3,0))</f>
        <v>0.03</v>
      </c>
      <c r="T26" s="37" t="str">
        <f aca="false" t="array" ref="T26:T26">IF(Q26="","",IFERROR(INDEX(SummaryData[Engagement Type],MATCH(TRIM(Q26),TRIM(SummaryData[Statement]),0)),""))</f>
        <v>1:1</v>
      </c>
      <c r="W26" s="29" t="s">
        <v>327</v>
      </c>
      <c r="X26" s="29" t="n">
        <f aca="false" t="array" ref="X26:X26">SUMPRODUCT((TRIM(RawData[Strive])=TRIM(W26))*1)</f>
        <v>2</v>
      </c>
      <c r="AJ26" s="16" t="str">
        <f aca="false">IF(Data_Summary!Y27&lt;&gt;"Coverage","",IF(Data_Summary!AA27="","",IF(COUNTIFS(Data_Summary!$Y$2:$Y27,"Coverage",Data_Summary!$AA$2:$AA27,Data_Summary!AA27)=1,Data_Summary!AA27,"")))</f>
        <v/>
      </c>
      <c r="AK26" s="16" t="str">
        <f aca="false">IF(AJ26="","",COUNTIFS(Data_Summary!$Y$2:$Y$20001,"Coverage",Data_Summary!$AA$2:$AA$20001,AJ26))</f>
        <v/>
      </c>
      <c r="AM26" s="16" t="str">
        <f aca="false">IF(Data_Insight!X26="","",IF(COUNTIF(Data_Insight!$X$2:$X26,Data_Insight!X26)=1,Data_Insight!X26,""))</f>
        <v>New Joiner Connect (90 Days)</v>
      </c>
      <c r="AN26" s="16" t="n">
        <f aca="false">IF(AM26="","",COUNTIF(Data_Insight!$X$2:$X$20001,AM26))</f>
        <v>6</v>
      </c>
    </row>
    <row r="27" customFormat="false" ht="25.5" hidden="false" customHeight="true" outlineLevel="0" collapsed="false">
      <c r="Q27" s="35" t="str">
        <f aca="false" t="array" ref="Q27:Q27">IFERROR(INDEX($AJ$2:$AJ$599,MATCH(1,($AK$2:$AK$599=R27)*(COUNTIF($Q$3:$Q26,$AJ$2:$AJ$599)=0)*($AJ$2:$AJ$599&lt;&gt;""),0)),"")</f>
        <v>Engagement with Leadership &amp; Confidence Level</v>
      </c>
      <c r="R27" s="33" t="n">
        <f aca="false">IFERROR(LARGE($AK$2:$AK$599,25),"")</f>
        <v>3</v>
      </c>
      <c r="S27" s="36" t="n">
        <f aca="false">IF(Q27="","",IFERROR(R27/$B$3,0))</f>
        <v>0.03</v>
      </c>
      <c r="T27" s="37" t="str">
        <f aca="false" t="array" ref="T27:T27">IF(Q27="","",IFERROR(INDEX(SummaryData[Engagement Type],MATCH(TRIM(Q27),TRIM(SummaryData[Statement]),0)),""))</f>
        <v>FGD</v>
      </c>
      <c r="W27" s="29" t="s">
        <v>687</v>
      </c>
      <c r="X27" s="29" t="n">
        <f aca="false" t="array" ref="X27:X27">SUMPRODUCT((TRIM(RawData[Strive])=TRIM(W27))*1)</f>
        <v>1</v>
      </c>
      <c r="AJ27" s="16" t="str">
        <f aca="false">IF(Data_Summary!Y28&lt;&gt;"Coverage","",IF(Data_Summary!AA28="","",IF(COUNTIFS(Data_Summary!$Y$2:$Y28,"Coverage",Data_Summary!$AA$2:$AA28,Data_Summary!AA28)=1,Data_Summary!AA28,"")))</f>
        <v/>
      </c>
      <c r="AK27" s="16" t="str">
        <f aca="false">IF(AJ27="","",COUNTIFS(Data_Summary!$Y$2:$Y$20001,"Coverage",Data_Summary!$AA$2:$AA$20001,AJ27))</f>
        <v/>
      </c>
      <c r="AM27" s="16" t="str">
        <f aca="false">IF(Data_Insight!X27="","",IF(COUNTIF(Data_Insight!$X$2:$X27,Data_Insight!X27)=1,Data_Insight!X27,""))</f>
        <v/>
      </c>
      <c r="AN27" s="16" t="str">
        <f aca="false">IF(AM27="","",COUNTIF(Data_Insight!$X$2:$X$20001,AM27))</f>
        <v/>
      </c>
    </row>
    <row r="28" customFormat="false" ht="15.75" hidden="false" customHeight="true" outlineLevel="0" collapsed="false">
      <c r="A28" s="17" t="s">
        <v>978</v>
      </c>
      <c r="B28" s="17"/>
      <c r="Q28" s="35" t="str">
        <f aca="false" t="array" ref="Q28:Q28">IFERROR(INDEX($AJ$2:$AJ$599,MATCH(1,($AK$2:$AK$599=R28)*(COUNTIF($Q$3:$Q27,$AJ$2:$AJ$599)=0)*($AJ$2:$AJ$599&lt;&gt;""),0)),"")</f>
        <v>Policy &amp; Process Clarity</v>
      </c>
      <c r="R28" s="33" t="n">
        <f aca="false">IFERROR(LARGE($AK$2:$AK$599,26),"")</f>
        <v>3</v>
      </c>
      <c r="S28" s="36" t="n">
        <f aca="false">IF(Q28="","",IFERROR(R28/$B$3,0))</f>
        <v>0.03</v>
      </c>
      <c r="T28" s="37" t="str">
        <f aca="false" t="array" ref="T28:T28">IF(Q28="","",IFERROR(INDEX(SummaryData[Engagement Type],MATCH(TRIM(Q28),TRIM(SummaryData[Statement]),0)),""))</f>
        <v>Large Connect</v>
      </c>
      <c r="W28" s="29" t="s">
        <v>979</v>
      </c>
      <c r="X28" s="29" t="n">
        <f aca="false" t="array" ref="X28:X28">SUMPRODUCT((TRIM(RawData[Strive])=TRIM(W28))*1)</f>
        <v>0</v>
      </c>
      <c r="AJ28" s="16" t="str">
        <f aca="false">IF(Data_Summary!Y29&lt;&gt;"Coverage","",IF(Data_Summary!AA29="","",IF(COUNTIFS(Data_Summary!$Y$2:$Y29,"Coverage",Data_Summary!$AA$2:$AA29,Data_Summary!AA29)=1,Data_Summary!AA29,"")))</f>
        <v>Business Context &amp; Org Awareness</v>
      </c>
      <c r="AK28" s="16" t="n">
        <f aca="false">IF(AJ28="","",COUNTIFS(Data_Summary!$Y$2:$Y$20001,"Coverage",Data_Summary!$AA$2:$AA$20001,AJ28))</f>
        <v>4</v>
      </c>
      <c r="AM28" s="16" t="str">
        <f aca="false">IF(Data_Insight!X28="","",IF(COUNTIF(Data_Insight!$X$2:$X28,Data_Insight!X28)=1,Data_Insight!X28,""))</f>
        <v/>
      </c>
      <c r="AN28" s="16" t="str">
        <f aca="false">IF(AM28="","",COUNTIF(Data_Insight!$X$2:$X$20001,AM28))</f>
        <v/>
      </c>
    </row>
    <row r="29" customFormat="false" ht="13.5" hidden="false" customHeight="true" outlineLevel="0" collapsed="false">
      <c r="A29" s="23" t="s">
        <v>975</v>
      </c>
      <c r="B29" s="23" t="s">
        <v>933</v>
      </c>
      <c r="Q29" s="35" t="str">
        <f aca="false" t="array" ref="Q29:Q29">IFERROR(INDEX($AJ$2:$AJ$599,MATCH(1,($AK$2:$AK$599=R29)*(COUNTIF($Q$3:$Q28,$AJ$2:$AJ$599)=0)*($AJ$2:$AJ$599&lt;&gt;""),0)),"")</f>
        <v>Role Confidence Level</v>
      </c>
      <c r="R29" s="33" t="n">
        <f aca="false">IFERROR(LARGE($AK$2:$AK$599,27),"")</f>
        <v>3</v>
      </c>
      <c r="S29" s="36" t="n">
        <f aca="false">IF(Q29="","",IFERROR(R29/$B$3,0))</f>
        <v>0.03</v>
      </c>
      <c r="T29" s="37" t="str">
        <f aca="false" t="array" ref="T29:T29">IF(Q29="","",IFERROR(INDEX(SummaryData[Engagement Type],MATCH(TRIM(Q29),TRIM(SummaryData[Statement]),0)),""))</f>
        <v>Large Connect</v>
      </c>
      <c r="AJ29" s="16" t="str">
        <f aca="false">IF(Data_Summary!Y30&lt;&gt;"Coverage","",IF(Data_Summary!AA30="","",IF(COUNTIFS(Data_Summary!$Y$2:$Y30,"Coverage",Data_Summary!$AA$2:$AA30,Data_Summary!AA30)=1,Data_Summary!AA30,"")))</f>
        <v/>
      </c>
      <c r="AK29" s="16" t="str">
        <f aca="false">IF(AJ29="","",COUNTIFS(Data_Summary!$Y$2:$Y$20001,"Coverage",Data_Summary!$AA$2:$AA$20001,AJ29))</f>
        <v/>
      </c>
      <c r="AM29" s="16" t="str">
        <f aca="false">IF(Data_Insight!X29="","",IF(COUNTIF(Data_Insight!$X$2:$X29,Data_Insight!X29)=1,Data_Insight!X29,""))</f>
        <v/>
      </c>
      <c r="AN29" s="16" t="str">
        <f aca="false">IF(AM29="","",COUNTIF(Data_Insight!$X$2:$X$20001,AM29))</f>
        <v/>
      </c>
    </row>
    <row r="30" customFormat="false" ht="15" hidden="false" customHeight="true" outlineLevel="0" collapsed="false">
      <c r="A30" s="29" t="s">
        <v>167</v>
      </c>
      <c r="B30" s="40" t="n">
        <f aca="false">ROUND(COUNTIF(RawData[Severity],A30)/COUNTA(RawData[Severity]),2)</f>
        <v>0.22</v>
      </c>
      <c r="Q30" s="35" t="str">
        <f aca="false" t="array" ref="Q30:Q30">IFERROR(INDEX($AJ$2:$AJ$599,MATCH(1,($AK$2:$AK$599=R30)*(COUNTIF($Q$3:$Q29,$AJ$2:$AJ$599)=0)*($AJ$2:$AJ$599&lt;&gt;""),0)),"")</f>
        <v>BGV queries</v>
      </c>
      <c r="R30" s="33" t="n">
        <f aca="false">IFERROR(LARGE($AK$2:$AK$599,28),"")</f>
        <v>3</v>
      </c>
      <c r="S30" s="36" t="n">
        <f aca="false">IF(Q30="","",IFERROR(R30/$B$3,0))</f>
        <v>0.03</v>
      </c>
      <c r="T30" s="37" t="str">
        <f aca="false" t="array" ref="T30:T30">IF(Q30="","",IFERROR(INDEX(SummaryData[Engagement Type],MATCH(TRIM(Q30),TRIM(SummaryData[Statement]),0)),""))</f>
        <v>FGD</v>
      </c>
      <c r="AJ30" s="16" t="str">
        <f aca="false">IF(Data_Summary!Y31&lt;&gt;"Coverage","",IF(Data_Summary!AA31="","",IF(COUNTIFS(Data_Summary!$Y$2:$Y31,"Coverage",Data_Summary!$AA$2:$AA31,Data_Summary!AA31)=1,Data_Summary!AA31,"")))</f>
        <v/>
      </c>
      <c r="AK30" s="16" t="str">
        <f aca="false">IF(AJ30="","",COUNTIFS(Data_Summary!$Y$2:$Y$20001,"Coverage",Data_Summary!$AA$2:$AA$20001,AJ30))</f>
        <v/>
      </c>
      <c r="AM30" s="16" t="str">
        <f aca="false">IF(Data_Insight!X30="","",IF(COUNTIF(Data_Insight!$X$2:$X30,Data_Insight!X30)=1,Data_Insight!X30,""))</f>
        <v/>
      </c>
      <c r="AN30" s="16" t="str">
        <f aca="false">IF(AM30="","",COUNTIF(Data_Insight!$X$2:$X$20001,AM30))</f>
        <v/>
      </c>
    </row>
    <row r="31" customFormat="false" ht="31.5" hidden="false" customHeight="true" outlineLevel="0" collapsed="false">
      <c r="A31" s="29" t="s">
        <v>123</v>
      </c>
      <c r="B31" s="40" t="n">
        <f aca="false">ROUND(COUNTIF(RawData[Severity],A31)/COUNTA(RawData[Severity]),2)</f>
        <v>0.44</v>
      </c>
      <c r="Q31" s="35" t="str">
        <f aca="false" t="array" ref="Q31:Q31">IFERROR(INDEX($AJ$2:$AJ$599,MATCH(1,($AK$2:$AK$599=R31)*(COUNTIF($Q$3:$Q30,$AJ$2:$AJ$599)=0)*($AJ$2:$AJ$599&lt;&gt;""),0)),"")</f>
        <v>Tool &amp; System Access</v>
      </c>
      <c r="R31" s="33" t="n">
        <f aca="false">IFERROR(LARGE($AK$2:$AK$599,29),"")</f>
        <v>3</v>
      </c>
      <c r="S31" s="36" t="n">
        <f aca="false">IF(Q31="","",IFERROR(R31/$B$3,0))</f>
        <v>0.03</v>
      </c>
      <c r="T31" s="37" t="str">
        <f aca="false" t="array" ref="T31:T31">IF(Q31="","",IFERROR(INDEX(SummaryData[Engagement Type],MATCH(TRIM(Q31),TRIM(SummaryData[Statement]),0)),""))</f>
        <v>Location-Mixed</v>
      </c>
      <c r="AJ31" s="16" t="str">
        <f aca="false">IF(Data_Summary!Y32&lt;&gt;"Coverage","",IF(Data_Summary!AA32="","",IF(COUNTIFS(Data_Summary!$Y$2:$Y32,"Coverage",Data_Summary!$AA$2:$AA32,Data_Summary!AA32)=1,Data_Summary!AA32,"")))</f>
        <v>Business &amp; Practice Awareness</v>
      </c>
      <c r="AK31" s="16" t="n">
        <f aca="false">IF(AJ31="","",COUNTIFS(Data_Summary!$Y$2:$Y$20001,"Coverage",Data_Summary!$AA$2:$AA$20001,AJ31))</f>
        <v>4</v>
      </c>
      <c r="AM31" s="16" t="str">
        <f aca="false">IF(Data_Insight!X31="","",IF(COUNTIF(Data_Insight!$X$2:$X31,Data_Insight!X31)=1,Data_Insight!X31,""))</f>
        <v/>
      </c>
      <c r="AN31" s="16" t="str">
        <f aca="false">IF(AM31="","",COUNTIF(Data_Insight!$X$2:$X$20001,AM31))</f>
        <v/>
      </c>
    </row>
    <row r="32" customFormat="false" ht="30" hidden="false" customHeight="true" outlineLevel="0" collapsed="false">
      <c r="A32" s="29" t="s">
        <v>192</v>
      </c>
      <c r="B32" s="41" t="n">
        <f aca="false">ROUND(COUNTIF(RawData[Severity],A32)/COUNTA(RawData[Severity]),2)</f>
        <v>0.34</v>
      </c>
      <c r="Q32" s="35" t="str">
        <f aca="false" t="array" ref="Q32:Q32">IFERROR(INDEX($AJ$2:$AJ$599,MATCH(1,($AK$2:$AK$599=R32)*(COUNTIF($Q$3:$Q31,$AJ$2:$AJ$599)=0)*($AJ$2:$AJ$599&lt;&gt;""),0)),"")</f>
        <v>Engagement &amp; Belonging</v>
      </c>
      <c r="R32" s="33" t="n">
        <f aca="false">IFERROR(LARGE($AK$2:$AK$599,30),"")</f>
        <v>3</v>
      </c>
      <c r="S32" s="36" t="n">
        <f aca="false">IF(Q32="","",IFERROR(R32/$B$3,0))</f>
        <v>0.03</v>
      </c>
      <c r="T32" s="37" t="str">
        <f aca="false" t="array" ref="T32:T32">IF(Q32="","",IFERROR(INDEX(SummaryData[Engagement Type],MATCH(TRIM(Q32),TRIM(SummaryData[Statement]),0)),""))</f>
        <v>FGD</v>
      </c>
      <c r="AJ32" s="16" t="str">
        <f aca="false">IF(Data_Summary!Y33&lt;&gt;"Coverage","",IF(Data_Summary!AA33="","",IF(COUNTIFS(Data_Summary!$Y$2:$Y33,"Coverage",Data_Summary!$AA$2:$AA33,Data_Summary!AA33)=1,Data_Summary!AA33,"")))</f>
        <v/>
      </c>
      <c r="AK32" s="16" t="str">
        <f aca="false">IF(AJ32="","",COUNTIFS(Data_Summary!$Y$2:$Y$20001,"Coverage",Data_Summary!$AA$2:$AA$20001,AJ32))</f>
        <v/>
      </c>
      <c r="AM32" s="16" t="str">
        <f aca="false">IF(Data_Insight!X32="","",IF(COUNTIF(Data_Insight!$X$2:$X32,Data_Insight!X32)=1,Data_Insight!X32,""))</f>
        <v/>
      </c>
      <c r="AN32" s="16" t="str">
        <f aca="false">IF(AM32="","",COUNTIF(Data_Insight!$X$2:$X$20001,AM32))</f>
        <v/>
      </c>
    </row>
    <row r="33" customFormat="false" ht="25.5" hidden="false" customHeight="true" outlineLevel="0" collapsed="false">
      <c r="Q33" s="35" t="str">
        <f aca="false" t="array" ref="Q33:Q33">IFERROR(INDEX($AJ$2:$AJ$599,MATCH(1,($AK$2:$AK$599=R33)*(COUNTIF($Q$3:$Q32,$AJ$2:$AJ$599)=0)*($AJ$2:$AJ$599&lt;&gt;""),0)),"")</f>
        <v>Visibility on Allocation &amp; Demand</v>
      </c>
      <c r="R33" s="33" t="n">
        <f aca="false">IFERROR(LARGE($AK$2:$AK$599,31),"")</f>
        <v>2</v>
      </c>
      <c r="S33" s="36" t="n">
        <f aca="false">IF(Q33="","",IFERROR(R33/$B$3,0))</f>
        <v>0.02</v>
      </c>
      <c r="T33" s="37" t="str">
        <f aca="false" t="array" ref="T33:T33">IF(Q33="","",IFERROR(INDEX(SummaryData[Engagement Type],MATCH(TRIM(Q33),TRIM(SummaryData[Statement]),0)),""))</f>
        <v>Large Connect</v>
      </c>
      <c r="AJ33" s="16" t="str">
        <f aca="false">IF(Data_Summary!Y34&lt;&gt;"Coverage","",IF(Data_Summary!AA34="","",IF(COUNTIFS(Data_Summary!$Y$2:$Y34,"Coverage",Data_Summary!$AA$2:$AA34,Data_Summary!AA34)=1,Data_Summary!AA34,"")))</f>
        <v/>
      </c>
      <c r="AK33" s="16" t="str">
        <f aca="false">IF(AJ33="","",COUNTIFS(Data_Summary!$Y$2:$Y$20001,"Coverage",Data_Summary!$AA$2:$AA$20001,AJ33))</f>
        <v/>
      </c>
      <c r="AM33" s="16" t="str">
        <f aca="false">IF(Data_Insight!X33="","",IF(COUNTIF(Data_Insight!$X$2:$X33,Data_Insight!X33)=1,Data_Insight!X33,""))</f>
        <v>Exclusive Award Ceremony</v>
      </c>
      <c r="AN33" s="16" t="n">
        <f aca="false">IF(AM33="","",COUNTIF(Data_Insight!$X$2:$X$20001,AM33))</f>
        <v>1</v>
      </c>
    </row>
    <row r="34" customFormat="false" ht="15.75" hidden="false" customHeight="true" outlineLevel="0" collapsed="false">
      <c r="A34" s="17" t="s">
        <v>980</v>
      </c>
      <c r="B34" s="17"/>
      <c r="Q34" s="35" t="str">
        <f aca="false" t="array" ref="Q34:Q34">IFERROR(INDEX($AJ$2:$AJ$599,MATCH(1,($AK$2:$AK$599=R34)*(COUNTIF($Q$3:$Q33,$AJ$2:$AJ$599)=0)*($AJ$2:$AJ$599&lt;&gt;""),0)),"")</f>
        <v>Connect for recognition</v>
      </c>
      <c r="R34" s="33" t="n">
        <f aca="false">IFERROR(LARGE($AK$2:$AK$599,32),"")</f>
        <v>2</v>
      </c>
      <c r="S34" s="36" t="n">
        <f aca="false">IF(Q34="","",IFERROR(R34/$B$3,0))</f>
        <v>0.02</v>
      </c>
      <c r="T34" s="37" t="str">
        <f aca="false" t="array" ref="T34:T34">IF(Q34="","",IFERROR(INDEX(SummaryData[Engagement Type],MATCH(TRIM(Q34),TRIM(SummaryData[Statement]),0)),""))</f>
        <v>FGD</v>
      </c>
      <c r="AJ34" s="16" t="str">
        <f aca="false">IF(Data_Summary!Y35&lt;&gt;"Coverage","",IF(Data_Summary!AA35="","",IF(COUNTIFS(Data_Summary!$Y$2:$Y35,"Coverage",Data_Summary!$AA$2:$AA35,Data_Summary!AA35)=1,Data_Summary!AA35,"")))</f>
        <v/>
      </c>
      <c r="AK34" s="16" t="str">
        <f aca="false">IF(AJ34="","",COUNTIFS(Data_Summary!$Y$2:$Y$20001,"Coverage",Data_Summary!$AA$2:$AA$20001,AJ34))</f>
        <v/>
      </c>
      <c r="AM34" s="16" t="str">
        <f aca="false">IF(Data_Insight!X34="","",IF(COUNTIF(Data_Insight!$X$2:$X34,Data_Insight!X34)=1,Data_Insight!X34,""))</f>
        <v>Skip Meeting</v>
      </c>
      <c r="AN34" s="16" t="n">
        <f aca="false">IF(AM34="","",COUNTIF(Data_Insight!$X$2:$X$20001,AM34))</f>
        <v>4</v>
      </c>
    </row>
    <row r="35" customFormat="false" ht="21" hidden="false" customHeight="true" outlineLevel="0" collapsed="false">
      <c r="A35" s="23" t="s">
        <v>975</v>
      </c>
      <c r="B35" s="23" t="s">
        <v>933</v>
      </c>
      <c r="Q35" s="35" t="str">
        <f aca="false" t="array" ref="Q35:Q35">IFERROR(INDEX($AJ$2:$AJ$599,MATCH(1,($AK$2:$AK$599=R35)*(COUNTIF($Q$3:$Q34,$AJ$2:$AJ$599)=0)*($AJ$2:$AJ$599&lt;&gt;""),0)),"")</f>
        <v>Role Expectation Clarity</v>
      </c>
      <c r="R35" s="33" t="n">
        <f aca="false">IFERROR(LARGE($AK$2:$AK$599,33),"")</f>
        <v>2</v>
      </c>
      <c r="S35" s="36" t="n">
        <f aca="false">IF(Q35="","",IFERROR(R35/$B$3,0))</f>
        <v>0.02</v>
      </c>
      <c r="T35" s="37" t="str">
        <f aca="false" t="array" ref="T35:T35">IF(Q35="","",IFERROR(INDEX(SummaryData[Engagement Type],MATCH(TRIM(Q35),TRIM(SummaryData[Statement]),0)),""))</f>
        <v>FGD</v>
      </c>
      <c r="AJ35" s="16" t="str">
        <f aca="false">IF(Data_Summary!Y36&lt;&gt;"Coverage","",IF(Data_Summary!AA36="","",IF(COUNTIFS(Data_Summary!$Y$2:$Y36,"Coverage",Data_Summary!$AA$2:$AA36,Data_Summary!AA36)=1,Data_Summary!AA36,"")))</f>
        <v>Clarity on expectations</v>
      </c>
      <c r="AK35" s="16" t="n">
        <f aca="false">IF(AJ35="","",COUNTIFS(Data_Summary!$Y$2:$Y$20001,"Coverage",Data_Summary!$AA$2:$AA$20001,AJ35))</f>
        <v>7</v>
      </c>
      <c r="AM35" s="16" t="str">
        <f aca="false">IF(Data_Insight!X35="","",IF(COUNTIF(Data_Insight!$X$2:$X35,Data_Insight!X35)=1,Data_Insight!X35,""))</f>
        <v>ELTP Connect (&lt;6m)</v>
      </c>
      <c r="AN35" s="16" t="n">
        <f aca="false">IF(AM35="","",COUNTIF(Data_Insight!$X$2:$X$20001,AM35))</f>
        <v>2</v>
      </c>
    </row>
    <row r="36" customFormat="false" ht="22.5" hidden="false" customHeight="true" outlineLevel="0" collapsed="false">
      <c r="A36" s="29" t="s">
        <v>139</v>
      </c>
      <c r="B36" s="29" t="n">
        <f aca="false">COUNTIF(RawData[Status],A36)</f>
        <v>12</v>
      </c>
      <c r="Q36" s="35" t="str">
        <f aca="false" t="array" ref="Q36:Q36">IFERROR(INDEX($AJ$2:$AJ$599,MATCH(1,($AK$2:$AK$599=R36)*(COUNTIF($Q$3:$Q35,$AJ$2:$AJ$599)=0)*($AJ$2:$AJ$599&lt;&gt;""),0)),"")</f>
        <v>Initial Engagement Level</v>
      </c>
      <c r="R36" s="33" t="n">
        <f aca="false">IFERROR(LARGE($AK$2:$AK$599,34),"")</f>
        <v>2</v>
      </c>
      <c r="S36" s="36" t="n">
        <f aca="false">IF(Q36="","",IFERROR(R36/$B$3,0))</f>
        <v>0.02</v>
      </c>
      <c r="T36" s="37" t="str">
        <f aca="false" t="array" ref="T36:T36">IF(Q36="","",IFERROR(INDEX(SummaryData[Engagement Type],MATCH(TRIM(Q36),TRIM(SummaryData[Statement]),0)),""))</f>
        <v>FGD</v>
      </c>
      <c r="AJ36" s="16" t="str">
        <f aca="false">IF(Data_Summary!Y37&lt;&gt;"Coverage","",IF(Data_Summary!AA37="","",IF(COUNTIFS(Data_Summary!$Y$2:$Y37,"Coverage",Data_Summary!$AA$2:$AA37,Data_Summary!AA37)=1,Data_Summary!AA37,"")))</f>
        <v/>
      </c>
      <c r="AK36" s="16" t="str">
        <f aca="false">IF(AJ36="","",COUNTIFS(Data_Summary!$Y$2:$Y$20001,"Coverage",Data_Summary!$AA$2:$AA$20001,AJ36))</f>
        <v/>
      </c>
      <c r="AM36" s="16" t="str">
        <f aca="false">IF(Data_Insight!X36="","",IF(COUNTIF(Data_Insight!$X$2:$X36,Data_Insight!X36)=1,Data_Insight!X36,""))</f>
        <v/>
      </c>
      <c r="AN36" s="16" t="str">
        <f aca="false">IF(AM36="","",COUNTIF(Data_Insight!$X$2:$X$20001,AM36))</f>
        <v/>
      </c>
    </row>
    <row r="37" customFormat="false" ht="30" hidden="false" customHeight="true" outlineLevel="0" collapsed="false">
      <c r="A37" s="29" t="s">
        <v>168</v>
      </c>
      <c r="B37" s="29" t="n">
        <f aca="false">COUNTIF(RawData[Status],A37)</f>
        <v>14</v>
      </c>
      <c r="Q37" s="35" t="str">
        <f aca="false" t="array" ref="Q37:Q37">IFERROR(INDEX($AJ$2:$AJ$599,MATCH(1,($AK$2:$AK$599=R37)*(COUNTIF($Q$3:$Q36,$AJ$2:$AJ$599)=0)*($AJ$2:$AJ$599&lt;&gt;""),0)),"")</f>
        <v>Learning &amp; Skill Building</v>
      </c>
      <c r="R37" s="33" t="n">
        <f aca="false">IFERROR(LARGE($AK$2:$AK$599,35),"")</f>
        <v>2</v>
      </c>
      <c r="S37" s="36" t="n">
        <f aca="false">IF(Q37="","",IFERROR(R37/$B$3,0))</f>
        <v>0.02</v>
      </c>
      <c r="T37" s="37" t="str">
        <f aca="false" t="array" ref="T37:T37">IF(Q37="","",IFERROR(INDEX(SummaryData[Engagement Type],MATCH(TRIM(Q37),TRIM(SummaryData[Statement]),0)),""))</f>
        <v>Floor Connect</v>
      </c>
      <c r="AJ37" s="16" t="str">
        <f aca="false">IF(Data_Summary!Y38&lt;&gt;"Coverage","",IF(Data_Summary!AA38="","",IF(COUNTIFS(Data_Summary!$Y$2:$Y38,"Coverage",Data_Summary!$AA$2:$AA38,Data_Summary!AA38)=1,Data_Summary!AA38,"")))</f>
        <v/>
      </c>
      <c r="AK37" s="16" t="str">
        <f aca="false">IF(AJ37="","",COUNTIFS(Data_Summary!$Y$2:$Y$20001,"Coverage",Data_Summary!$AA$2:$AA$20001,AJ37))</f>
        <v/>
      </c>
      <c r="AM37" s="16" t="str">
        <f aca="false">IF(Data_Insight!X37="","",IF(COUNTIF(Data_Insight!$X$2:$X37,Data_Insight!X37)=1,Data_Insight!X37,""))</f>
        <v/>
      </c>
      <c r="AN37" s="16" t="str">
        <f aca="false">IF(AM37="","",COUNTIF(Data_Insight!$X$2:$X$20001,AM37))</f>
        <v/>
      </c>
    </row>
    <row r="38" customFormat="false" ht="24" hidden="false" customHeight="true" outlineLevel="0" collapsed="false">
      <c r="A38" s="29" t="s">
        <v>124</v>
      </c>
      <c r="B38" s="29" t="n">
        <f aca="false">COUNTIF(RawData[Status],A38)</f>
        <v>74</v>
      </c>
      <c r="Q38" s="35" t="str">
        <f aca="false" t="array" ref="Q38:Q38">IFERROR(INDEX($AJ$2:$AJ$599,MATCH(1,($AK$2:$AK$599=R38)*(COUNTIF($Q$3:$Q37,$AJ$2:$AJ$599)=0)*($AJ$2:$AJ$599&lt;&gt;""),0)),"")</f>
        <v>Inclusive Team Practices</v>
      </c>
      <c r="R38" s="33" t="n">
        <f aca="false">IFERROR(LARGE($AK$2:$AK$599,36),"")</f>
        <v>2</v>
      </c>
      <c r="S38" s="36" t="n">
        <f aca="false">IF(Q38="","",IFERROR(R38/$B$3,0))</f>
        <v>0.02</v>
      </c>
      <c r="T38" s="37" t="str">
        <f aca="false" t="array" ref="T38:T38">IF(Q38="","",IFERROR(INDEX(SummaryData[Engagement Type],MATCH(TRIM(Q38),TRIM(SummaryData[Statement]),0)),""))</f>
        <v>FGD</v>
      </c>
      <c r="AJ38" s="16" t="str">
        <f aca="false">IF(Data_Summary!Y39&lt;&gt;"Coverage","",IF(Data_Summary!AA39="","",IF(COUNTIFS(Data_Summary!$Y$2:$Y39,"Coverage",Data_Summary!$AA$2:$AA39,Data_Summary!AA39)=1,Data_Summary!AA39,"")))</f>
        <v/>
      </c>
      <c r="AK38" s="16" t="str">
        <f aca="false">IF(AJ38="","",COUNTIFS(Data_Summary!$Y$2:$Y$20001,"Coverage",Data_Summary!$AA$2:$AA$20001,AJ38))</f>
        <v/>
      </c>
      <c r="AM38" s="16" t="str">
        <f aca="false">IF(Data_Insight!X38="","",IF(COUNTIF(Data_Insight!$X$2:$X38,Data_Insight!X38)=1,Data_Insight!X38,""))</f>
        <v/>
      </c>
      <c r="AN38" s="16" t="str">
        <f aca="false">IF(AM38="","",COUNTIF(Data_Insight!$X$2:$X$20001,AM38))</f>
        <v/>
      </c>
    </row>
    <row r="39" customFormat="false" ht="25.5" hidden="false" customHeight="true" outlineLevel="0" collapsed="false">
      <c r="Q39" s="35" t="str">
        <f aca="false" t="array" ref="Q39:Q39">IFERROR(INDEX($AJ$2:$AJ$599,MATCH(1,($AK$2:$AK$599=R39)*(COUNTIF($Q$3:$Q38,$AJ$2:$AJ$599)=0)*($AJ$2:$AJ$599&lt;&gt;""),0)),"")</f>
        <v>Timesheet Submission/approval Process Inconsistencies Create</v>
      </c>
      <c r="R39" s="33" t="n">
        <f aca="false">IFERROR(LARGE($AK$2:$AK$599,37),"")</f>
        <v>2</v>
      </c>
      <c r="S39" s="36" t="n">
        <f aca="false">IF(Q39="","",IFERROR(R39/$B$3,0))</f>
        <v>0.02</v>
      </c>
      <c r="T39" s="37" t="str">
        <f aca="false" t="array" ref="T39:T39">IF(Q39="","",IFERROR(INDEX(SummaryData[Engagement Type],MATCH(TRIM(Q39),TRIM(SummaryData[Statement]),0)),""))</f>
        <v>FGD</v>
      </c>
      <c r="AJ39" s="16" t="str">
        <f aca="false">IF(Data_Summary!Y40&lt;&gt;"Coverage","",IF(Data_Summary!AA40="","",IF(COUNTIFS(Data_Summary!$Y$2:$Y40,"Coverage",Data_Summary!$AA$2:$AA40,Data_Summary!AA40)=1,Data_Summary!AA40,"")))</f>
        <v/>
      </c>
      <c r="AK39" s="16" t="str">
        <f aca="false">IF(AJ39="","",COUNTIFS(Data_Summary!$Y$2:$Y$20001,"Coverage",Data_Summary!$AA$2:$AA$20001,AJ39))</f>
        <v/>
      </c>
      <c r="AM39" s="16" t="str">
        <f aca="false">IF(Data_Insight!X39="","",IF(COUNTIF(Data_Insight!$X$2:$X39,Data_Insight!X39)=1,Data_Insight!X39,""))</f>
        <v/>
      </c>
      <c r="AN39" s="16" t="str">
        <f aca="false">IF(AM39="","",COUNTIF(Data_Insight!$X$2:$X$20001,AM39))</f>
        <v/>
      </c>
    </row>
    <row r="40" customFormat="false" ht="15.75" hidden="false" customHeight="true" outlineLevel="0" collapsed="false">
      <c r="A40" s="17" t="s">
        <v>981</v>
      </c>
      <c r="B40" s="17"/>
      <c r="Q40" s="35" t="str">
        <f aca="false" t="array" ref="Q40:Q40">IFERROR(INDEX($AJ$2:$AJ$599,MATCH(1,($AK$2:$AK$599=R40)*(COUNTIF($Q$3:$Q39,$AJ$2:$AJ$599)=0)*($AJ$2:$AJ$599&lt;&gt;""),0)),"")</f>
        <v>Workload &amp; Work-Life Balance</v>
      </c>
      <c r="R40" s="33" t="n">
        <f aca="false">IFERROR(LARGE($AK$2:$AK$599,38),"")</f>
        <v>2</v>
      </c>
      <c r="S40" s="36" t="n">
        <f aca="false">IF(Q40="","",IFERROR(R40/$B$3,0))</f>
        <v>0.02</v>
      </c>
      <c r="T40" s="37" t="str">
        <f aca="false" t="array" ref="T40:T40">IF(Q40="","",IFERROR(INDEX(SummaryData[Engagement Type],MATCH(TRIM(Q40),TRIM(SummaryData[Statement]),0)),""))</f>
        <v>FGD</v>
      </c>
      <c r="AJ40" s="16" t="str">
        <f aca="false">IF(Data_Summary!Y41&lt;&gt;"Coverage","",IF(Data_Summary!AA41="","",IF(COUNTIFS(Data_Summary!$Y$2:$Y41,"Coverage",Data_Summary!$AA$2:$AA41,Data_Summary!AA41)=1,Data_Summary!AA41,"")))</f>
        <v>Recognition &amp; Visibility</v>
      </c>
      <c r="AK40" s="16" t="n">
        <f aca="false">IF(AJ40="","",COUNTIFS(Data_Summary!$Y$2:$Y$20001,"Coverage",Data_Summary!$AA$2:$AA$20001,AJ40))</f>
        <v>1</v>
      </c>
      <c r="AM40" s="16" t="str">
        <f aca="false">IF(Data_Insight!X40="","",IF(COUNTIF(Data_Insight!$X$2:$X40,Data_Insight!X40)=1,Data_Insight!X40,""))</f>
        <v/>
      </c>
      <c r="AN40" s="16" t="str">
        <f aca="false">IF(AM40="","",COUNTIF(Data_Insight!$X$2:$X$20001,AM40))</f>
        <v/>
      </c>
    </row>
    <row r="41" customFormat="false" ht="13.5" hidden="false" customHeight="true" outlineLevel="0" collapsed="false">
      <c r="A41" s="23" t="s">
        <v>975</v>
      </c>
      <c r="B41" s="23" t="s">
        <v>933</v>
      </c>
      <c r="Q41" s="35" t="str">
        <f aca="false" t="array" ref="Q41:Q41">IFERROR(INDEX($AJ$2:$AJ$599,MATCH(1,($AK$2:$AK$599=R41)*(COUNTIF($Q$3:$Q40,$AJ$2:$AJ$599)=0)*($AJ$2:$AJ$599&lt;&gt;""),0)),"")</f>
        <v>Internal Mobility / Rotation Opportunities</v>
      </c>
      <c r="R41" s="33" t="n">
        <f aca="false">IFERROR(LARGE($AK$2:$AK$599,39),"")</f>
        <v>2</v>
      </c>
      <c r="S41" s="36" t="n">
        <f aca="false">IF(Q41="","",IFERROR(R41/$B$3,0))</f>
        <v>0.02</v>
      </c>
      <c r="T41" s="37" t="str">
        <f aca="false" t="array" ref="T41:T41">IF(Q41="","",IFERROR(INDEX(SummaryData[Engagement Type],MATCH(TRIM(Q41),TRIM(SummaryData[Statement]),0)),""))</f>
        <v>Large Connect</v>
      </c>
      <c r="AJ41" s="16" t="str">
        <f aca="false">IF(Data_Summary!Y42&lt;&gt;"Coverage","",IF(Data_Summary!AA42="","",IF(COUNTIFS(Data_Summary!$Y$2:$Y42,"Coverage",Data_Summary!$AA$2:$AA42,Data_Summary!AA42)=1,Data_Summary!AA42,"")))</f>
        <v>Grievance/speak-up Clarity</v>
      </c>
      <c r="AK41" s="16" t="n">
        <f aca="false">IF(AJ41="","",COUNTIFS(Data_Summary!$Y$2:$Y$20001,"Coverage",Data_Summary!$AA$2:$AA$20001,AJ41))</f>
        <v>3</v>
      </c>
      <c r="AM41" s="16" t="str">
        <f aca="false">IF(Data_Insight!X41="","",IF(COUNTIF(Data_Insight!$X$2:$X41,Data_Insight!X41)=1,Data_Insight!X41,""))</f>
        <v>LSA Connect</v>
      </c>
      <c r="AN41" s="16" t="n">
        <f aca="false">IF(AM41="","",COUNTIF(Data_Insight!$X$2:$X$20001,AM41))</f>
        <v>2</v>
      </c>
    </row>
    <row r="42" customFormat="false" ht="15" hidden="false" customHeight="true" outlineLevel="0" collapsed="false">
      <c r="A42" s="29" t="s">
        <v>22</v>
      </c>
      <c r="B42" s="29" t="n">
        <f aca="false">COUNTIF(RawData[CARES Framework],A42)</f>
        <v>56</v>
      </c>
      <c r="Q42" s="35" t="str">
        <f aca="false" t="array" ref="Q42:Q42">IFERROR(INDEX($AJ$2:$AJ$599,MATCH(1,($AK$2:$AK$599=R42)*(COUNTIF($Q$3:$Q41,$AJ$2:$AJ$599)=0)*($AJ$2:$AJ$599&lt;&gt;""),0)),"")</f>
        <v>Recognition &amp; Visibility of Growth</v>
      </c>
      <c r="R42" s="33" t="n">
        <f aca="false">IFERROR(LARGE($AK$2:$AK$599,40),"")</f>
        <v>2</v>
      </c>
      <c r="S42" s="36" t="n">
        <f aca="false">IF(Q42="","",IFERROR(R42/$B$3,0))</f>
        <v>0.02</v>
      </c>
      <c r="T42" s="37" t="str">
        <f aca="false" t="array" ref="T42:T42">IF(Q42="","",IFERROR(INDEX(SummaryData[Engagement Type],MATCH(TRIM(Q42),TRIM(SummaryData[Statement]),0)),""))</f>
        <v>Large Connect</v>
      </c>
      <c r="AJ42" s="16" t="str">
        <f aca="false">IF(Data_Summary!Y43&lt;&gt;"Coverage","",IF(Data_Summary!AA43="","",IF(COUNTIFS(Data_Summary!$Y$2:$Y43,"Coverage",Data_Summary!$AA$2:$AA43,Data_Summary!AA43)=1,Data_Summary!AA43,"")))</f>
        <v>Empathy And Communication</v>
      </c>
      <c r="AK42" s="16" t="n">
        <f aca="false">IF(AJ42="","",COUNTIFS(Data_Summary!$Y$2:$Y$20001,"Coverage",Data_Summary!$AA$2:$AA$20001,AJ42))</f>
        <v>3</v>
      </c>
      <c r="AM42" s="16" t="str">
        <f aca="false">IF(Data_Insight!X42="","",IF(COUNTIF(Data_Insight!$X$2:$X42,Data_Insight!X42)=1,Data_Insight!X42,""))</f>
        <v/>
      </c>
      <c r="AN42" s="16" t="str">
        <f aca="false">IF(AM42="","",COUNTIF(Data_Insight!$X$2:$X$20001,AM42))</f>
        <v/>
      </c>
    </row>
    <row r="43" customFormat="false" ht="15" hidden="false" customHeight="true" outlineLevel="0" collapsed="false">
      <c r="A43" s="29" t="s">
        <v>21</v>
      </c>
      <c r="B43" s="29" t="n">
        <f aca="false">COUNTIF(RawData[CARES Framework],A43)</f>
        <v>18</v>
      </c>
      <c r="Q43" s="35" t="str">
        <f aca="false" t="array" ref="Q43:Q43">IFERROR(INDEX($AJ$2:$AJ$599,MATCH(1,($AK$2:$AK$599=R43)*(COUNTIF($Q$3:$Q42,$AJ$2:$AJ$599)=0)*($AJ$2:$AJ$599&lt;&gt;""),0)),"")</f>
        <v>Project Allocation Clarity</v>
      </c>
      <c r="R43" s="33" t="n">
        <f aca="false">IFERROR(LARGE($AK$2:$AK$599,41),"")</f>
        <v>2</v>
      </c>
      <c r="S43" s="36" t="n">
        <f aca="false">IF(Q43="","",IFERROR(R43/$B$3,0))</f>
        <v>0.02</v>
      </c>
      <c r="T43" s="37" t="str">
        <f aca="false" t="array" ref="T43:T43">IF(Q43="","",IFERROR(INDEX(SummaryData[Engagement Type],MATCH(TRIM(Q43),TRIM(SummaryData[Statement]),0)),""))</f>
        <v>1:1</v>
      </c>
      <c r="AJ43" s="16" t="str">
        <f aca="false">IF(Data_Summary!Y44&lt;&gt;"Coverage","",IF(Data_Summary!AA44="","",IF(COUNTIFS(Data_Summary!$Y$2:$Y44,"Coverage",Data_Summary!$AA$2:$AA44,Data_Summary!AA44)=1,Data_Summary!AA44,"")))</f>
        <v/>
      </c>
      <c r="AK43" s="16" t="str">
        <f aca="false">IF(AJ43="","",COUNTIFS(Data_Summary!$Y$2:$Y$20001,"Coverage",Data_Summary!$AA$2:$AA$20001,AJ43))</f>
        <v/>
      </c>
      <c r="AM43" s="16" t="str">
        <f aca="false">IF(Data_Insight!X43="","",IF(COUNTIF(Data_Insight!$X$2:$X43,Data_Insight!X43)=1,Data_Insight!X43,""))</f>
        <v/>
      </c>
      <c r="AN43" s="16" t="str">
        <f aca="false">IF(AM43="","",COUNTIF(Data_Insight!$X$2:$X$20001,AM43))</f>
        <v/>
      </c>
    </row>
    <row r="44" customFormat="false" ht="15" hidden="false" customHeight="true" outlineLevel="0" collapsed="false">
      <c r="A44" s="29" t="s">
        <v>24</v>
      </c>
      <c r="B44" s="29" t="n">
        <f aca="false">COUNTIF(RawData[CARES Framework],A44)</f>
        <v>19</v>
      </c>
      <c r="Q44" s="35" t="str">
        <f aca="false" t="array" ref="Q44:Q44">IFERROR(INDEX($AJ$2:$AJ$599,MATCH(1,($AK$2:$AK$599=R44)*(COUNTIF($Q$3:$Q43,$AJ$2:$AJ$599)=0)*($AJ$2:$AJ$599&lt;&gt;""),0)),"")</f>
        <v>Manager Connect Effectiveness</v>
      </c>
      <c r="R44" s="33" t="n">
        <f aca="false">IFERROR(LARGE($AK$2:$AK$599,42),"")</f>
        <v>2</v>
      </c>
      <c r="S44" s="36" t="n">
        <f aca="false">IF(Q44="","",IFERROR(R44/$B$3,0))</f>
        <v>0.02</v>
      </c>
      <c r="T44" s="37" t="str">
        <f aca="false" t="array" ref="T44:T44">IF(Q44="","",IFERROR(INDEX(SummaryData[Engagement Type],MATCH(TRIM(Q44),TRIM(SummaryData[Statement]),0)),""))</f>
        <v>1:1</v>
      </c>
      <c r="AJ44" s="16" t="str">
        <f aca="false">IF(Data_Summary!Y45&lt;&gt;"Coverage","",IF(Data_Summary!AA45="","",IF(COUNTIFS(Data_Summary!$Y$2:$Y45,"Coverage",Data_Summary!$AA$2:$AA45,Data_Summary!AA45)=1,Data_Summary!AA45,"")))</f>
        <v/>
      </c>
      <c r="AK44" s="16" t="str">
        <f aca="false">IF(AJ44="","",COUNTIFS(Data_Summary!$Y$2:$Y$20001,"Coverage",Data_Summary!$AA$2:$AA$20001,AJ44))</f>
        <v/>
      </c>
      <c r="AM44" s="16" t="str">
        <f aca="false">IF(Data_Insight!X44="","",IF(COUNTIF(Data_Insight!$X$2:$X44,Data_Insight!X44)=1,Data_Insight!X44,""))</f>
        <v/>
      </c>
      <c r="AN44" s="16" t="str">
        <f aca="false">IF(AM44="","",COUNTIF(Data_Insight!$X$2:$X$20001,AM44))</f>
        <v/>
      </c>
    </row>
    <row r="45" customFormat="false" ht="15" hidden="false" customHeight="true" outlineLevel="0" collapsed="false">
      <c r="A45" s="29" t="s">
        <v>23</v>
      </c>
      <c r="B45" s="29" t="n">
        <f aca="false">COUNTIF(RawData[CARES Framework],A45)</f>
        <v>4</v>
      </c>
      <c r="Q45" s="35" t="str">
        <f aca="false" t="array" ref="Q45:Q45">IFERROR(INDEX($AJ$2:$AJ$599,MATCH(1,($AK$2:$AK$599=R45)*(COUNTIF($Q$3:$Q44,$AJ$2:$AJ$599)=0)*($AJ$2:$AJ$599&lt;&gt;""),0)),"")</f>
        <v>Engagement &amp; Motivation Across Stages</v>
      </c>
      <c r="R45" s="33" t="n">
        <f aca="false">IFERROR(LARGE($AK$2:$AK$599,43),"")</f>
        <v>2</v>
      </c>
      <c r="S45" s="36" t="n">
        <f aca="false">IF(Q45="","",IFERROR(R45/$B$3,0))</f>
        <v>0.02</v>
      </c>
      <c r="T45" s="37" t="str">
        <f aca="false" t="array" ref="T45:T45">IF(Q45="","",IFERROR(INDEX(SummaryData[Engagement Type],MATCH(TRIM(Q45),TRIM(SummaryData[Statement]),0)),""))</f>
        <v>Leadership Connect</v>
      </c>
      <c r="AJ45" s="16" t="str">
        <f aca="false">IF(Data_Summary!Y46&lt;&gt;"Coverage","",IF(Data_Summary!AA46="","",IF(COUNTIFS(Data_Summary!$Y$2:$Y46,"Coverage",Data_Summary!$AA$2:$AA46,Data_Summary!AA46)=1,Data_Summary!AA46,"")))</f>
        <v/>
      </c>
      <c r="AK45" s="16" t="str">
        <f aca="false">IF(AJ45="","",COUNTIFS(Data_Summary!$Y$2:$Y$20001,"Coverage",Data_Summary!$AA$2:$AA$20001,AJ45))</f>
        <v/>
      </c>
      <c r="AM45" s="16" t="str">
        <f aca="false">IF(Data_Insight!X45="","",IF(COUNTIF(Data_Insight!$X$2:$X45,Data_Insight!X45)=1,Data_Insight!X45,""))</f>
        <v/>
      </c>
      <c r="AN45" s="16" t="str">
        <f aca="false">IF(AM45="","",COUNTIF(Data_Insight!$X$2:$X$20001,AM45))</f>
        <v/>
      </c>
    </row>
    <row r="46" customFormat="false" ht="15" hidden="false" customHeight="true" outlineLevel="0" collapsed="false">
      <c r="A46" s="29" t="s">
        <v>25</v>
      </c>
      <c r="B46" s="29" t="n">
        <f aca="false">COUNTIF(RawData[CARES Framework],A46)</f>
        <v>3</v>
      </c>
      <c r="Q46" s="35" t="str">
        <f aca="false" t="array" ref="Q46:Q46">IFERROR(INDEX($AJ$2:$AJ$599,MATCH(1,($AK$2:$AK$599=R46)*(COUNTIF($Q$3:$Q45,$AJ$2:$AJ$599)=0)*($AJ$2:$AJ$599&lt;&gt;""),0)),"")</f>
        <v>Career Clarity &amp; Growth Continuity</v>
      </c>
      <c r="R46" s="33" t="n">
        <f aca="false">IFERROR(LARGE($AK$2:$AK$599,44),"")</f>
        <v>2</v>
      </c>
      <c r="S46" s="36" t="n">
        <f aca="false">IF(Q46="","",IFERROR(R46/$B$3,0))</f>
        <v>0.02</v>
      </c>
      <c r="T46" s="37" t="str">
        <f aca="false" t="array" ref="T46:T46">IF(Q46="","",IFERROR(INDEX(SummaryData[Engagement Type],MATCH(TRIM(Q46),TRIM(SummaryData[Statement]),0)),""))</f>
        <v>Leadership Connect</v>
      </c>
      <c r="AJ46" s="16" t="str">
        <f aca="false">IF(Data_Summary!Y47&lt;&gt;"Coverage","",IF(Data_Summary!AA47="","",IF(COUNTIFS(Data_Summary!$Y$2:$Y47,"Coverage",Data_Summary!$AA$2:$AA47,Data_Summary!AA47)=1,Data_Summary!AA47,"")))</f>
        <v/>
      </c>
      <c r="AK46" s="16" t="str">
        <f aca="false">IF(AJ46="","",COUNTIFS(Data_Summary!$Y$2:$Y$20001,"Coverage",Data_Summary!$AA$2:$AA$20001,AJ46))</f>
        <v/>
      </c>
      <c r="AM46" s="16" t="str">
        <f aca="false">IF(Data_Insight!X46="","",IF(COUNTIF(Data_Insight!$X$2:$X46,Data_Insight!X46)=1,Data_Insight!X46,""))</f>
        <v/>
      </c>
      <c r="AN46" s="16" t="str">
        <f aca="false">IF(AM46="","",COUNTIF(Data_Insight!$X$2:$X$20001,AM46))</f>
        <v/>
      </c>
    </row>
    <row r="47" customFormat="false" ht="15" hidden="false" customHeight="true" outlineLevel="0" collapsed="false">
      <c r="A47" s="29"/>
      <c r="B47" s="29"/>
      <c r="Q47" s="35" t="str">
        <f aca="false" t="array" ref="Q47:Q47">IFERROR(INDEX($AJ$2:$AJ$599,MATCH(1,($AK$2:$AK$599=R47)*(COUNTIF($Q$3:$Q46,$AJ$2:$AJ$599)=0)*($AJ$2:$AJ$599&lt;&gt;""),0)),"")</f>
        <v>Manager Effectiveness &amp; Delegation</v>
      </c>
      <c r="R47" s="33" t="n">
        <f aca="false">IFERROR(LARGE($AK$2:$AK$599,45),"")</f>
        <v>2</v>
      </c>
      <c r="S47" s="36" t="n">
        <f aca="false">IF(Q47="","",IFERROR(R47/$B$3,0))</f>
        <v>0.02</v>
      </c>
      <c r="T47" s="37" t="str">
        <f aca="false" t="array" ref="T47:T47">IF(Q47="","",IFERROR(INDEX(SummaryData[Engagement Type],MATCH(TRIM(Q47),TRIM(SummaryData[Statement]),0)),""))</f>
        <v>1:1</v>
      </c>
      <c r="AJ47" s="16" t="str">
        <f aca="false">IF(Data_Summary!Y48&lt;&gt;"Coverage","",IF(Data_Summary!AA48="","",IF(COUNTIFS(Data_Summary!$Y$2:$Y48,"Coverage",Data_Summary!$AA$2:$AA48,Data_Summary!AA48)=1,Data_Summary!AA48,"")))</f>
        <v>Career Support &amp; Sponsorship</v>
      </c>
      <c r="AK47" s="16" t="n">
        <f aca="false">IF(AJ47="","",COUNTIFS(Data_Summary!$Y$2:$Y$20001,"Coverage",Data_Summary!$AA$2:$AA$20001,AJ47))</f>
        <v>3</v>
      </c>
      <c r="AM47" s="16" t="str">
        <f aca="false">IF(Data_Insight!X47="","",IF(COUNTIF(Data_Insight!$X$2:$X47,Data_Insight!X47)=1,Data_Insight!X47,""))</f>
        <v/>
      </c>
      <c r="AN47" s="16" t="str">
        <f aca="false">IF(AM47="","",COUNTIF(Data_Insight!$X$2:$X$20001,AM47))</f>
        <v/>
      </c>
    </row>
    <row r="48" customFormat="false" ht="15" hidden="false" customHeight="true" outlineLevel="0" collapsed="false">
      <c r="A48" s="20" t="s">
        <v>982</v>
      </c>
      <c r="B48" s="20"/>
      <c r="C48" s="20"/>
      <c r="D48" s="20"/>
      <c r="Q48" s="35" t="str">
        <f aca="false" t="array" ref="Q48:Q48">IFERROR(INDEX($AJ$2:$AJ$599,MATCH(1,($AK$2:$AK$599=R48)*(COUNTIF($Q$3:$Q47,$AJ$2:$AJ$599)=0)*($AJ$2:$AJ$599&lt;&gt;""),0)),"")</f>
        <v>Internal Growth Opportunities</v>
      </c>
      <c r="R48" s="33" t="n">
        <f aca="false">IFERROR(LARGE($AK$2:$AK$599,46),"")</f>
        <v>2</v>
      </c>
      <c r="S48" s="36" t="n">
        <f aca="false">IF(Q48="","",IFERROR(R48/$B$3,0))</f>
        <v>0.02</v>
      </c>
      <c r="T48" s="37" t="str">
        <f aca="false" t="array" ref="T48:T48">IF(Q48="","",IFERROR(INDEX(SummaryData[Engagement Type],MATCH(TRIM(Q48),TRIM(SummaryData[Statement]),0)),""))</f>
        <v>1:1</v>
      </c>
      <c r="AJ48" s="16" t="str">
        <f aca="false">IF(Data_Summary!Y49&lt;&gt;"Coverage","",IF(Data_Summary!AA49="","",IF(COUNTIFS(Data_Summary!$Y$2:$Y49,"Coverage",Data_Summary!$AA$2:$AA49,Data_Summary!AA49)=1,Data_Summary!AA49,"")))</f>
        <v>Work-Life Balance &amp; Flexibility</v>
      </c>
      <c r="AK48" s="16" t="n">
        <f aca="false">IF(AJ48="","",COUNTIFS(Data_Summary!$Y$2:$Y$20001,"Coverage",Data_Summary!$AA$2:$AA$20001,AJ48))</f>
        <v>3</v>
      </c>
      <c r="AM48" s="16" t="str">
        <f aca="false">IF(Data_Insight!X48="","",IF(COUNTIF(Data_Insight!$X$2:$X48,Data_Insight!X48)=1,Data_Insight!X48,""))</f>
        <v/>
      </c>
      <c r="AN48" s="16" t="str">
        <f aca="false">IF(AM48="","",COUNTIF(Data_Insight!$X$2:$X$20001,AM48))</f>
        <v/>
      </c>
    </row>
    <row r="49" customFormat="false" ht="15" hidden="false" customHeight="true" outlineLevel="0" collapsed="false">
      <c r="A49" s="23" t="s">
        <v>983</v>
      </c>
      <c r="B49" s="23" t="s">
        <v>933</v>
      </c>
      <c r="C49" s="23" t="s">
        <v>984</v>
      </c>
      <c r="Q49" s="35" t="str">
        <f aca="false" t="array" ref="Q49:Q49">IFERROR(INDEX($AJ$2:$AJ$599,MATCH(1,($AK$2:$AK$599=R49)*(COUNTIF($Q$3:$Q48,$AJ$2:$AJ$599)=0)*($AJ$2:$AJ$599&lt;&gt;""),0)),"")</f>
        <v>Learning/cert Support Requests</v>
      </c>
      <c r="R49" s="33" t="n">
        <f aca="false">IFERROR(LARGE($AK$2:$AK$599,47),"")</f>
        <v>2</v>
      </c>
      <c r="S49" s="36" t="n">
        <f aca="false">IF(Q49="","",IFERROR(R49/$B$3,0))</f>
        <v>0.02</v>
      </c>
      <c r="T49" s="37" t="str">
        <f aca="false" t="array" ref="T49:T49">IF(Q49="","",IFERROR(INDEX(SummaryData[Engagement Type],MATCH(TRIM(Q49),TRIM(SummaryData[Statement]),0)),""))</f>
        <v>Location-Offshore</v>
      </c>
      <c r="AJ49" s="16" t="str">
        <f aca="false">IF(Data_Summary!Y50&lt;&gt;"Coverage","",IF(Data_Summary!AA50="","",IF(COUNTIFS(Data_Summary!$Y$2:$Y50,"Coverage",Data_Summary!$AA$2:$AA50,Data_Summary!AA50)=1,Data_Summary!AA50,"")))</f>
        <v/>
      </c>
      <c r="AK49" s="16" t="str">
        <f aca="false">IF(AJ49="","",COUNTIFS(Data_Summary!$Y$2:$Y$20001,"Coverage",Data_Summary!$AA$2:$AA$20001,AJ49))</f>
        <v/>
      </c>
      <c r="AM49" s="16" t="str">
        <f aca="false">IF(Data_Insight!X49="","",IF(COUNTIF(Data_Insight!$X$2:$X49,Data_Insight!X49)=1,Data_Insight!X49,""))</f>
        <v/>
      </c>
      <c r="AN49" s="16" t="str">
        <f aca="false">IF(AM49="","",COUNTIF(Data_Insight!$X$2:$X$20001,AM49))</f>
        <v/>
      </c>
    </row>
    <row r="50" customFormat="false" ht="15" hidden="false" customHeight="true" outlineLevel="0" collapsed="false">
      <c r="A50" s="29" t="s">
        <v>112</v>
      </c>
      <c r="B50" s="29" t="n">
        <f aca="false">COUNTIF(RawData[Engagement Mode],C50)</f>
        <v>60</v>
      </c>
      <c r="C50" s="42" t="s">
        <v>112</v>
      </c>
      <c r="Q50" s="35" t="str">
        <f aca="false" t="array" ref="Q50:Q50">IFERROR(INDEX($AJ$2:$AJ$599,MATCH(1,($AK$2:$AK$599=R50)*(COUNTIF($Q$3:$Q49,$AJ$2:$AJ$599)=0)*($AJ$2:$AJ$599&lt;&gt;""),0)),"")</f>
        <v>Strategic Connect</v>
      </c>
      <c r="R50" s="33" t="n">
        <f aca="false">IFERROR(LARGE($AK$2:$AK$599,48),"")</f>
        <v>2</v>
      </c>
      <c r="S50" s="36" t="n">
        <f aca="false">IF(Q50="","",IFERROR(R50/$B$3,0))</f>
        <v>0.02</v>
      </c>
      <c r="T50" s="37" t="str">
        <f aca="false" t="array" ref="T50:T50">IF(Q50="","",IFERROR(INDEX(SummaryData[Engagement Type],MATCH(TRIM(Q50),TRIM(SummaryData[Statement]),0)),""))</f>
        <v>Large Connect</v>
      </c>
      <c r="AJ50" s="16" t="str">
        <f aca="false">IF(Data_Summary!Y51&lt;&gt;"Coverage","",IF(Data_Summary!AA51="","",IF(COUNTIFS(Data_Summary!$Y$2:$Y51,"Coverage",Data_Summary!$AA$2:$AA51,Data_Summary!AA51)=1,Data_Summary!AA51,"")))</f>
        <v/>
      </c>
      <c r="AK50" s="16" t="str">
        <f aca="false">IF(AJ50="","",COUNTIFS(Data_Summary!$Y$2:$Y$20001,"Coverage",Data_Summary!$AA$2:$AA$20001,AJ50))</f>
        <v/>
      </c>
      <c r="AM50" s="16" t="str">
        <f aca="false">IF(Data_Insight!X50="","",IF(COUNTIF(Data_Insight!$X$2:$X50,Data_Insight!X50)=1,Data_Insight!X50,""))</f>
        <v/>
      </c>
      <c r="AN50" s="16" t="str">
        <f aca="false">IF(AM50="","",COUNTIF(Data_Insight!$X$2:$X$20001,AM50))</f>
        <v/>
      </c>
    </row>
    <row r="51" customFormat="false" ht="15" hidden="false" customHeight="true" outlineLevel="0" collapsed="false">
      <c r="A51" s="29" t="s">
        <v>985</v>
      </c>
      <c r="B51" s="29" t="n">
        <f aca="false">COUNTIF(RawData[Engagement Mode],C51)</f>
        <v>27</v>
      </c>
      <c r="C51" s="42" t="s">
        <v>145</v>
      </c>
      <c r="Q51" s="35" t="str">
        <f aca="false" t="array" ref="Q51:Q51">IFERROR(INDEX($AJ$2:$AJ$599,MATCH(1,($AK$2:$AK$599=R51)*(COUNTIF($Q$3:$Q50,$AJ$2:$AJ$599)=0)*($AJ$2:$AJ$599&lt;&gt;""),0)),"")</f>
        <v>Feedback Mechanism</v>
      </c>
      <c r="R51" s="33" t="n">
        <f aca="false">IFERROR(LARGE($AK$2:$AK$599,49),"")</f>
        <v>2</v>
      </c>
      <c r="S51" s="36" t="n">
        <f aca="false">IF(Q51="","",IFERROR(R51/$B$3,0))</f>
        <v>0.02</v>
      </c>
      <c r="T51" s="37" t="str">
        <f aca="false" t="array" ref="T51:T51">IF(Q51="","",IFERROR(INDEX(SummaryData[Engagement Type],MATCH(TRIM(Q51),TRIM(SummaryData[Statement]),0)),""))</f>
        <v>Large Connect</v>
      </c>
      <c r="AJ51" s="16" t="str">
        <f aca="false">IF(Data_Summary!Y52&lt;&gt;"Coverage","",IF(Data_Summary!AA52="","",IF(COUNTIFS(Data_Summary!$Y$2:$Y52,"Coverage",Data_Summary!$AA$2:$AA52,Data_Summary!AA52)=1,Data_Summary!AA52,"")))</f>
        <v/>
      </c>
      <c r="AK51" s="16" t="str">
        <f aca="false">IF(AJ51="","",COUNTIFS(Data_Summary!$Y$2:$Y$20001,"Coverage",Data_Summary!$AA$2:$AA$20001,AJ51))</f>
        <v/>
      </c>
      <c r="AM51" s="16" t="str">
        <f aca="false">IF(Data_Insight!X51="","",IF(COUNTIF(Data_Insight!$X$2:$X51,Data_Insight!X51)=1,Data_Insight!X51,""))</f>
        <v>NA</v>
      </c>
      <c r="AN51" s="16" t="n">
        <f aca="false">IF(AM51="","",COUNTIF(Data_Insight!$X$2:$X$20001,AM51))</f>
        <v>1</v>
      </c>
    </row>
    <row r="52" customFormat="false" ht="15" hidden="false" customHeight="true" outlineLevel="0" collapsed="false">
      <c r="A52" s="29" t="s">
        <v>986</v>
      </c>
      <c r="B52" s="29" t="n">
        <f aca="false">COUNTIF(RawData[Engagement Mode],C52)</f>
        <v>9</v>
      </c>
      <c r="C52" s="42" t="s">
        <v>247</v>
      </c>
      <c r="Q52" s="35" t="str">
        <f aca="false" t="array" ref="Q52:Q52">IFERROR(INDEX($AJ$2:$AJ$599,MATCH(1,($AK$2:$AK$599=R52)*(COUNTIF($Q$3:$Q51,$AJ$2:$AJ$599)=0)*($AJ$2:$AJ$599&lt;&gt;""),0)),"")</f>
        <v>Recognition Visibility</v>
      </c>
      <c r="R52" s="33" t="n">
        <f aca="false">IFERROR(LARGE($AK$2:$AK$599,50),"")</f>
        <v>2</v>
      </c>
      <c r="S52" s="36" t="n">
        <f aca="false">IF(Q52="","",IFERROR(R52/$B$3,0))</f>
        <v>0.02</v>
      </c>
      <c r="T52" s="37" t="str">
        <f aca="false" t="array" ref="T52:T52">IF(Q52="","",IFERROR(INDEX(SummaryData[Engagement Type],MATCH(TRIM(Q52),TRIM(SummaryData[Statement]),0)),""))</f>
        <v>Large Connect</v>
      </c>
      <c r="AJ52" s="16" t="str">
        <f aca="false">IF(Data_Summary!Y53&lt;&gt;"Coverage","",IF(Data_Summary!AA53="","",IF(COUNTIFS(Data_Summary!$Y$2:$Y53,"Coverage",Data_Summary!$AA$2:$AA53,Data_Summary!AA53)=1,Data_Summary!AA53,"")))</f>
        <v/>
      </c>
      <c r="AK52" s="16" t="str">
        <f aca="false">IF(AJ52="","",COUNTIFS(Data_Summary!$Y$2:$Y$20001,"Coverage",Data_Summary!$AA$2:$AA$20001,AJ52))</f>
        <v/>
      </c>
      <c r="AM52" s="16" t="str">
        <f aca="false">IF(Data_Insight!X52="","",IF(COUNTIF(Data_Insight!$X$2:$X52,Data_Insight!X52)=1,Data_Insight!X52,""))</f>
        <v/>
      </c>
      <c r="AN52" s="16" t="str">
        <f aca="false">IF(AM52="","",COUNTIF(Data_Insight!$X$2:$X$20001,AM52))</f>
        <v/>
      </c>
    </row>
    <row r="53" customFormat="false" ht="15" hidden="false" customHeight="true" outlineLevel="0" collapsed="false">
      <c r="A53" s="29" t="s">
        <v>987</v>
      </c>
      <c r="B53" s="29" t="n">
        <f aca="false">COUNTIF(RawData[Engagement Mode],C53)</f>
        <v>4</v>
      </c>
      <c r="C53" s="42" t="s">
        <v>198</v>
      </c>
      <c r="Q53" s="35" t="str">
        <f aca="false" t="array" ref="Q53:Q53">IFERROR(INDEX($AJ$2:$AJ$599,MATCH(1,($AK$2:$AK$599=R53)*(COUNTIF($Q$3:$Q52,$AJ$2:$AJ$599)=0)*($AJ$2:$AJ$599&lt;&gt;""),0)),"")</f>
        <v>Work-Life &amp; Sustainability Signals</v>
      </c>
      <c r="R53" s="33" t="n">
        <f aca="false">IFERROR(LARGE($AK$2:$AK$599,51),"")</f>
        <v>2</v>
      </c>
      <c r="S53" s="36" t="n">
        <f aca="false">IF(Q53="","",IFERROR(R53/$B$3,0))</f>
        <v>0.02</v>
      </c>
      <c r="T53" s="37" t="str">
        <f aca="false" t="array" ref="T53:T53">IF(Q53="","",IFERROR(INDEX(SummaryData[Engagement Type],MATCH(TRIM(Q53),TRIM(SummaryData[Statement]),0)),""))</f>
        <v>Large Connect</v>
      </c>
      <c r="AJ53" s="16" t="str">
        <f aca="false">IF(Data_Summary!Y54&lt;&gt;"Coverage","",IF(Data_Summary!AA54="","",IF(COUNTIFS(Data_Summary!$Y$2:$Y54,"Coverage",Data_Summary!$AA$2:$AA54,Data_Summary!AA54)=1,Data_Summary!AA54,"")))</f>
        <v>Feedback on recent processes</v>
      </c>
      <c r="AK53" s="16" t="n">
        <f aca="false">IF(AJ53="","",COUNTIFS(Data_Summary!$Y$2:$Y$20001,"Coverage",Data_Summary!$AA$2:$AA$20001,AJ53))</f>
        <v>8</v>
      </c>
      <c r="AM53" s="16" t="str">
        <f aca="false">IF(Data_Insight!X53="","",IF(COUNTIF(Data_Insight!$X$2:$X53,Data_Insight!X53)=1,Data_Insight!X53,""))</f>
        <v/>
      </c>
      <c r="AN53" s="16" t="str">
        <f aca="false">IF(AM53="","",COUNTIF(Data_Insight!$X$2:$X$20001,AM53))</f>
        <v/>
      </c>
    </row>
    <row r="54" customFormat="false" ht="25.5" hidden="false" customHeight="true" outlineLevel="0" collapsed="false">
      <c r="Q54" s="35" t="str">
        <f aca="false" t="array" ref="Q54:Q54">IFERROR(INDEX($AJ$2:$AJ$599,MATCH(1,($AK$2:$AK$599=R54)*(COUNTIF($Q$3:$Q53,$AJ$2:$AJ$599)=0)*($AJ$2:$AJ$599&lt;&gt;""),0)),"")</f>
        <v>Recognition &amp; Engagement within Project</v>
      </c>
      <c r="R54" s="33" t="n">
        <f aca="false">IFERROR(LARGE($AK$2:$AK$599,52),"")</f>
        <v>2</v>
      </c>
      <c r="S54" s="36" t="n">
        <f aca="false">IF(Q54="","",IFERROR(R54/$B$3,0))</f>
        <v>0.02</v>
      </c>
      <c r="T54" s="37" t="str">
        <f aca="false" t="array" ref="T54:T54">IF(Q54="","",IFERROR(INDEX(SummaryData[Engagement Type],MATCH(TRIM(Q54),TRIM(SummaryData[Statement]),0)),""))</f>
        <v>Large Connect</v>
      </c>
      <c r="AJ54" s="16" t="str">
        <f aca="false">IF(Data_Summary!Y55&lt;&gt;"Coverage","",IF(Data_Summary!AA55="","",IF(COUNTIFS(Data_Summary!$Y$2:$Y55,"Coverage",Data_Summary!$AA$2:$AA55,Data_Summary!AA55)=1,Data_Summary!AA55,"")))</f>
        <v/>
      </c>
      <c r="AK54" s="16" t="str">
        <f aca="false">IF(AJ54="","",COUNTIFS(Data_Summary!$Y$2:$Y$20001,"Coverage",Data_Summary!$AA$2:$AA$20001,AJ54))</f>
        <v/>
      </c>
      <c r="AM54" s="16" t="str">
        <f aca="false">IF(Data_Insight!X54="","",IF(COUNTIF(Data_Insight!$X$2:$X54,Data_Insight!X54)=1,Data_Insight!X54,""))</f>
        <v/>
      </c>
      <c r="AN54" s="16" t="str">
        <f aca="false">IF(AM54="","",COUNTIF(Data_Insight!$X$2:$X$20001,AM54))</f>
        <v/>
      </c>
    </row>
    <row r="55" customFormat="false" ht="25.5" hidden="false" customHeight="true" outlineLevel="0" collapsed="false">
      <c r="A55" s="19"/>
      <c r="B55" s="24"/>
      <c r="Q55" s="35" t="str">
        <f aca="false" t="array" ref="Q55:Q55">IFERROR(INDEX($AJ$2:$AJ$599,MATCH(1,($AK$2:$AK$599=R55)*(COUNTIF($Q$3:$Q54,$AJ$2:$AJ$599)=0)*($AJ$2:$AJ$599&lt;&gt;""),0)),"")</f>
        <v>On Leave/comp-off Due To Client Calendar Mismatches</v>
      </c>
      <c r="R55" s="33" t="n">
        <f aca="false">IFERROR(LARGE($AK$2:$AK$599,53),"")</f>
        <v>2</v>
      </c>
      <c r="S55" s="36" t="n">
        <f aca="false">IF(Q55="","",IFERROR(R55/$B$3,0))</f>
        <v>0.02</v>
      </c>
      <c r="T55" s="37" t="str">
        <f aca="false" t="array" ref="T55:T55">IF(Q55="","",IFERROR(INDEX(SummaryData[Engagement Type],MATCH(TRIM(Q55),TRIM(SummaryData[Statement]),0)),""))</f>
        <v>Large Connect</v>
      </c>
      <c r="AJ55" s="16" t="str">
        <f aca="false">IF(Data_Summary!Y56&lt;&gt;"Coverage","",IF(Data_Summary!AA56="","",IF(COUNTIFS(Data_Summary!$Y$2:$Y56,"Coverage",Data_Summary!$AA$2:$AA56,Data_Summary!AA56)=1,Data_Summary!AA56,"")))</f>
        <v/>
      </c>
      <c r="AK55" s="16" t="str">
        <f aca="false">IF(AJ55="","",COUNTIFS(Data_Summary!$Y$2:$Y$20001,"Coverage",Data_Summary!$AA$2:$AA$20001,AJ55))</f>
        <v/>
      </c>
      <c r="AM55" s="16" t="str">
        <f aca="false">IF(Data_Insight!X55="","",IF(COUNTIF(Data_Insight!$X$2:$X55,Data_Insight!X55)=1,Data_Insight!X55,""))</f>
        <v/>
      </c>
      <c r="AN55" s="16" t="str">
        <f aca="false">IF(AM55="","",COUNTIF(Data_Insight!$X$2:$X$20001,AM55))</f>
        <v/>
      </c>
    </row>
    <row r="56" customFormat="false" ht="25.5" hidden="false" customHeight="true" outlineLevel="0" collapsed="false">
      <c r="A56" s="24"/>
      <c r="B56" s="24"/>
      <c r="C56" s="24"/>
      <c r="D56" s="24"/>
      <c r="Q56" s="35" t="str">
        <f aca="false" t="array" ref="Q56:Q56">IFERROR(INDEX($AJ$2:$AJ$599,MATCH(1,($AK$2:$AK$599=R56)*(COUNTIF($Q$3:$Q55,$AJ$2:$AJ$599)=0)*($AJ$2:$AJ$599&lt;&gt;""),0)),"")</f>
        <v>Initial Organization Understanding</v>
      </c>
      <c r="R56" s="33" t="n">
        <f aca="false">IFERROR(LARGE($AK$2:$AK$599,54),"")</f>
        <v>2</v>
      </c>
      <c r="S56" s="36" t="n">
        <f aca="false">IF(Q56="","",IFERROR(R56/$B$3,0))</f>
        <v>0.02</v>
      </c>
      <c r="T56" s="37" t="str">
        <f aca="false" t="array" ref="T56:T56">IF(Q56="","",IFERROR(INDEX(SummaryData[Engagement Type],MATCH(TRIM(Q56),TRIM(SummaryData[Statement]),0)),""))</f>
        <v>Location-Mixed</v>
      </c>
      <c r="AJ56" s="16" t="str">
        <f aca="false">IF(Data_Summary!Y57&lt;&gt;"Coverage","",IF(Data_Summary!AA57="","",IF(COUNTIFS(Data_Summary!$Y$2:$Y57,"Coverage",Data_Summary!$AA$2:$AA57,Data_Summary!AA57)=1,Data_Summary!AA57,"")))</f>
        <v/>
      </c>
      <c r="AK56" s="16" t="str">
        <f aca="false">IF(AJ56="","",COUNTIFS(Data_Summary!$Y$2:$Y$20001,"Coverage",Data_Summary!$AA$2:$AA$20001,AJ56))</f>
        <v/>
      </c>
      <c r="AM56" s="16" t="str">
        <f aca="false">IF(Data_Insight!X56="","",IF(COUNTIF(Data_Insight!$X$2:$X56,Data_Insight!X56)=1,Data_Insight!X56,""))</f>
        <v/>
      </c>
      <c r="AN56" s="16" t="str">
        <f aca="false">IF(AM56="","",COUNTIF(Data_Insight!$X$2:$X$20001,AM56))</f>
        <v/>
      </c>
    </row>
    <row r="57" customFormat="false" ht="15" hidden="false" customHeight="true" outlineLevel="0" collapsed="false">
      <c r="A57" s="43"/>
      <c r="B57" s="44"/>
      <c r="C57" s="45"/>
      <c r="D57" s="46"/>
      <c r="E57" s="16" t="n">
        <f aca="false">IFERROR(IF(D170=0,0,(D170-E170)/D170),0)</f>
        <v>0</v>
      </c>
      <c r="Q57" s="35" t="str">
        <f aca="false" t="array" ref="Q57:Q57">IFERROR(INDEX($AJ$2:$AJ$599,MATCH(1,($AK$2:$AK$599=R57)*(COUNTIF($Q$3:$Q56,$AJ$2:$AJ$599)=0)*($AJ$2:$AJ$599&lt;&gt;""),0)),"")</f>
        <v>Induction Effectiveness</v>
      </c>
      <c r="R57" s="33" t="n">
        <f aca="false">IFERROR(LARGE($AK$2:$AK$599,55),"")</f>
        <v>2</v>
      </c>
      <c r="S57" s="36" t="n">
        <f aca="false">IF(Q57="","",IFERROR(R57/$B$3,0))</f>
        <v>0.02</v>
      </c>
      <c r="T57" s="37" t="str">
        <f aca="false" t="array" ref="T57:T57">IF(Q57="","",IFERROR(INDEX(SummaryData[Engagement Type],MATCH(TRIM(Q57),TRIM(SummaryData[Statement]),0)),""))</f>
        <v>FGD</v>
      </c>
      <c r="AJ57" s="16" t="str">
        <f aca="false">IF(Data_Summary!Y58&lt;&gt;"Coverage","",IF(Data_Summary!AA58="","",IF(COUNTIFS(Data_Summary!$Y$2:$Y58,"Coverage",Data_Summary!$AA$2:$AA58,Data_Summary!AA58)=1,Data_Summary!AA58,"")))</f>
        <v/>
      </c>
      <c r="AK57" s="16" t="str">
        <f aca="false">IF(AJ57="","",COUNTIFS(Data_Summary!$Y$2:$Y$20001,"Coverage",Data_Summary!$AA$2:$AA$20001,AJ57))</f>
        <v/>
      </c>
      <c r="AM57" s="16" t="str">
        <f aca="false">IF(Data_Insight!X57="","",IF(COUNTIF(Data_Insight!$X$2:$X57,Data_Insight!X57)=1,Data_Insight!X57,""))</f>
        <v/>
      </c>
      <c r="AN57" s="16" t="str">
        <f aca="false">IF(AM57="","",COUNTIF(Data_Insight!$X$2:$X$20001,AM57))</f>
        <v/>
      </c>
    </row>
    <row r="58" customFormat="false" ht="25.5" hidden="false" customHeight="true" outlineLevel="0" collapsed="false">
      <c r="A58" s="43"/>
      <c r="B58" s="44"/>
      <c r="C58" s="45"/>
      <c r="D58" s="46"/>
      <c r="Q58" s="35" t="str">
        <f aca="false" t="array" ref="Q58:Q58">IFERROR(INDEX($AJ$2:$AJ$599,MATCH(1,($AK$2:$AK$599=R58)*(COUNTIF($Q$3:$Q57,$AJ$2:$AJ$599)=0)*($AJ$2:$AJ$599&lt;&gt;""),0)),"")</f>
        <v>Clarity On Role-based Learning Expectations</v>
      </c>
      <c r="R58" s="33" t="n">
        <f aca="false">IFERROR(LARGE($AK$2:$AK$599,56),"")</f>
        <v>1</v>
      </c>
      <c r="S58" s="36" t="n">
        <f aca="false">IF(Q58="","",IFERROR(R58/$B$3,0))</f>
        <v>0.01</v>
      </c>
      <c r="T58" s="37" t="str">
        <f aca="false" t="array" ref="T58:T58">IF(Q58="","",IFERROR(INDEX(SummaryData[Engagement Type],MATCH(TRIM(Q58),TRIM(SummaryData[Statement]),0)),""))</f>
        <v>FGD</v>
      </c>
      <c r="AJ58" s="16" t="str">
        <f aca="false">IF(Data_Summary!Y59&lt;&gt;"Coverage","",IF(Data_Summary!AA59="","",IF(COUNTIFS(Data_Summary!$Y$2:$Y59,"Coverage",Data_Summary!$AA$2:$AA59,Data_Summary!AA59)=1,Data_Summary!AA59,"")))</f>
        <v>AI Session</v>
      </c>
      <c r="AK58" s="16" t="n">
        <f aca="false">IF(AJ58="","",COUNTIFS(Data_Summary!$Y$2:$Y$20001,"Coverage",Data_Summary!$AA$2:$AA$20001,AJ58))</f>
        <v>1</v>
      </c>
      <c r="AM58" s="16" t="str">
        <f aca="false">IF(Data_Insight!X58="","",IF(COUNTIF(Data_Insight!$X$2:$X58,Data_Insight!X58)=1,Data_Insight!X58,""))</f>
        <v/>
      </c>
      <c r="AN58" s="16" t="str">
        <f aca="false">IF(AM58="","",COUNTIF(Data_Insight!$X$2:$X$20001,AM58))</f>
        <v/>
      </c>
    </row>
    <row r="59" customFormat="false" ht="25.5" hidden="false" customHeight="true" outlineLevel="0" collapsed="false">
      <c r="A59" s="43"/>
      <c r="B59" s="44"/>
      <c r="C59" s="45"/>
      <c r="D59" s="46"/>
      <c r="Q59" s="35" t="str">
        <f aca="false" t="array" ref="Q59:Q59">IFERROR(INDEX($AJ$2:$AJ$599,MATCH(1,($AK$2:$AK$599=R59)*(COUNTIF($Q$3:$Q58,$AJ$2:$AJ$599)=0)*($AJ$2:$AJ$599&lt;&gt;""),0)),"")</f>
        <v>Recognition &amp; Visibility</v>
      </c>
      <c r="R59" s="33" t="n">
        <f aca="false">IFERROR(LARGE($AK$2:$AK$599,57),"")</f>
        <v>1</v>
      </c>
      <c r="S59" s="36" t="n">
        <f aca="false">IF(Q59="","",IFERROR(R59/$B$3,0))</f>
        <v>0.01</v>
      </c>
      <c r="T59" s="37" t="str">
        <f aca="false" t="array" ref="T59:T59">IF(Q59="","",IFERROR(INDEX(SummaryData[Engagement Type],MATCH(TRIM(Q59),TRIM(SummaryData[Statement]),0)),""))</f>
        <v>Large Connect</v>
      </c>
      <c r="AJ59" s="16" t="str">
        <f aca="false">IF(Data_Summary!Y60&lt;&gt;"Coverage","",IF(Data_Summary!AA60="","",IF(COUNTIFS(Data_Summary!$Y$2:$Y60,"Coverage",Data_Summary!$AA$2:$AA60,Data_Summary!AA60)=1,Data_Summary!AA60,"")))</f>
        <v>Review Cadence</v>
      </c>
      <c r="AK59" s="16" t="n">
        <f aca="false">IF(AJ59="","",COUNTIFS(Data_Summary!$Y$2:$Y$20001,"Coverage",Data_Summary!$AA$2:$AA$20001,AJ59))</f>
        <v>1</v>
      </c>
      <c r="AM59" s="16" t="str">
        <f aca="false">IF(Data_Insight!X59="","",IF(COUNTIF(Data_Insight!$X$2:$X59,Data_Insight!X59)=1,Data_Insight!X59,""))</f>
        <v/>
      </c>
      <c r="AN59" s="16" t="str">
        <f aca="false">IF(AM59="","",COUNTIF(Data_Insight!$X$2:$X$20001,AM59))</f>
        <v/>
      </c>
    </row>
    <row r="60" customFormat="false" ht="15" hidden="false" customHeight="true" outlineLevel="0" collapsed="false">
      <c r="A60" s="43"/>
      <c r="B60" s="44"/>
      <c r="C60" s="45"/>
      <c r="D60" s="46"/>
      <c r="Q60" s="35" t="str">
        <f aca="false" t="array" ref="Q60:Q60">IFERROR(INDEX($AJ$2:$AJ$599,MATCH(1,($AK$2:$AK$599=R60)*(COUNTIF($Q$3:$Q59,$AJ$2:$AJ$599)=0)*($AJ$2:$AJ$599&lt;&gt;""),0)),"")</f>
        <v>AI Session</v>
      </c>
      <c r="R60" s="33" t="n">
        <f aca="false">IFERROR(LARGE($AK$2:$AK$599,58),"")</f>
        <v>1</v>
      </c>
      <c r="S60" s="36" t="n">
        <f aca="false">IF(Q60="","",IFERROR(R60/$B$3,0))</f>
        <v>0.01</v>
      </c>
      <c r="T60" s="37" t="str">
        <f aca="false" t="array" ref="T60:T60">IF(Q60="","",IFERROR(INDEX(SummaryData[Engagement Type],MATCH(TRIM(Q60),TRIM(SummaryData[Statement]),0)),""))</f>
        <v>Location-Offshore</v>
      </c>
      <c r="AJ60" s="16" t="str">
        <f aca="false">IF(Data_Summary!Y61&lt;&gt;"Coverage","",IF(Data_Summary!AA61="","",IF(COUNTIFS(Data_Summary!$Y$2:$Y61,"Coverage",Data_Summary!$AA$2:$AA61,Data_Summary!AA61)=1,Data_Summary!AA61,"")))</f>
        <v/>
      </c>
      <c r="AK60" s="16" t="str">
        <f aca="false">IF(AJ60="","",COUNTIFS(Data_Summary!$Y$2:$Y$20001,"Coverage",Data_Summary!$AA$2:$AA$20001,AJ60))</f>
        <v/>
      </c>
      <c r="AM60" s="16" t="str">
        <f aca="false">IF(Data_Insight!X60="","",IF(COUNTIF(Data_Insight!$X$2:$X60,Data_Insight!X60)=1,Data_Insight!X60,""))</f>
        <v/>
      </c>
      <c r="AN60" s="16" t="str">
        <f aca="false">IF(AM60="","",COUNTIF(Data_Insight!$X$2:$X$20001,AM60))</f>
        <v/>
      </c>
    </row>
    <row r="61" customFormat="false" ht="15" hidden="false" customHeight="true" outlineLevel="0" collapsed="false">
      <c r="A61" s="43"/>
      <c r="B61" s="44"/>
      <c r="C61" s="45"/>
      <c r="D61" s="46"/>
      <c r="Q61" s="47" t="str">
        <f aca="false" t="array" ref="Q61:Q61">IFERROR(INDEX($AJ$2:$AJ$599,MATCH(1,($AK$2:$AK$599=R61)*(COUNTIF($Q$3:$Q60,$AJ$2:$AJ$599)=0)*($AJ$2:$AJ$599&lt;&gt;""),0)),"")</f>
        <v>Review Cadence</v>
      </c>
      <c r="R61" s="48" t="n">
        <f aca="false">IFERROR(LARGE($AK$2:$AK$599,59),"")</f>
        <v>1</v>
      </c>
      <c r="S61" s="48" t="n">
        <f aca="false">IF(Q61="","",IFERROR(R61/$B$3,0))</f>
        <v>0.01</v>
      </c>
      <c r="T61" s="48" t="str">
        <f aca="false" t="array" ref="T61:T61">IF(Q61="","",IFERROR(INDEX(SummaryData[Engagement Type],MATCH(TRIM(Q61),TRIM(SummaryData[Statement]),0)),""))</f>
        <v>Location-Offshore</v>
      </c>
      <c r="AJ61" s="16" t="str">
        <f aca="false">IF(Data_Summary!Y62&lt;&gt;"Coverage","",IF(Data_Summary!AA62="","",IF(COUNTIFS(Data_Summary!$Y$2:$Y62,"Coverage",Data_Summary!$AA$2:$AA62,Data_Summary!AA62)=1,Data_Summary!AA62,"")))</f>
        <v/>
      </c>
      <c r="AK61" s="16" t="str">
        <f aca="false">IF(AJ61="","",COUNTIFS(Data_Summary!$Y$2:$Y$20001,"Coverage",Data_Summary!$AA$2:$AA$20001,AJ61))</f>
        <v/>
      </c>
      <c r="AM61" s="16" t="str">
        <f aca="false">IF(Data_Insight!X61="","",IF(COUNTIF(Data_Insight!$X$2:$X61,Data_Insight!X61)=1,Data_Insight!X61,""))</f>
        <v/>
      </c>
      <c r="AN61" s="16" t="str">
        <f aca="false">IF(AM61="","",COUNTIF(Data_Insight!$X$2:$X$20001,AM61))</f>
        <v/>
      </c>
    </row>
    <row r="62" customFormat="false" ht="15" hidden="false" customHeight="true" outlineLevel="0" collapsed="false">
      <c r="A62" s="43"/>
      <c r="B62" s="44"/>
      <c r="C62" s="45"/>
      <c r="D62" s="46"/>
      <c r="Q62" s="48" t="str">
        <f aca="false" t="array" ref="Q62:Q62">IFERROR(INDEX($AJ$2:$AJ$599,MATCH(1,($AK$2:$AK$599=R62)*(COUNTIF($Q$3:$Q61,$AJ$2:$AJ$599)=0)*($AJ$2:$AJ$599&lt;&gt;""),0)),"")</f>
        <v>Clarity on Org Changes &amp; Priorities</v>
      </c>
      <c r="R62" s="48" t="n">
        <f aca="false">IFERROR(LARGE($AK$2:$AK$599,60),"")</f>
        <v>1</v>
      </c>
      <c r="S62" s="48" t="n">
        <f aca="false">IF(Q62="","",IFERROR(R62/$B$3,0))</f>
        <v>0.01</v>
      </c>
      <c r="T62" s="48" t="str">
        <f aca="false" t="array" ref="T62:T62">IF(Q62="","",IFERROR(INDEX(SummaryData[Engagement Type],MATCH(TRIM(Q62),TRIM(SummaryData[Statement]),0)),""))</f>
        <v>Location-Offshore</v>
      </c>
      <c r="AJ62" s="16" t="str">
        <f aca="false">IF(Data_Summary!Y63&lt;&gt;"Coverage","",IF(Data_Summary!AA63="","",IF(COUNTIFS(Data_Summary!$Y$2:$Y63,"Coverage",Data_Summary!$AA$2:$AA63,Data_Summary!AA63)=1,Data_Summary!AA63,"")))</f>
        <v/>
      </c>
      <c r="AK62" s="16" t="str">
        <f aca="false">IF(AJ62="","",COUNTIFS(Data_Summary!$Y$2:$Y$20001,"Coverage",Data_Summary!$AA$2:$AA$20001,AJ62))</f>
        <v/>
      </c>
      <c r="AM62" s="16" t="str">
        <f aca="false">IF(Data_Insight!X62="","",IF(COUNTIF(Data_Insight!$X$2:$X62,Data_Insight!X62)=1,Data_Insight!X62,""))</f>
        <v/>
      </c>
      <c r="AN62" s="16" t="str">
        <f aca="false">IF(AM62="","",COUNTIF(Data_Insight!$X$2:$X$20001,AM62))</f>
        <v/>
      </c>
    </row>
    <row r="63" customFormat="false" ht="15" hidden="false" customHeight="true" outlineLevel="0" collapsed="false">
      <c r="A63" s="43"/>
      <c r="B63" s="44"/>
      <c r="C63" s="45"/>
      <c r="D63" s="46"/>
      <c r="AJ63" s="16" t="str">
        <f aca="false">IF(Data_Summary!Y64&lt;&gt;"Coverage","",IF(Data_Summary!AA64="","",IF(COUNTIFS(Data_Summary!$Y$2:$Y64,"Coverage",Data_Summary!$AA$2:$AA64,Data_Summary!AA64)=1,Data_Summary!AA64,"")))</f>
        <v>Role Expectation Clarity</v>
      </c>
      <c r="AK63" s="16" t="n">
        <f aca="false">IF(AJ63="","",COUNTIFS(Data_Summary!$Y$2:$Y$20001,"Coverage",Data_Summary!$AA$2:$AA$20001,AJ63))</f>
        <v>2</v>
      </c>
      <c r="AM63" s="16" t="str">
        <f aca="false">IF(Data_Insight!X63="","",IF(COUNTIF(Data_Insight!$X$2:$X63,Data_Insight!X63)=1,Data_Insight!X63,""))</f>
        <v/>
      </c>
      <c r="AN63" s="16" t="str">
        <f aca="false">IF(AM63="","",COUNTIF(Data_Insight!$X$2:$X$20001,AM63))</f>
        <v/>
      </c>
    </row>
    <row r="64" customFormat="false" ht="15" hidden="false" customHeight="true" outlineLevel="0" collapsed="false">
      <c r="A64" s="43"/>
      <c r="B64" s="44"/>
      <c r="C64" s="45"/>
      <c r="D64" s="46"/>
      <c r="AJ64" s="16" t="str">
        <f aca="false">IF(Data_Summary!Y65&lt;&gt;"Coverage","",IF(Data_Summary!AA65="","",IF(COUNTIFS(Data_Summary!$Y$2:$Y65,"Coverage",Data_Summary!$AA$2:$AA65,Data_Summary!AA65)=1,Data_Summary!AA65,"")))</f>
        <v>Initial Engagement Level</v>
      </c>
      <c r="AK64" s="16" t="n">
        <f aca="false">IF(AJ64="","",COUNTIFS(Data_Summary!$Y$2:$Y$20001,"Coverage",Data_Summary!$AA$2:$AA$20001,AJ64))</f>
        <v>2</v>
      </c>
      <c r="AM64" s="16" t="str">
        <f aca="false">IF(Data_Insight!X64="","",IF(COUNTIF(Data_Insight!$X$2:$X64,Data_Insight!X64)=1,Data_Insight!X64,""))</f>
        <v/>
      </c>
      <c r="AN64" s="16" t="str">
        <f aca="false">IF(AM64="","",COUNTIF(Data_Insight!$X$2:$X$20001,AM64))</f>
        <v/>
      </c>
    </row>
    <row r="65" customFormat="false" ht="15" hidden="false" customHeight="true" outlineLevel="0" collapsed="false">
      <c r="A65" s="43"/>
      <c r="B65" s="44"/>
      <c r="C65" s="45"/>
      <c r="D65" s="46"/>
      <c r="AJ65" s="16" t="str">
        <f aca="false">IF(Data_Summary!Y66&lt;&gt;"Coverage","",IF(Data_Summary!AA66="","",IF(COUNTIFS(Data_Summary!$Y$2:$Y66,"Coverage",Data_Summary!$AA$2:$AA66,Data_Summary!AA66)=1,Data_Summary!AA66,"")))</f>
        <v/>
      </c>
      <c r="AK65" s="16" t="str">
        <f aca="false">IF(AJ65="","",COUNTIFS(Data_Summary!$Y$2:$Y$20001,"Coverage",Data_Summary!$AA$2:$AA$20001,AJ65))</f>
        <v/>
      </c>
      <c r="AM65" s="16" t="str">
        <f aca="false">IF(Data_Insight!X65="","",IF(COUNTIF(Data_Insight!$X$2:$X65,Data_Insight!X65)=1,Data_Insight!X65,""))</f>
        <v/>
      </c>
      <c r="AN65" s="16" t="str">
        <f aca="false">IF(AM65="","",COUNTIF(Data_Insight!$X$2:$X$20001,AM65))</f>
        <v/>
      </c>
    </row>
    <row r="66" customFormat="false" ht="15" hidden="false" customHeight="true" outlineLevel="0" collapsed="false">
      <c r="A66" s="43"/>
      <c r="B66" s="44"/>
      <c r="C66" s="45"/>
      <c r="D66" s="46"/>
      <c r="AJ66" s="16" t="str">
        <f aca="false">IF(Data_Summary!Y67&lt;&gt;"Coverage","",IF(Data_Summary!AA67="","",IF(COUNTIFS(Data_Summary!$Y$2:$Y67,"Coverage",Data_Summary!$AA$2:$AA67,Data_Summary!AA67)=1,Data_Summary!AA67,"")))</f>
        <v/>
      </c>
      <c r="AK66" s="16" t="str">
        <f aca="false">IF(AJ66="","",COUNTIFS(Data_Summary!$Y$2:$Y$20001,"Coverage",Data_Summary!$AA$2:$AA$20001,AJ66))</f>
        <v/>
      </c>
      <c r="AM66" s="16" t="str">
        <f aca="false">IF(Data_Insight!X66="","",IF(COUNTIF(Data_Insight!$X$2:$X66,Data_Insight!X66)=1,Data_Insight!X66,""))</f>
        <v/>
      </c>
      <c r="AN66" s="16" t="str">
        <f aca="false">IF(AM66="","",COUNTIF(Data_Insight!$X$2:$X$20001,AM66))</f>
        <v/>
      </c>
    </row>
    <row r="67" customFormat="false" ht="15" hidden="false" customHeight="true" outlineLevel="0" collapsed="false">
      <c r="A67" s="43"/>
      <c r="B67" s="44"/>
      <c r="C67" s="45"/>
      <c r="D67" s="46"/>
      <c r="AJ67" s="16" t="str">
        <f aca="false">IF(Data_Summary!Y68&lt;&gt;"Coverage","",IF(Data_Summary!AA68="","",IF(COUNTIFS(Data_Summary!$Y$2:$Y68,"Coverage",Data_Summary!$AA$2:$AA68,Data_Summary!AA68)=1,Data_Summary!AA68,"")))</f>
        <v/>
      </c>
      <c r="AK67" s="16" t="str">
        <f aca="false">IF(AJ67="","",COUNTIFS(Data_Summary!$Y$2:$Y$20001,"Coverage",Data_Summary!$AA$2:$AA$20001,AJ67))</f>
        <v/>
      </c>
      <c r="AM67" s="16" t="str">
        <f aca="false">IF(Data_Insight!X67="","",IF(COUNTIF(Data_Insight!$X$2:$X67,Data_Insight!X67)=1,Data_Insight!X67,""))</f>
        <v/>
      </c>
      <c r="AN67" s="16" t="str">
        <f aca="false">IF(AM67="","",COUNTIF(Data_Insight!$X$2:$X$20001,AM67))</f>
        <v/>
      </c>
    </row>
    <row r="68" customFormat="false" ht="15" hidden="false" customHeight="true" outlineLevel="0" collapsed="false">
      <c r="A68" s="43"/>
      <c r="B68" s="44"/>
      <c r="C68" s="45"/>
      <c r="D68" s="46"/>
      <c r="AJ68" s="16" t="str">
        <f aca="false">IF(Data_Summary!Y69&lt;&gt;"Coverage","",IF(Data_Summary!AA69="","",IF(COUNTIFS(Data_Summary!$Y$2:$Y69,"Coverage",Data_Summary!$AA$2:$AA69,Data_Summary!AA69)=1,Data_Summary!AA69,"")))</f>
        <v/>
      </c>
      <c r="AK68" s="16" t="str">
        <f aca="false">IF(AJ68="","",COUNTIFS(Data_Summary!$Y$2:$Y$20001,"Coverage",Data_Summary!$AA$2:$AA$20001,AJ68))</f>
        <v/>
      </c>
      <c r="AM68" s="16" t="str">
        <f aca="false">IF(Data_Insight!X68="","",IF(COUNTIF(Data_Insight!$X$2:$X68,Data_Insight!X68)=1,Data_Insight!X68,""))</f>
        <v>Wellness Session</v>
      </c>
      <c r="AN68" s="16" t="n">
        <f aca="false">IF(AM68="","",COUNTIF(Data_Insight!$X$2:$X$20001,AM68))</f>
        <v>1</v>
      </c>
    </row>
    <row r="69" customFormat="false" ht="15" hidden="false" customHeight="true" outlineLevel="0" collapsed="false">
      <c r="A69" s="43"/>
      <c r="B69" s="44"/>
      <c r="C69" s="45"/>
      <c r="D69" s="46"/>
      <c r="AJ69" s="16" t="str">
        <f aca="false">IF(Data_Summary!Y70&lt;&gt;"Coverage","",IF(Data_Summary!AA70="","",IF(COUNTIFS(Data_Summary!$Y$2:$Y70,"Coverage",Data_Summary!$AA$2:$AA70,Data_Summary!AA70)=1,Data_Summary!AA70,"")))</f>
        <v>Learning &amp; Skill Building</v>
      </c>
      <c r="AK69" s="16" t="n">
        <f aca="false">IF(AJ69="","",COUNTIFS(Data_Summary!$Y$2:$Y$20001,"Coverage",Data_Summary!$AA$2:$AA$20001,AJ69))</f>
        <v>2</v>
      </c>
      <c r="AM69" s="16" t="str">
        <f aca="false">IF(Data_Insight!X69="","",IF(COUNTIF(Data_Insight!$X$2:$X69,Data_Insight!X69)=1,Data_Insight!X69,""))</f>
        <v/>
      </c>
      <c r="AN69" s="16" t="str">
        <f aca="false">IF(AM69="","",COUNTIF(Data_Insight!$X$2:$X$20001,AM69))</f>
        <v/>
      </c>
    </row>
    <row r="70" customFormat="false" ht="15" hidden="false" customHeight="true" outlineLevel="0" collapsed="false">
      <c r="A70" s="43"/>
      <c r="B70" s="44"/>
      <c r="C70" s="45"/>
      <c r="D70" s="46"/>
      <c r="AJ70" s="16" t="str">
        <f aca="false">IF(Data_Summary!Y71&lt;&gt;"Coverage","",IF(Data_Summary!AA71="","",IF(COUNTIFS(Data_Summary!$Y$2:$Y71,"Coverage",Data_Summary!$AA$2:$AA71,Data_Summary!AA71)=1,Data_Summary!AA71,"")))</f>
        <v/>
      </c>
      <c r="AK70" s="16" t="str">
        <f aca="false">IF(AJ70="","",COUNTIFS(Data_Summary!$Y$2:$Y$20001,"Coverage",Data_Summary!$AA$2:$AA$20001,AJ70))</f>
        <v/>
      </c>
      <c r="AM70" s="16" t="str">
        <f aca="false">IF(Data_Insight!X70="","",IF(COUNTIF(Data_Insight!$X$2:$X70,Data_Insight!X70)=1,Data_Insight!X70,""))</f>
        <v/>
      </c>
      <c r="AN70" s="16" t="str">
        <f aca="false">IF(AM70="","",COUNTIF(Data_Insight!$X$2:$X$20001,AM70))</f>
        <v/>
      </c>
    </row>
    <row r="71" customFormat="false" ht="15" hidden="false" customHeight="true" outlineLevel="0" collapsed="false">
      <c r="A71" s="43"/>
      <c r="B71" s="44"/>
      <c r="C71" s="45"/>
      <c r="D71" s="46"/>
      <c r="AJ71" s="16" t="str">
        <f aca="false">IF(Data_Summary!Y72&lt;&gt;"Coverage","",IF(Data_Summary!AA72="","",IF(COUNTIFS(Data_Summary!$Y$2:$Y72,"Coverage",Data_Summary!$AA$2:$AA72,Data_Summary!AA72)=1,Data_Summary!AA72,"")))</f>
        <v>Inclusive Team Practices</v>
      </c>
      <c r="AK71" s="16" t="n">
        <f aca="false">IF(AJ71="","",COUNTIFS(Data_Summary!$Y$2:$Y$20001,"Coverage",Data_Summary!$AA$2:$AA$20001,AJ71))</f>
        <v>2</v>
      </c>
      <c r="AM71" s="16" t="str">
        <f aca="false">IF(Data_Insight!X71="","",IF(COUNTIF(Data_Insight!$X$2:$X71,Data_Insight!X71)=1,Data_Insight!X71,""))</f>
        <v/>
      </c>
      <c r="AN71" s="16" t="str">
        <f aca="false">IF(AM71="","",COUNTIF(Data_Insight!$X$2:$X$20001,AM71))</f>
        <v/>
      </c>
    </row>
    <row r="72" customFormat="false" ht="15" hidden="false" customHeight="true" outlineLevel="0" collapsed="false">
      <c r="A72" s="43"/>
      <c r="B72" s="44"/>
      <c r="C72" s="45"/>
      <c r="D72" s="46"/>
      <c r="AJ72" s="16" t="str">
        <f aca="false">IF(Data_Summary!Y73&lt;&gt;"Coverage","",IF(Data_Summary!AA73="","",IF(COUNTIFS(Data_Summary!$Y$2:$Y73,"Coverage",Data_Summary!$AA$2:$AA73,Data_Summary!AA73)=1,Data_Summary!AA73,"")))</f>
        <v/>
      </c>
      <c r="AK72" s="16" t="str">
        <f aca="false">IF(AJ72="","",COUNTIFS(Data_Summary!$Y$2:$Y$20001,"Coverage",Data_Summary!$AA$2:$AA$20001,AJ72))</f>
        <v/>
      </c>
      <c r="AM72" s="16" t="str">
        <f aca="false">IF(Data_Insight!X72="","",IF(COUNTIF(Data_Insight!$X$2:$X72,Data_Insight!X72)=1,Data_Insight!X72,""))</f>
        <v>New Joiner Connect (7 Days)</v>
      </c>
      <c r="AN72" s="16" t="n">
        <f aca="false">IF(AM72="","",COUNTIF(Data_Insight!$X$2:$X$20001,AM72))</f>
        <v>4</v>
      </c>
    </row>
    <row r="73" customFormat="false" ht="15" hidden="false" customHeight="true" outlineLevel="0" collapsed="false">
      <c r="A73" s="43"/>
      <c r="B73" s="44"/>
      <c r="C73" s="45"/>
      <c r="D73" s="46"/>
      <c r="AJ73" s="16" t="str">
        <f aca="false">IF(Data_Summary!Y74&lt;&gt;"Coverage","",IF(Data_Summary!AA74="","",IF(COUNTIFS(Data_Summary!$Y$2:$Y74,"Coverage",Data_Summary!$AA$2:$AA74,Data_Summary!AA74)=1,Data_Summary!AA74,"")))</f>
        <v/>
      </c>
      <c r="AK73" s="16" t="str">
        <f aca="false">IF(AJ73="","",COUNTIFS(Data_Summary!$Y$2:$Y$20001,"Coverage",Data_Summary!$AA$2:$AA$20001,AJ73))</f>
        <v/>
      </c>
      <c r="AM73" s="16" t="str">
        <f aca="false">IF(Data_Insight!X73="","",IF(COUNTIF(Data_Insight!$X$2:$X73,Data_Insight!X73)=1,Data_Insight!X73,""))</f>
        <v/>
      </c>
      <c r="AN73" s="16" t="str">
        <f aca="false">IF(AM73="","",COUNTIF(Data_Insight!$X$2:$X$20001,AM73))</f>
        <v/>
      </c>
    </row>
    <row r="74" customFormat="false" ht="12.75" hidden="false" customHeight="true" outlineLevel="0" collapsed="false">
      <c r="A74" s="49"/>
      <c r="B74" s="44"/>
      <c r="C74" s="50"/>
      <c r="D74" s="51"/>
      <c r="AJ74" s="16" t="str">
        <f aca="false">IF(Data_Summary!Y75&lt;&gt;"Coverage","",IF(Data_Summary!AA75="","",IF(COUNTIFS(Data_Summary!$Y$2:$Y75,"Coverage",Data_Summary!$AA$2:$AA75,Data_Summary!AA75)=1,Data_Summary!AA75,"")))</f>
        <v/>
      </c>
      <c r="AK74" s="16" t="str">
        <f aca="false">IF(AJ74="","",COUNTIFS(Data_Summary!$Y$2:$Y$20001,"Coverage",Data_Summary!$AA$2:$AA$20001,AJ74))</f>
        <v/>
      </c>
      <c r="AM74" s="16" t="str">
        <f aca="false">IF(Data_Insight!X74="","",IF(COUNTIF(Data_Insight!$X$2:$X74,Data_Insight!X74)=1,Data_Insight!X74,""))</f>
        <v/>
      </c>
      <c r="AN74" s="16" t="str">
        <f aca="false">IF(AM74="","",COUNTIF(Data_Insight!$X$2:$X$20001,AM74))</f>
        <v/>
      </c>
    </row>
    <row r="75" customFormat="false" ht="15.75" hidden="false" customHeight="true" outlineLevel="0" collapsed="false">
      <c r="A75" s="49"/>
      <c r="B75" s="45"/>
      <c r="C75" s="49"/>
      <c r="D75" s="52"/>
      <c r="AJ75" s="16" t="str">
        <f aca="false">IF(Data_Summary!Y76&lt;&gt;"Coverage","",IF(Data_Summary!AA76="","",IF(COUNTIFS(Data_Summary!$Y$2:$Y76,"Coverage",Data_Summary!$AA$2:$AA76,Data_Summary!AA76)=1,Data_Summary!AA76,"")))</f>
        <v>HR / WFM / Training Communication Effectiveness</v>
      </c>
      <c r="AK75" s="16" t="n">
        <f aca="false">IF(AJ75="","",COUNTIFS(Data_Summary!$Y$2:$Y$20001,"Coverage",Data_Summary!$AA$2:$AA$20001,AJ75))</f>
        <v>4</v>
      </c>
      <c r="AM75" s="16" t="str">
        <f aca="false">IF(Data_Insight!X75="","",IF(COUNTIF(Data_Insight!$X$2:$X75,Data_Insight!X75)=1,Data_Insight!X75,""))</f>
        <v/>
      </c>
      <c r="AN75" s="16" t="str">
        <f aca="false">IF(AM75="","",COUNTIF(Data_Insight!$X$2:$X$20001,AM75))</f>
        <v/>
      </c>
    </row>
    <row r="76" customFormat="false" ht="13.5" hidden="false" customHeight="true" outlineLevel="0" collapsed="false">
      <c r="AJ76" s="16" t="str">
        <f aca="false">IF(Data_Summary!Y77&lt;&gt;"Coverage","",IF(Data_Summary!AA77="","",IF(COUNTIFS(Data_Summary!$Y$2:$Y77,"Coverage",Data_Summary!$AA$2:$AA77,Data_Summary!AA77)=1,Data_Summary!AA77,"")))</f>
        <v/>
      </c>
      <c r="AK76" s="16" t="str">
        <f aca="false">IF(AJ76="","",COUNTIFS(Data_Summary!$Y$2:$Y$20001,"Coverage",Data_Summary!$AA$2:$AA$20001,AJ76))</f>
        <v/>
      </c>
      <c r="AM76" s="16" t="str">
        <f aca="false">IF(Data_Insight!X76="","",IF(COUNTIF(Data_Insight!$X$2:$X76,Data_Insight!X76)=1,Data_Insight!X76,""))</f>
        <v/>
      </c>
      <c r="AN76" s="16" t="str">
        <f aca="false">IF(AM76="","",COUNTIF(Data_Insight!$X$2:$X$20001,AM76))</f>
        <v/>
      </c>
    </row>
    <row r="77" customFormat="false" ht="15" hidden="false" customHeight="true" outlineLevel="0" collapsed="false">
      <c r="AJ77" s="16" t="str">
        <f aca="false">IF(Data_Summary!Y78&lt;&gt;"Coverage","",IF(Data_Summary!AA78="","",IF(COUNTIFS(Data_Summary!$Y$2:$Y78,"Coverage",Data_Summary!$AA$2:$AA78,Data_Summary!AA78)=1,Data_Summary!AA78,"")))</f>
        <v/>
      </c>
      <c r="AK77" s="16" t="str">
        <f aca="false">IF(AJ77="","",COUNTIFS(Data_Summary!$Y$2:$Y$20001,"Coverage",Data_Summary!$AA$2:$AA$20001,AJ77))</f>
        <v/>
      </c>
      <c r="AM77" s="16" t="str">
        <f aca="false">IF(Data_Insight!X77="","",IF(COUNTIF(Data_Insight!$X$2:$X77,Data_Insight!X77)=1,Data_Insight!X77,""))</f>
        <v/>
      </c>
      <c r="AN77" s="16" t="str">
        <f aca="false">IF(AM77="","",COUNTIF(Data_Insight!$X$2:$X$20001,AM77))</f>
        <v/>
      </c>
    </row>
    <row r="78" customFormat="false" ht="15" hidden="false" customHeight="true" outlineLevel="0" collapsed="false">
      <c r="AJ78" s="16" t="str">
        <f aca="false">IF(Data_Summary!Y79&lt;&gt;"Coverage","",IF(Data_Summary!AA79="","",IF(COUNTIFS(Data_Summary!$Y$2:$Y79,"Coverage",Data_Summary!$AA$2:$AA79,Data_Summary!AA79)=1,Data_Summary!AA79,"")))</f>
        <v/>
      </c>
      <c r="AK78" s="16" t="str">
        <f aca="false">IF(AJ78="","",COUNTIFS(Data_Summary!$Y$2:$Y$20001,"Coverage",Data_Summary!$AA$2:$AA$20001,AJ78))</f>
        <v/>
      </c>
      <c r="AM78" s="16" t="str">
        <f aca="false">IF(Data_Insight!X78="","",IF(COUNTIF(Data_Insight!$X$2:$X78,Data_Insight!X78)=1,Data_Insight!X78,""))</f>
        <v/>
      </c>
      <c r="AN78" s="16" t="str">
        <f aca="false">IF(AM78="","",COUNTIF(Data_Insight!$X$2:$X$20001,AM78))</f>
        <v/>
      </c>
    </row>
    <row r="79" customFormat="false" ht="15" hidden="false" customHeight="true" outlineLevel="0" collapsed="false">
      <c r="AJ79" s="16" t="str">
        <f aca="false">IF(Data_Summary!Y80&lt;&gt;"Coverage","",IF(Data_Summary!AA80="","",IF(COUNTIFS(Data_Summary!$Y$2:$Y80,"Coverage",Data_Summary!$AA$2:$AA80,Data_Summary!AA80)=1,Data_Summary!AA80,"")))</f>
        <v/>
      </c>
      <c r="AK79" s="16" t="str">
        <f aca="false">IF(AJ79="","",COUNTIFS(Data_Summary!$Y$2:$Y$20001,"Coverage",Data_Summary!$AA$2:$AA$20001,AJ79))</f>
        <v/>
      </c>
      <c r="AM79" s="16" t="str">
        <f aca="false">IF(Data_Insight!X79="","",IF(COUNTIF(Data_Insight!$X$2:$X79,Data_Insight!X79)=1,Data_Insight!X79,""))</f>
        <v/>
      </c>
      <c r="AN79" s="16" t="str">
        <f aca="false">IF(AM79="","",COUNTIF(Data_Insight!$X$2:$X$20001,AM79))</f>
        <v/>
      </c>
    </row>
    <row r="80" customFormat="false" ht="15" hidden="false" customHeight="true" outlineLevel="0" collapsed="false">
      <c r="AJ80" s="16" t="str">
        <f aca="false">IF(Data_Summary!Y81&lt;&gt;"Coverage","",IF(Data_Summary!AA81="","",IF(COUNTIFS(Data_Summary!$Y$2:$Y81,"Coverage",Data_Summary!$AA$2:$AA81,Data_Summary!AA81)=1,Data_Summary!AA81,"")))</f>
        <v>Timesheet Submission/approval Process Inconsistencies Create</v>
      </c>
      <c r="AK80" s="16" t="n">
        <f aca="false">IF(AJ80="","",COUNTIFS(Data_Summary!$Y$2:$Y$20001,"Coverage",Data_Summary!$AA$2:$AA$20001,AJ80))</f>
        <v>2</v>
      </c>
      <c r="AM80" s="16" t="str">
        <f aca="false">IF(Data_Insight!X80="","",IF(COUNTIF(Data_Insight!$X$2:$X80,Data_Insight!X80)=1,Data_Insight!X80,""))</f>
        <v/>
      </c>
      <c r="AN80" s="16" t="str">
        <f aca="false">IF(AM80="","",COUNTIF(Data_Insight!$X$2:$X$20001,AM80))</f>
        <v/>
      </c>
    </row>
    <row r="81" customFormat="false" ht="15" hidden="false" customHeight="true" outlineLevel="0" collapsed="false">
      <c r="AJ81" s="16" t="str">
        <f aca="false">IF(Data_Summary!Y82&lt;&gt;"Coverage","",IF(Data_Summary!AA82="","",IF(COUNTIFS(Data_Summary!$Y$2:$Y82,"Coverage",Data_Summary!$AA$2:$AA82,Data_Summary!AA82)=1,Data_Summary!AA82,"")))</f>
        <v>Workload &amp; Work-Life Balance</v>
      </c>
      <c r="AK81" s="16" t="n">
        <f aca="false">IF(AJ81="","",COUNTIFS(Data_Summary!$Y$2:$Y$20001,"Coverage",Data_Summary!$AA$2:$AA$20001,AJ81))</f>
        <v>2</v>
      </c>
      <c r="AM81" s="16" t="str">
        <f aca="false">IF(Data_Insight!X81="","",IF(COUNTIF(Data_Insight!$X$2:$X81,Data_Insight!X81)=1,Data_Insight!X81,""))</f>
        <v/>
      </c>
      <c r="AN81" s="16" t="str">
        <f aca="false">IF(AM81="","",COUNTIF(Data_Insight!$X$2:$X$20001,AM81))</f>
        <v/>
      </c>
    </row>
    <row r="82" customFormat="false" ht="15" hidden="false" customHeight="true" outlineLevel="0" collapsed="false">
      <c r="AJ82" s="16" t="str">
        <f aca="false">IF(Data_Summary!Y83&lt;&gt;"Coverage","",IF(Data_Summary!AA83="","",IF(COUNTIFS(Data_Summary!$Y$2:$Y83,"Coverage",Data_Summary!$AA$2:$AA83,Data_Summary!AA83)=1,Data_Summary!AA83,"")))</f>
        <v>Manager Support &amp; Local Leadership Effectiveness</v>
      </c>
      <c r="AK82" s="16" t="n">
        <f aca="false">IF(AJ82="","",COUNTIFS(Data_Summary!$Y$2:$Y$20001,"Coverage",Data_Summary!$AA$2:$AA$20001,AJ82))</f>
        <v>3</v>
      </c>
      <c r="AM82" s="16" t="str">
        <f aca="false">IF(Data_Insight!X82="","",IF(COUNTIF(Data_Insight!$X$2:$X82,Data_Insight!X82)=1,Data_Insight!X82,""))</f>
        <v/>
      </c>
      <c r="AN82" s="16" t="str">
        <f aca="false">IF(AM82="","",COUNTIF(Data_Insight!$X$2:$X$20001,AM82))</f>
        <v/>
      </c>
    </row>
    <row r="83" customFormat="false" ht="15" hidden="false" customHeight="true" outlineLevel="0" collapsed="false">
      <c r="AJ83" s="16" t="str">
        <f aca="false">IF(Data_Summary!Y84&lt;&gt;"Coverage","",IF(Data_Summary!AA84="","",IF(COUNTIFS(Data_Summary!$Y$2:$Y84,"Coverage",Data_Summary!$AA$2:$AA84,Data_Summary!AA84)=1,Data_Summary!AA84,"")))</f>
        <v/>
      </c>
      <c r="AK83" s="16" t="str">
        <f aca="false">IF(AJ83="","",COUNTIFS(Data_Summary!$Y$2:$Y$20001,"Coverage",Data_Summary!$AA$2:$AA$20001,AJ83))</f>
        <v/>
      </c>
      <c r="AM83" s="16" t="str">
        <f aca="false">IF(Data_Insight!X83="","",IF(COUNTIF(Data_Insight!$X$2:$X83,Data_Insight!X83)=1,Data_Insight!X83,""))</f>
        <v/>
      </c>
      <c r="AN83" s="16" t="str">
        <f aca="false">IF(AM83="","",COUNTIF(Data_Insight!$X$2:$X$20001,AM83))</f>
        <v/>
      </c>
    </row>
    <row r="84" customFormat="false" ht="15" hidden="false" customHeight="true" outlineLevel="0" collapsed="false">
      <c r="AJ84" s="16" t="str">
        <f aca="false">IF(Data_Summary!Y85&lt;&gt;"Coverage","",IF(Data_Summary!AA85="","",IF(COUNTIFS(Data_Summary!$Y$2:$Y85,"Coverage",Data_Summary!$AA$2:$AA85,Data_Summary!AA85)=1,Data_Summary!AA85,"")))</f>
        <v/>
      </c>
      <c r="AK84" s="16" t="str">
        <f aca="false">IF(AJ84="","",COUNTIFS(Data_Summary!$Y$2:$Y$20001,"Coverage",Data_Summary!$AA$2:$AA$20001,AJ84))</f>
        <v/>
      </c>
      <c r="AM84" s="16" t="str">
        <f aca="false">IF(Data_Insight!X84="","",IF(COUNTIF(Data_Insight!$X$2:$X84,Data_Insight!X84)=1,Data_Insight!X84,""))</f>
        <v/>
      </c>
      <c r="AN84" s="16" t="str">
        <f aca="false">IF(AM84="","",COUNTIF(Data_Insight!$X$2:$X$20001,AM84))</f>
        <v/>
      </c>
    </row>
    <row r="85" customFormat="false" ht="15" hidden="false" customHeight="true" outlineLevel="0" collapsed="false">
      <c r="AJ85" s="16" t="str">
        <f aca="false">IF(Data_Summary!Y86&lt;&gt;"Coverage","",IF(Data_Summary!AA86="","",IF(COUNTIFS(Data_Summary!$Y$2:$Y86,"Coverage",Data_Summary!$AA$2:$AA86,Data_Summary!AA86)=1,Data_Summary!AA86,"")))</f>
        <v/>
      </c>
      <c r="AK85" s="16" t="str">
        <f aca="false">IF(AJ85="","",COUNTIFS(Data_Summary!$Y$2:$Y$20001,"Coverage",Data_Summary!$AA$2:$AA$20001,AJ85))</f>
        <v/>
      </c>
      <c r="AM85" s="16" t="str">
        <f aca="false">IF(Data_Insight!X85="","",IF(COUNTIF(Data_Insight!$X$2:$X85,Data_Insight!X85)=1,Data_Insight!X85,""))</f>
        <v/>
      </c>
      <c r="AN85" s="16" t="str">
        <f aca="false">IF(AM85="","",COUNTIF(Data_Insight!$X$2:$X$20001,AM85))</f>
        <v/>
      </c>
    </row>
    <row r="86" customFormat="false" ht="15" hidden="false" customHeight="true" outlineLevel="0" collapsed="false">
      <c r="AJ86" s="16" t="str">
        <f aca="false">IF(Data_Summary!Y87&lt;&gt;"Coverage","",IF(Data_Summary!AA87="","",IF(COUNTIFS(Data_Summary!$Y$2:$Y87,"Coverage",Data_Summary!$AA$2:$AA87,Data_Summary!AA87)=1,Data_Summary!AA87,"")))</f>
        <v>Internal Mobility / Rotation Opportunities</v>
      </c>
      <c r="AK86" s="16" t="n">
        <f aca="false">IF(AJ86="","",COUNTIFS(Data_Summary!$Y$2:$Y$20001,"Coverage",Data_Summary!$AA$2:$AA$20001,AJ86))</f>
        <v>2</v>
      </c>
      <c r="AM86" s="16" t="str">
        <f aca="false">IF(Data_Insight!X86="","",IF(COUNTIF(Data_Insight!$X$2:$X86,Data_Insight!X86)=1,Data_Insight!X86,""))</f>
        <v/>
      </c>
      <c r="AN86" s="16" t="str">
        <f aca="false">IF(AM86="","",COUNTIF(Data_Insight!$X$2:$X$20001,AM86))</f>
        <v/>
      </c>
    </row>
    <row r="87" customFormat="false" ht="15" hidden="false" customHeight="true" outlineLevel="0" collapsed="false">
      <c r="AJ87" s="16" t="str">
        <f aca="false">IF(Data_Summary!Y88&lt;&gt;"Coverage","",IF(Data_Summary!AA88="","",IF(COUNTIFS(Data_Summary!$Y$2:$Y88,"Coverage",Data_Summary!$AA$2:$AA88,Data_Summary!AA88)=1,Data_Summary!AA88,"")))</f>
        <v>Recognition &amp; Visibility of Growth</v>
      </c>
      <c r="AK87" s="16" t="n">
        <f aca="false">IF(AJ87="","",COUNTIFS(Data_Summary!$Y$2:$Y$20001,"Coverage",Data_Summary!$AA$2:$AA$20001,AJ87))</f>
        <v>2</v>
      </c>
      <c r="AM87" s="16" t="str">
        <f aca="false">IF(Data_Insight!X87="","",IF(COUNTIF(Data_Insight!$X$2:$X87,Data_Insight!X87)=1,Data_Insight!X87,""))</f>
        <v/>
      </c>
      <c r="AN87" s="16" t="str">
        <f aca="false">IF(AM87="","",COUNTIF(Data_Insight!$X$2:$X$20001,AM87))</f>
        <v/>
      </c>
    </row>
    <row r="88" customFormat="false" ht="15" hidden="false" customHeight="true" outlineLevel="0" collapsed="false">
      <c r="AJ88" s="16" t="str">
        <f aca="false">IF(Data_Summary!Y89&lt;&gt;"Coverage","",IF(Data_Summary!AA89="","",IF(COUNTIFS(Data_Summary!$Y$2:$Y89,"Coverage",Data_Summary!$AA$2:$AA89,Data_Summary!AA89)=1,Data_Summary!AA89,"")))</f>
        <v>Career Progression &amp; Next-Level Readiness</v>
      </c>
      <c r="AK88" s="16" t="n">
        <f aca="false">IF(AJ88="","",COUNTIFS(Data_Summary!$Y$2:$Y$20001,"Coverage",Data_Summary!$AA$2:$AA$20001,AJ88))</f>
        <v>4</v>
      </c>
      <c r="AM88" s="16" t="str">
        <f aca="false">IF(Data_Insight!X88="","",IF(COUNTIF(Data_Insight!$X$2:$X88,Data_Insight!X88)=1,Data_Insight!X88,""))</f>
        <v/>
      </c>
      <c r="AN88" s="16" t="str">
        <f aca="false">IF(AM88="","",COUNTIF(Data_Insight!$X$2:$X$20001,AM88))</f>
        <v/>
      </c>
    </row>
    <row r="89" customFormat="false" ht="15" hidden="false" customHeight="true" outlineLevel="0" collapsed="false">
      <c r="A89" s="29"/>
      <c r="B89" s="29"/>
      <c r="AJ89" s="16" t="str">
        <f aca="false">IF(Data_Summary!Y90&lt;&gt;"Coverage","",IF(Data_Summary!AA90="","",IF(COUNTIFS(Data_Summary!$Y$2:$Y90,"Coverage",Data_Summary!$AA$2:$AA90,Data_Summary!AA90)=1,Data_Summary!AA90,"")))</f>
        <v/>
      </c>
      <c r="AK89" s="16" t="str">
        <f aca="false">IF(AJ89="","",COUNTIFS(Data_Summary!$Y$2:$Y$20001,"Coverage",Data_Summary!$AA$2:$AA$20001,AJ89))</f>
        <v/>
      </c>
      <c r="AM89" s="16" t="str">
        <f aca="false">IF(Data_Insight!X89="","",IF(COUNTIF(Data_Insight!$X$2:$X89,Data_Insight!X89)=1,Data_Insight!X89,""))</f>
        <v/>
      </c>
      <c r="AN89" s="16" t="str">
        <f aca="false">IF(AM89="","",COUNTIF(Data_Insight!$X$2:$X$20001,AM89))</f>
        <v/>
      </c>
    </row>
    <row r="90" customFormat="false" ht="12.75" hidden="false" customHeight="true" outlineLevel="0" collapsed="false">
      <c r="AJ90" s="16" t="str">
        <f aca="false">IF(Data_Summary!Y91&lt;&gt;"Coverage","",IF(Data_Summary!AA91="","",IF(COUNTIFS(Data_Summary!$Y$2:$Y91,"Coverage",Data_Summary!$AA$2:$AA91,Data_Summary!AA91)=1,Data_Summary!AA91,"")))</f>
        <v/>
      </c>
      <c r="AK90" s="16" t="str">
        <f aca="false">IF(AJ90="","",COUNTIFS(Data_Summary!$Y$2:$Y$20001,"Coverage",Data_Summary!$AA$2:$AA$20001,AJ90))</f>
        <v/>
      </c>
      <c r="AM90" s="16" t="str">
        <f aca="false">IF(Data_Insight!X90="","",IF(COUNTIF(Data_Insight!$X$2:$X90,Data_Insight!X90)=1,Data_Insight!X90,""))</f>
        <v/>
      </c>
      <c r="AN90" s="16" t="str">
        <f aca="false">IF(AM90="","",COUNTIF(Data_Insight!$X$2:$X$20001,AM90))</f>
        <v/>
      </c>
    </row>
    <row r="91" customFormat="false" ht="15.75" hidden="false" customHeight="true" outlineLevel="0" collapsed="false">
      <c r="AJ91" s="16" t="str">
        <f aca="false">IF(Data_Summary!Y92&lt;&gt;"Coverage","",IF(Data_Summary!AA92="","",IF(COUNTIFS(Data_Summary!$Y$2:$Y92,"Coverage",Data_Summary!$AA$2:$AA92,Data_Summary!AA92)=1,Data_Summary!AA92,"")))</f>
        <v/>
      </c>
      <c r="AK91" s="16" t="str">
        <f aca="false">IF(AJ91="","",COUNTIFS(Data_Summary!$Y$2:$Y$20001,"Coverage",Data_Summary!$AA$2:$AA$20001,AJ91))</f>
        <v/>
      </c>
      <c r="AM91" s="16" t="str">
        <f aca="false">IF(Data_Insight!X91="","",IF(COUNTIF(Data_Insight!$X$2:$X91,Data_Insight!X91)=1,Data_Insight!X91,""))</f>
        <v/>
      </c>
      <c r="AN91" s="16" t="str">
        <f aca="false">IF(AM91="","",COUNTIF(Data_Insight!$X$2:$X$20001,AM91))</f>
        <v/>
      </c>
    </row>
    <row r="92" customFormat="false" ht="13.5" hidden="false" customHeight="true" outlineLevel="0" collapsed="false">
      <c r="AJ92" s="16" t="str">
        <f aca="false">IF(Data_Summary!Y93&lt;&gt;"Coverage","",IF(Data_Summary!AA93="","",IF(COUNTIFS(Data_Summary!$Y$2:$Y93,"Coverage",Data_Summary!$AA$2:$AA93,Data_Summary!AA93)=1,Data_Summary!AA93,"")))</f>
        <v/>
      </c>
      <c r="AK92" s="16" t="str">
        <f aca="false">IF(AJ92="","",COUNTIFS(Data_Summary!$Y$2:$Y$20001,"Coverage",Data_Summary!$AA$2:$AA$20001,AJ92))</f>
        <v/>
      </c>
      <c r="AM92" s="16" t="str">
        <f aca="false">IF(Data_Insight!X92="","",IF(COUNTIF(Data_Insight!$X$2:$X92,Data_Insight!X92)=1,Data_Insight!X92,""))</f>
        <v/>
      </c>
      <c r="AN92" s="16" t="str">
        <f aca="false">IF(AM92="","",COUNTIF(Data_Insight!$X$2:$X$20001,AM92))</f>
        <v/>
      </c>
    </row>
    <row r="93" customFormat="false" ht="15" hidden="false" customHeight="true" outlineLevel="0" collapsed="false">
      <c r="AJ93" s="16" t="str">
        <f aca="false">IF(Data_Summary!Y94&lt;&gt;"Coverage","",IF(Data_Summary!AA94="","",IF(COUNTIFS(Data_Summary!$Y$2:$Y94,"Coverage",Data_Summary!$AA$2:$AA94,Data_Summary!AA94)=1,Data_Summary!AA94,"")))</f>
        <v>Project Allocation Clarity</v>
      </c>
      <c r="AK93" s="16" t="n">
        <f aca="false">IF(AJ93="","",COUNTIFS(Data_Summary!$Y$2:$Y$20001,"Coverage",Data_Summary!$AA$2:$AA$20001,AJ93))</f>
        <v>2</v>
      </c>
      <c r="AM93" s="16" t="str">
        <f aca="false">IF(Data_Insight!X93="","",IF(COUNTIF(Data_Insight!$X$2:$X93,Data_Insight!X93)=1,Data_Insight!X93,""))</f>
        <v/>
      </c>
      <c r="AN93" s="16" t="str">
        <f aca="false">IF(AM93="","",COUNTIF(Data_Insight!$X$2:$X$20001,AM93))</f>
        <v/>
      </c>
    </row>
    <row r="94" customFormat="false" ht="15" hidden="false" customHeight="true" outlineLevel="0" collapsed="false">
      <c r="AJ94" s="16" t="str">
        <f aca="false">IF(Data_Summary!Y95&lt;&gt;"Coverage","",IF(Data_Summary!AA95="","",IF(COUNTIFS(Data_Summary!$Y$2:$Y95,"Coverage",Data_Summary!$AA$2:$AA95,Data_Summary!AA95)=1,Data_Summary!AA95,"")))</f>
        <v>Manager Connect Effectiveness</v>
      </c>
      <c r="AK94" s="16" t="n">
        <f aca="false">IF(AJ94="","",COUNTIFS(Data_Summary!$Y$2:$Y$20001,"Coverage",Data_Summary!$AA$2:$AA$20001,AJ94))</f>
        <v>2</v>
      </c>
      <c r="AM94" s="16" t="str">
        <f aca="false">IF(Data_Insight!X94="","",IF(COUNTIF(Data_Insight!$X$2:$X94,Data_Insight!X94)=1,Data_Insight!X94,""))</f>
        <v/>
      </c>
      <c r="AN94" s="16" t="str">
        <f aca="false">IF(AM94="","",COUNTIF(Data_Insight!$X$2:$X$20001,AM94))</f>
        <v/>
      </c>
    </row>
    <row r="95" customFormat="false" ht="15" hidden="false" customHeight="true" outlineLevel="0" collapsed="false">
      <c r="AJ95" s="16" t="str">
        <f aca="false">IF(Data_Summary!Y96&lt;&gt;"Coverage","",IF(Data_Summary!AA96="","",IF(COUNTIFS(Data_Summary!$Y$2:$Y96,"Coverage",Data_Summary!$AA$2:$AA96,Data_Summary!AA96)=1,Data_Summary!AA96,"")))</f>
        <v/>
      </c>
      <c r="AK95" s="16" t="str">
        <f aca="false">IF(AJ95="","",COUNTIFS(Data_Summary!$Y$2:$Y$20001,"Coverage",Data_Summary!$AA$2:$AA$20001,AJ95))</f>
        <v/>
      </c>
      <c r="AM95" s="16" t="str">
        <f aca="false">IF(Data_Insight!X95="","",IF(COUNTIF(Data_Insight!$X$2:$X95,Data_Insight!X95)=1,Data_Insight!X95,""))</f>
        <v>Cadence Connect</v>
      </c>
      <c r="AN95" s="16" t="n">
        <f aca="false">IF(AM95="","",COUNTIF(Data_Insight!$X$2:$X$20001,AM95))</f>
        <v>1</v>
      </c>
    </row>
    <row r="96" customFormat="false" ht="15" hidden="false" customHeight="true" outlineLevel="0" collapsed="false">
      <c r="AJ96" s="16" t="str">
        <f aca="false">IF(Data_Summary!Y97&lt;&gt;"Coverage","",IF(Data_Summary!AA97="","",IF(COUNTIFS(Data_Summary!$Y$2:$Y97,"Coverage",Data_Summary!$AA$2:$AA97,Data_Summary!AA97)=1,Data_Summary!AA97,"")))</f>
        <v/>
      </c>
      <c r="AK96" s="16" t="str">
        <f aca="false">IF(AJ96="","",COUNTIFS(Data_Summary!$Y$2:$Y$20001,"Coverage",Data_Summary!$AA$2:$AA$20001,AJ96))</f>
        <v/>
      </c>
      <c r="AM96" s="16" t="str">
        <f aca="false">IF(Data_Insight!X96="","",IF(COUNTIF(Data_Insight!$X$2:$X96,Data_Insight!X96)=1,Data_Insight!X96,""))</f>
        <v/>
      </c>
      <c r="AN96" s="16" t="str">
        <f aca="false">IF(AM96="","",COUNTIF(Data_Insight!$X$2:$X$20001,AM96))</f>
        <v/>
      </c>
    </row>
    <row r="97" customFormat="false" ht="12.75" hidden="false" customHeight="true" outlineLevel="0" collapsed="false">
      <c r="AJ97" s="16" t="str">
        <f aca="false">IF(Data_Summary!Y98&lt;&gt;"Coverage","",IF(Data_Summary!AA98="","",IF(COUNTIFS(Data_Summary!$Y$2:$Y98,"Coverage",Data_Summary!$AA$2:$AA98,Data_Summary!AA98)=1,Data_Summary!AA98,"")))</f>
        <v/>
      </c>
      <c r="AK97" s="16" t="str">
        <f aca="false">IF(AJ97="","",COUNTIFS(Data_Summary!$Y$2:$Y$20001,"Coverage",Data_Summary!$AA$2:$AA$20001,AJ97))</f>
        <v/>
      </c>
      <c r="AM97" s="16" t="str">
        <f aca="false">IF(Data_Insight!X97="","",IF(COUNTIF(Data_Insight!$X$2:$X97,Data_Insight!X97)=1,Data_Insight!X97,""))</f>
        <v/>
      </c>
      <c r="AN97" s="16" t="str">
        <f aca="false">IF(AM97="","",COUNTIF(Data_Insight!$X$2:$X$20001,AM97))</f>
        <v/>
      </c>
    </row>
    <row r="98" customFormat="false" ht="15.75" hidden="false" customHeight="true" outlineLevel="0" collapsed="false">
      <c r="AJ98" s="16" t="str">
        <f aca="false">IF(Data_Summary!Y99&lt;&gt;"Coverage","",IF(Data_Summary!AA99="","",IF(COUNTIFS(Data_Summary!$Y$2:$Y99,"Coverage",Data_Summary!$AA$2:$AA99,Data_Summary!AA99)=1,Data_Summary!AA99,"")))</f>
        <v/>
      </c>
      <c r="AK98" s="16" t="str">
        <f aca="false">IF(AJ98="","",COUNTIFS(Data_Summary!$Y$2:$Y$20001,"Coverage",Data_Summary!$AA$2:$AA$20001,AJ98))</f>
        <v/>
      </c>
      <c r="AM98" s="16" t="str">
        <f aca="false">IF(Data_Insight!X98="","",IF(COUNTIF(Data_Insight!$X$2:$X98,Data_Insight!X98)=1,Data_Insight!X98,""))</f>
        <v/>
      </c>
      <c r="AN98" s="16" t="str">
        <f aca="false">IF(AM98="","",COUNTIF(Data_Insight!$X$2:$X$20001,AM98))</f>
        <v/>
      </c>
    </row>
    <row r="99" customFormat="false" ht="13.5" hidden="false" customHeight="true" outlineLevel="0" collapsed="false">
      <c r="AJ99" s="16" t="str">
        <f aca="false">IF(Data_Summary!Y100&lt;&gt;"Coverage","",IF(Data_Summary!AA100="","",IF(COUNTIFS(Data_Summary!$Y$2:$Y100,"Coverage",Data_Summary!$AA$2:$AA100,Data_Summary!AA100)=1,Data_Summary!AA100,"")))</f>
        <v/>
      </c>
      <c r="AK99" s="16" t="str">
        <f aca="false">IF(AJ99="","",COUNTIFS(Data_Summary!$Y$2:$Y$20001,"Coverage",Data_Summary!$AA$2:$AA$20001,AJ99))</f>
        <v/>
      </c>
      <c r="AM99" s="16" t="str">
        <f aca="false">IF(Data_Insight!X99="","",IF(COUNTIF(Data_Insight!$X$2:$X99,Data_Insight!X99)=1,Data_Insight!X99,""))</f>
        <v/>
      </c>
      <c r="AN99" s="16" t="str">
        <f aca="false">IF(AM99="","",COUNTIF(Data_Insight!$X$2:$X$20001,AM99))</f>
        <v/>
      </c>
    </row>
    <row r="100" customFormat="false" ht="15" hidden="false" customHeight="true" outlineLevel="0" collapsed="false">
      <c r="AJ100" s="16" t="str">
        <f aca="false">IF(Data_Summary!Y101&lt;&gt;"Coverage","",IF(Data_Summary!AA101="","",IF(COUNTIFS(Data_Summary!$Y$2:$Y101,"Coverage",Data_Summary!$AA$2:$AA101,Data_Summary!AA101)=1,Data_Summary!AA101,"")))</f>
        <v>Discussion on team dynamics</v>
      </c>
      <c r="AK100" s="16" t="n">
        <f aca="false">IF(AJ100="","",COUNTIFS(Data_Summary!$Y$2:$Y$20001,"Coverage",Data_Summary!$AA$2:$AA$20001,AJ100))</f>
        <v>3</v>
      </c>
      <c r="AM100" s="16" t="str">
        <f aca="false">IF(Data_Insight!X100="","",IF(COUNTIF(Data_Insight!$X$2:$X100,Data_Insight!X100)=1,Data_Insight!X100,""))</f>
        <v/>
      </c>
      <c r="AN100" s="16" t="str">
        <f aca="false">IF(AM100="","",COUNTIF(Data_Insight!$X$2:$X$20001,AM100))</f>
        <v/>
      </c>
    </row>
    <row r="101" customFormat="false" ht="15" hidden="false" customHeight="true" outlineLevel="0" collapsed="false">
      <c r="AJ101" s="16" t="str">
        <f aca="false">IF(Data_Summary!Y102&lt;&gt;"Coverage","",IF(Data_Summary!AA102="","",IF(COUNTIFS(Data_Summary!$Y$2:$Y102,"Coverage",Data_Summary!$AA$2:$AA102,Data_Summary!AA102)=1,Data_Summary!AA102,"")))</f>
        <v/>
      </c>
      <c r="AK101" s="16" t="str">
        <f aca="false">IF(AJ101="","",COUNTIFS(Data_Summary!$Y$2:$Y$20001,"Coverage",Data_Summary!$AA$2:$AA$20001,AJ101))</f>
        <v/>
      </c>
      <c r="AM101" s="16" t="str">
        <f aca="false">IF(Data_Insight!X101="","",IF(COUNTIF(Data_Insight!$X$2:$X101,Data_Insight!X101)=1,Data_Insight!X101,""))</f>
        <v/>
      </c>
      <c r="AN101" s="16" t="str">
        <f aca="false">IF(AM101="","",COUNTIF(Data_Insight!$X$2:$X$20001,AM101))</f>
        <v/>
      </c>
    </row>
    <row r="102" customFormat="false" ht="15" hidden="false" customHeight="true" outlineLevel="0" collapsed="false">
      <c r="AJ102" s="16" t="str">
        <f aca="false">IF(Data_Summary!Y103&lt;&gt;"Coverage","",IF(Data_Summary!AA103="","",IF(COUNTIFS(Data_Summary!$Y$2:$Y103,"Coverage",Data_Summary!$AA$2:$AA103,Data_Summary!AA103)=1,Data_Summary!AA103,"")))</f>
        <v/>
      </c>
      <c r="AK102" s="16" t="str">
        <f aca="false">IF(AJ102="","",COUNTIFS(Data_Summary!$Y$2:$Y$20001,"Coverage",Data_Summary!$AA$2:$AA$20001,AJ102))</f>
        <v/>
      </c>
      <c r="AM102" s="16" t="str">
        <f aca="false">IF(Data_Insight!X102="","",IF(COUNTIF(Data_Insight!$X$2:$X102,Data_Insight!X102)=1,Data_Insight!X102,""))</f>
        <v/>
      </c>
      <c r="AN102" s="16" t="str">
        <f aca="false">IF(AM102="","",COUNTIF(Data_Insight!$X$2:$X$20001,AM102))</f>
        <v/>
      </c>
    </row>
    <row r="103" customFormat="false" ht="15" hidden="false" customHeight="true" outlineLevel="0" collapsed="false">
      <c r="AJ103" s="16" t="str">
        <f aca="false">IF(Data_Summary!Y104&lt;&gt;"Coverage","",IF(Data_Summary!AA104="","",IF(COUNTIFS(Data_Summary!$Y$2:$Y104,"Coverage",Data_Summary!$AA$2:$AA104,Data_Summary!AA104)=1,Data_Summary!AA104,"")))</f>
        <v/>
      </c>
      <c r="AK103" s="16" t="str">
        <f aca="false">IF(AJ103="","",COUNTIFS(Data_Summary!$Y$2:$Y$20001,"Coverage",Data_Summary!$AA$2:$AA$20001,AJ103))</f>
        <v/>
      </c>
      <c r="AM103" s="16" t="str">
        <f aca="false">IF(Data_Insight!X103="","",IF(COUNTIF(Data_Insight!$X$2:$X103,Data_Insight!X103)=1,Data_Insight!X103,""))</f>
        <v/>
      </c>
      <c r="AN103" s="16" t="str">
        <f aca="false">IF(AM103="","",COUNTIF(Data_Insight!$X$2:$X$20001,AM103))</f>
        <v/>
      </c>
    </row>
    <row r="104" customFormat="false" ht="15" hidden="false" customHeight="true" outlineLevel="0" collapsed="false">
      <c r="AJ104" s="16" t="str">
        <f aca="false">IF(Data_Summary!Y105&lt;&gt;"Coverage","",IF(Data_Summary!AA105="","",IF(COUNTIFS(Data_Summary!$Y$2:$Y105,"Coverage",Data_Summary!$AA$2:$AA105,Data_Summary!AA105)=1,Data_Summary!AA105,"")))</f>
        <v/>
      </c>
      <c r="AK104" s="16" t="str">
        <f aca="false">IF(AJ104="","",COUNTIFS(Data_Summary!$Y$2:$Y$20001,"Coverage",Data_Summary!$AA$2:$AA$20001,AJ104))</f>
        <v/>
      </c>
      <c r="AM104" s="16" t="str">
        <f aca="false">IF(Data_Insight!X104="","",IF(COUNTIF(Data_Insight!$X$2:$X104,Data_Insight!X104)=1,Data_Insight!X104,""))</f>
        <v/>
      </c>
      <c r="AN104" s="16" t="str">
        <f aca="false">IF(AM104="","",COUNTIF(Data_Insight!$X$2:$X$20001,AM104))</f>
        <v/>
      </c>
    </row>
    <row r="105" customFormat="false" ht="15" hidden="false" customHeight="true" outlineLevel="0" collapsed="false">
      <c r="AJ105" s="16" t="str">
        <f aca="false">IF(Data_Summary!Y106&lt;&gt;"Coverage","",IF(Data_Summary!AA106="","",IF(COUNTIFS(Data_Summary!$Y$2:$Y106,"Coverage",Data_Summary!$AA$2:$AA106,Data_Summary!AA106)=1,Data_Summary!AA106,"")))</f>
        <v>Workload Management</v>
      </c>
      <c r="AK105" s="16" t="n">
        <f aca="false">IF(AJ105="","",COUNTIFS(Data_Summary!$Y$2:$Y$20001,"Coverage",Data_Summary!$AA$2:$AA$20001,AJ105))</f>
        <v>3</v>
      </c>
      <c r="AM105" s="16" t="str">
        <f aca="false">IF(Data_Insight!X105="","",IF(COUNTIF(Data_Insight!$X$2:$X105,Data_Insight!X105)=1,Data_Insight!X105,""))</f>
        <v/>
      </c>
      <c r="AN105" s="16" t="str">
        <f aca="false">IF(AM105="","",COUNTIF(Data_Insight!$X$2:$X$20001,AM105))</f>
        <v/>
      </c>
    </row>
    <row r="106" customFormat="false" ht="15" hidden="false" customHeight="true" outlineLevel="0" collapsed="false">
      <c r="AJ106" s="16" t="str">
        <f aca="false">IF(Data_Summary!Y107&lt;&gt;"Coverage","",IF(Data_Summary!AA107="","",IF(COUNTIFS(Data_Summary!$Y$2:$Y107,"Coverage",Data_Summary!$AA$2:$AA107,Data_Summary!AA107)=1,Data_Summary!AA107,"")))</f>
        <v/>
      </c>
      <c r="AK106" s="16" t="str">
        <f aca="false">IF(AJ106="","",COUNTIFS(Data_Summary!$Y$2:$Y$20001,"Coverage",Data_Summary!$AA$2:$AA$20001,AJ106))</f>
        <v/>
      </c>
      <c r="AM106" s="16" t="str">
        <f aca="false">IF(Data_Insight!X106="","",IF(COUNTIF(Data_Insight!$X$2:$X106,Data_Insight!X106)=1,Data_Insight!X106,""))</f>
        <v/>
      </c>
      <c r="AN106" s="16" t="str">
        <f aca="false">IF(AM106="","",COUNTIF(Data_Insight!$X$2:$X$20001,AM106))</f>
        <v/>
      </c>
    </row>
    <row r="107" customFormat="false" ht="15" hidden="false" customHeight="true" outlineLevel="0" collapsed="false">
      <c r="AJ107" s="16" t="str">
        <f aca="false">IF(Data_Summary!Y108&lt;&gt;"Coverage","",IF(Data_Summary!AA108="","",IF(COUNTIFS(Data_Summary!$Y$2:$Y108,"Coverage",Data_Summary!$AA$2:$AA108,Data_Summary!AA108)=1,Data_Summary!AA108,"")))</f>
        <v/>
      </c>
      <c r="AK107" s="16" t="str">
        <f aca="false">IF(AJ107="","",COUNTIFS(Data_Summary!$Y$2:$Y$20001,"Coverage",Data_Summary!$AA$2:$AA$20001,AJ107))</f>
        <v/>
      </c>
      <c r="AM107" s="16" t="str">
        <f aca="false">IF(Data_Insight!X107="","",IF(COUNTIF(Data_Insight!$X$2:$X107,Data_Insight!X107)=1,Data_Insight!X107,""))</f>
        <v/>
      </c>
      <c r="AN107" s="16" t="str">
        <f aca="false">IF(AM107="","",COUNTIF(Data_Insight!$X$2:$X$20001,AM107))</f>
        <v/>
      </c>
    </row>
    <row r="108" customFormat="false" ht="15" hidden="false" customHeight="true" outlineLevel="0" collapsed="false">
      <c r="AJ108" s="16" t="str">
        <f aca="false">IF(Data_Summary!Y109&lt;&gt;"Coverage","",IF(Data_Summary!AA109="","",IF(COUNTIFS(Data_Summary!$Y$2:$Y109,"Coverage",Data_Summary!$AA$2:$AA109,Data_Summary!AA109)=1,Data_Summary!AA109,"")))</f>
        <v/>
      </c>
      <c r="AK108" s="16" t="str">
        <f aca="false">IF(AJ108="","",COUNTIFS(Data_Summary!$Y$2:$Y$20001,"Coverage",Data_Summary!$AA$2:$AA$20001,AJ108))</f>
        <v/>
      </c>
      <c r="AM108" s="16" t="str">
        <f aca="false">IF(Data_Insight!X108="","",IF(COUNTIF(Data_Insight!$X$2:$X108,Data_Insight!X108)=1,Data_Insight!X108,""))</f>
        <v/>
      </c>
      <c r="AN108" s="16" t="str">
        <f aca="false">IF(AM108="","",COUNTIF(Data_Insight!$X$2:$X$20001,AM108))</f>
        <v/>
      </c>
    </row>
    <row r="109" customFormat="false" ht="15" hidden="false" customHeight="true" outlineLevel="0" collapsed="false">
      <c r="AJ109" s="16" t="str">
        <f aca="false">IF(Data_Summary!Y110&lt;&gt;"Coverage","",IF(Data_Summary!AA110="","",IF(COUNTIFS(Data_Summary!$Y$2:$Y110,"Coverage",Data_Summary!$AA$2:$AA110,Data_Summary!AA110)=1,Data_Summary!AA110,"")))</f>
        <v/>
      </c>
      <c r="AK109" s="16" t="str">
        <f aca="false">IF(AJ109="","",COUNTIFS(Data_Summary!$Y$2:$Y$20001,"Coverage",Data_Summary!$AA$2:$AA$20001,AJ109))</f>
        <v/>
      </c>
      <c r="AM109" s="16" t="str">
        <f aca="false">IF(Data_Insight!X109="","",IF(COUNTIF(Data_Insight!$X$2:$X109,Data_Insight!X109)=1,Data_Insight!X109,""))</f>
        <v/>
      </c>
      <c r="AN109" s="16" t="str">
        <f aca="false">IF(AM109="","",COUNTIF(Data_Insight!$X$2:$X$20001,AM109))</f>
        <v/>
      </c>
    </row>
    <row r="110" customFormat="false" ht="15" hidden="false" customHeight="true" outlineLevel="0" collapsed="false">
      <c r="AJ110" s="16" t="str">
        <f aca="false">IF(Data_Summary!Y111&lt;&gt;"Coverage","",IF(Data_Summary!AA111="","",IF(COUNTIFS(Data_Summary!$Y$2:$Y111,"Coverage",Data_Summary!$AA$2:$AA111,Data_Summary!AA111)=1,Data_Summary!AA111,"")))</f>
        <v>Clarity on Org Changes &amp; Priorities</v>
      </c>
      <c r="AK110" s="16" t="n">
        <f aca="false">IF(AJ110="","",COUNTIFS(Data_Summary!$Y$2:$Y$20001,"Coverage",Data_Summary!$AA$2:$AA$20001,AJ110))</f>
        <v>1</v>
      </c>
      <c r="AM110" s="16" t="str">
        <f aca="false">IF(Data_Insight!X110="","",IF(COUNTIF(Data_Insight!$X$2:$X110,Data_Insight!X110)=1,Data_Insight!X110,""))</f>
        <v/>
      </c>
      <c r="AN110" s="16" t="str">
        <f aca="false">IF(AM110="","",COUNTIF(Data_Insight!$X$2:$X$20001,AM110))</f>
        <v/>
      </c>
    </row>
    <row r="111" customFormat="false" ht="15" hidden="false" customHeight="true" outlineLevel="0" collapsed="false">
      <c r="AJ111" s="16" t="str">
        <f aca="false">IF(Data_Summary!Y112&lt;&gt;"Coverage","",IF(Data_Summary!AA112="","",IF(COUNTIFS(Data_Summary!$Y$2:$Y112,"Coverage",Data_Summary!$AA$2:$AA112,Data_Summary!AA112)=1,Data_Summary!AA112,"")))</f>
        <v/>
      </c>
      <c r="AK111" s="16" t="str">
        <f aca="false">IF(AJ111="","",COUNTIFS(Data_Summary!$Y$2:$Y$20001,"Coverage",Data_Summary!$AA$2:$AA$20001,AJ111))</f>
        <v/>
      </c>
      <c r="AM111" s="16" t="str">
        <f aca="false">IF(Data_Insight!X111="","",IF(COUNTIF(Data_Insight!$X$2:$X111,Data_Insight!X111)=1,Data_Insight!X111,""))</f>
        <v/>
      </c>
      <c r="AN111" s="16" t="str">
        <f aca="false">IF(AM111="","",COUNTIF(Data_Insight!$X$2:$X$20001,AM111))</f>
        <v/>
      </c>
    </row>
    <row r="112" customFormat="false" ht="15" hidden="false" customHeight="true" outlineLevel="0" collapsed="false">
      <c r="AJ112" s="16" t="str">
        <f aca="false">IF(Data_Summary!Y113&lt;&gt;"Coverage","",IF(Data_Summary!AA113="","",IF(COUNTIFS(Data_Summary!$Y$2:$Y113,"Coverage",Data_Summary!$AA$2:$AA113,Data_Summary!AA113)=1,Data_Summary!AA113,"")))</f>
        <v/>
      </c>
      <c r="AK112" s="16" t="str">
        <f aca="false">IF(AJ112="","",COUNTIFS(Data_Summary!$Y$2:$Y$20001,"Coverage",Data_Summary!$AA$2:$AA$20001,AJ112))</f>
        <v/>
      </c>
      <c r="AM112" s="16" t="str">
        <f aca="false">IF(Data_Insight!X112="","",IF(COUNTIF(Data_Insight!$X$2:$X112,Data_Insight!X112)=1,Data_Insight!X112,""))</f>
        <v/>
      </c>
      <c r="AN112" s="16" t="str">
        <f aca="false">IF(AM112="","",COUNTIF(Data_Insight!$X$2:$X$20001,AM112))</f>
        <v/>
      </c>
    </row>
    <row r="113" customFormat="false" ht="12.75" hidden="false" customHeight="true" outlineLevel="0" collapsed="false">
      <c r="AJ113" s="16" t="str">
        <f aca="false">IF(Data_Summary!Y114&lt;&gt;"Coverage","",IF(Data_Summary!AA114="","",IF(COUNTIFS(Data_Summary!$Y$2:$Y114,"Coverage",Data_Summary!$AA$2:$AA114,Data_Summary!AA114)=1,Data_Summary!AA114,"")))</f>
        <v/>
      </c>
      <c r="AK113" s="16" t="str">
        <f aca="false">IF(AJ113="","",COUNTIFS(Data_Summary!$Y$2:$Y$20001,"Coverage",Data_Summary!$AA$2:$AA$20001,AJ113))</f>
        <v/>
      </c>
      <c r="AM113" s="16" t="str">
        <f aca="false">IF(Data_Insight!X113="","",IF(COUNTIF(Data_Insight!$X$2:$X113,Data_Insight!X113)=1,Data_Insight!X113,""))</f>
        <v/>
      </c>
      <c r="AN113" s="16" t="str">
        <f aca="false">IF(AM113="","",COUNTIF(Data_Insight!$X$2:$X$20001,AM113))</f>
        <v/>
      </c>
    </row>
    <row r="114" customFormat="false" ht="15.75" hidden="false" customHeight="true" outlineLevel="0" collapsed="false">
      <c r="AJ114" s="16" t="str">
        <f aca="false">IF(Data_Summary!Y115&lt;&gt;"Coverage","",IF(Data_Summary!AA115="","",IF(COUNTIFS(Data_Summary!$Y$2:$Y115,"Coverage",Data_Summary!$AA$2:$AA115,Data_Summary!AA115)=1,Data_Summary!AA115,"")))</f>
        <v/>
      </c>
      <c r="AK114" s="16" t="str">
        <f aca="false">IF(AJ114="","",COUNTIFS(Data_Summary!$Y$2:$Y$20001,"Coverage",Data_Summary!$AA$2:$AA$20001,AJ114))</f>
        <v/>
      </c>
      <c r="AM114" s="16" t="str">
        <f aca="false">IF(Data_Insight!X114="","",IF(COUNTIF(Data_Insight!$X$2:$X114,Data_Insight!X114)=1,Data_Insight!X114,""))</f>
        <v/>
      </c>
      <c r="AN114" s="16" t="str">
        <f aca="false">IF(AM114="","",COUNTIF(Data_Insight!$X$2:$X$20001,AM114))</f>
        <v/>
      </c>
    </row>
    <row r="115" customFormat="false" ht="13.5" hidden="false" customHeight="true" outlineLevel="0" collapsed="false">
      <c r="AJ115" s="16" t="str">
        <f aca="false">IF(Data_Summary!Y116&lt;&gt;"Coverage","",IF(Data_Summary!AA116="","",IF(COUNTIFS(Data_Summary!$Y$2:$Y116,"Coverage",Data_Summary!$AA$2:$AA116,Data_Summary!AA116)=1,Data_Summary!AA116,"")))</f>
        <v/>
      </c>
      <c r="AK115" s="16" t="str">
        <f aca="false">IF(AJ115="","",COUNTIFS(Data_Summary!$Y$2:$Y$20001,"Coverage",Data_Summary!$AA$2:$AA$20001,AJ115))</f>
        <v/>
      </c>
      <c r="AM115" s="16" t="str">
        <f aca="false">IF(Data_Insight!X115="","",IF(COUNTIF(Data_Insight!$X$2:$X115,Data_Insight!X115)=1,Data_Insight!X115,""))</f>
        <v/>
      </c>
      <c r="AN115" s="16" t="str">
        <f aca="false">IF(AM115="","",COUNTIF(Data_Insight!$X$2:$X$20001,AM115))</f>
        <v/>
      </c>
    </row>
    <row r="116" customFormat="false" ht="15" hidden="false" customHeight="true" outlineLevel="0" collapsed="false">
      <c r="AJ116" s="16" t="str">
        <f aca="false">IF(Data_Summary!Y117&lt;&gt;"Coverage","",IF(Data_Summary!AA117="","",IF(COUNTIFS(Data_Summary!$Y$2:$Y117,"Coverage",Data_Summary!$AA$2:$AA117,Data_Summary!AA117)=1,Data_Summary!AA117,"")))</f>
        <v/>
      </c>
      <c r="AK116" s="16" t="str">
        <f aca="false">IF(AJ116="","",COUNTIFS(Data_Summary!$Y$2:$Y$20001,"Coverage",Data_Summary!$AA$2:$AA$20001,AJ116))</f>
        <v/>
      </c>
      <c r="AM116" s="16" t="str">
        <f aca="false">IF(Data_Insight!X116="","",IF(COUNTIF(Data_Insight!$X$2:$X116,Data_Insight!X116)=1,Data_Insight!X116,""))</f>
        <v/>
      </c>
      <c r="AN116" s="16" t="str">
        <f aca="false">IF(AM116="","",COUNTIF(Data_Insight!$X$2:$X$20001,AM116))</f>
        <v/>
      </c>
    </row>
    <row r="117" customFormat="false" ht="15" hidden="false" customHeight="true" outlineLevel="0" collapsed="false">
      <c r="AJ117" s="16" t="str">
        <f aca="false">IF(Data_Summary!Y118&lt;&gt;"Coverage","",IF(Data_Summary!AA118="","",IF(COUNTIFS(Data_Summary!$Y$2:$Y118,"Coverage",Data_Summary!$AA$2:$AA118,Data_Summary!AA118)=1,Data_Summary!AA118,"")))</f>
        <v/>
      </c>
      <c r="AK117" s="16" t="str">
        <f aca="false">IF(AJ117="","",COUNTIFS(Data_Summary!$Y$2:$Y$20001,"Coverage",Data_Summary!$AA$2:$AA$20001,AJ117))</f>
        <v/>
      </c>
      <c r="AM117" s="16" t="str">
        <f aca="false">IF(Data_Insight!X117="","",IF(COUNTIF(Data_Insight!$X$2:$X117,Data_Insight!X117)=1,Data_Insight!X117,""))</f>
        <v/>
      </c>
      <c r="AN117" s="16" t="str">
        <f aca="false">IF(AM117="","",COUNTIF(Data_Insight!$X$2:$X$20001,AM117))</f>
        <v/>
      </c>
    </row>
    <row r="118" customFormat="false" ht="15" hidden="false" customHeight="true" outlineLevel="0" collapsed="false">
      <c r="AJ118" s="16" t="str">
        <f aca="false">IF(Data_Summary!Y119&lt;&gt;"Coverage","",IF(Data_Summary!AA119="","",IF(COUNTIFS(Data_Summary!$Y$2:$Y119,"Coverage",Data_Summary!$AA$2:$AA119,Data_Summary!AA119)=1,Data_Summary!AA119,"")))</f>
        <v/>
      </c>
      <c r="AK118" s="16" t="str">
        <f aca="false">IF(AJ118="","",COUNTIFS(Data_Summary!$Y$2:$Y$20001,"Coverage",Data_Summary!$AA$2:$AA$20001,AJ118))</f>
        <v/>
      </c>
      <c r="AM118" s="16" t="str">
        <f aca="false">IF(Data_Insight!X118="","",IF(COUNTIF(Data_Insight!$X$2:$X118,Data_Insight!X118)=1,Data_Insight!X118,""))</f>
        <v/>
      </c>
      <c r="AN118" s="16" t="str">
        <f aca="false">IF(AM118="","",COUNTIF(Data_Insight!$X$2:$X$20001,AM118))</f>
        <v/>
      </c>
    </row>
    <row r="119" customFormat="false" ht="15" hidden="false" customHeight="true" outlineLevel="0" collapsed="false">
      <c r="AJ119" s="16" t="str">
        <f aca="false">IF(Data_Summary!Y120&lt;&gt;"Coverage","",IF(Data_Summary!AA120="","",IF(COUNTIFS(Data_Summary!$Y$2:$Y120,"Coverage",Data_Summary!$AA$2:$AA120,Data_Summary!AA120)=1,Data_Summary!AA120,"")))</f>
        <v/>
      </c>
      <c r="AK119" s="16" t="str">
        <f aca="false">IF(AJ119="","",COUNTIFS(Data_Summary!$Y$2:$Y$20001,"Coverage",Data_Summary!$AA$2:$AA$20001,AJ119))</f>
        <v/>
      </c>
      <c r="AM119" s="16" t="str">
        <f aca="false">IF(Data_Insight!X119="","",IF(COUNTIF(Data_Insight!$X$2:$X119,Data_Insight!X119)=1,Data_Insight!X119,""))</f>
        <v/>
      </c>
      <c r="AN119" s="16" t="str">
        <f aca="false">IF(AM119="","",COUNTIF(Data_Insight!$X$2:$X$20001,AM119))</f>
        <v/>
      </c>
    </row>
    <row r="120" customFormat="false" ht="15" hidden="false" customHeight="true" outlineLevel="0" collapsed="false">
      <c r="AJ120" s="16" t="str">
        <f aca="false">IF(Data_Summary!Y121&lt;&gt;"Coverage","",IF(Data_Summary!AA121="","",IF(COUNTIFS(Data_Summary!$Y$2:$Y121,"Coverage",Data_Summary!$AA$2:$AA121,Data_Summary!AA121)=1,Data_Summary!AA121,"")))</f>
        <v/>
      </c>
      <c r="AK120" s="16" t="str">
        <f aca="false">IF(AJ120="","",COUNTIFS(Data_Summary!$Y$2:$Y$20001,"Coverage",Data_Summary!$AA$2:$AA$20001,AJ120))</f>
        <v/>
      </c>
      <c r="AM120" s="16" t="str">
        <f aca="false">IF(Data_Insight!X120="","",IF(COUNTIF(Data_Insight!$X$2:$X120,Data_Insight!X120)=1,Data_Insight!X120,""))</f>
        <v/>
      </c>
      <c r="AN120" s="16" t="str">
        <f aca="false">IF(AM120="","",COUNTIF(Data_Insight!$X$2:$X$20001,AM120))</f>
        <v/>
      </c>
    </row>
    <row r="121" customFormat="false" ht="15" hidden="false" customHeight="true" outlineLevel="0" collapsed="false">
      <c r="AJ121" s="16" t="str">
        <f aca="false">IF(Data_Summary!Y122&lt;&gt;"Coverage","",IF(Data_Summary!AA122="","",IF(COUNTIFS(Data_Summary!$Y$2:$Y122,"Coverage",Data_Summary!$AA$2:$AA122,Data_Summary!AA122)=1,Data_Summary!AA122,"")))</f>
        <v/>
      </c>
      <c r="AK121" s="16" t="str">
        <f aca="false">IF(AJ121="","",COUNTIFS(Data_Summary!$Y$2:$Y$20001,"Coverage",Data_Summary!$AA$2:$AA$20001,AJ121))</f>
        <v/>
      </c>
      <c r="AM121" s="16" t="str">
        <f aca="false">IF(Data_Insight!X121="","",IF(COUNTIF(Data_Insight!$X$2:$X121,Data_Insight!X121)=1,Data_Insight!X121,""))</f>
        <v/>
      </c>
      <c r="AN121" s="16" t="str">
        <f aca="false">IF(AM121="","",COUNTIF(Data_Insight!$X$2:$X$20001,AM121))</f>
        <v/>
      </c>
    </row>
    <row r="122" customFormat="false" ht="15" hidden="false" customHeight="true" outlineLevel="0" collapsed="false">
      <c r="AJ122" s="16" t="str">
        <f aca="false">IF(Data_Summary!Y123&lt;&gt;"Coverage","",IF(Data_Summary!AA123="","",IF(COUNTIFS(Data_Summary!$Y$2:$Y123,"Coverage",Data_Summary!$AA$2:$AA123,Data_Summary!AA123)=1,Data_Summary!AA123,"")))</f>
        <v>Engagement &amp; Motivation Across Stages</v>
      </c>
      <c r="AK122" s="16" t="n">
        <f aca="false">IF(AJ122="","",COUNTIFS(Data_Summary!$Y$2:$Y$20001,"Coverage",Data_Summary!$AA$2:$AA$20001,AJ122))</f>
        <v>2</v>
      </c>
      <c r="AM122" s="16" t="str">
        <f aca="false">IF(Data_Insight!X122="","",IF(COUNTIF(Data_Insight!$X$2:$X122,Data_Insight!X122)=1,Data_Insight!X122,""))</f>
        <v/>
      </c>
      <c r="AN122" s="16" t="str">
        <f aca="false">IF(AM122="","",COUNTIF(Data_Insight!$X$2:$X$20001,AM122))</f>
        <v/>
      </c>
    </row>
    <row r="123" customFormat="false" ht="15" hidden="false" customHeight="true" outlineLevel="0" collapsed="false">
      <c r="AJ123" s="16" t="str">
        <f aca="false">IF(Data_Summary!Y124&lt;&gt;"Coverage","",IF(Data_Summary!AA124="","",IF(COUNTIFS(Data_Summary!$Y$2:$Y124,"Coverage",Data_Summary!$AA$2:$AA124,Data_Summary!AA124)=1,Data_Summary!AA124,"")))</f>
        <v>Career Clarity &amp; Growth Continuity</v>
      </c>
      <c r="AK123" s="16" t="n">
        <f aca="false">IF(AJ123="","",COUNTIFS(Data_Summary!$Y$2:$Y$20001,"Coverage",Data_Summary!$AA$2:$AA$20001,AJ123))</f>
        <v>2</v>
      </c>
      <c r="AM123" s="16" t="str">
        <f aca="false">IF(Data_Insight!X123="","",IF(COUNTIF(Data_Insight!$X$2:$X123,Data_Insight!X123)=1,Data_Insight!X123,""))</f>
        <v/>
      </c>
      <c r="AN123" s="16" t="str">
        <f aca="false">IF(AM123="","",COUNTIF(Data_Insight!$X$2:$X$20001,AM123))</f>
        <v/>
      </c>
    </row>
    <row r="124" customFormat="false" ht="15" hidden="false" customHeight="true" outlineLevel="0" collapsed="false">
      <c r="AJ124" s="16" t="str">
        <f aca="false">IF(Data_Summary!Y125&lt;&gt;"Coverage","",IF(Data_Summary!AA125="","",IF(COUNTIFS(Data_Summary!$Y$2:$Y125,"Coverage",Data_Summary!$AA$2:$AA125,Data_Summary!AA125)=1,Data_Summary!AA125,"")))</f>
        <v>Allocation &amp; Deployment Transparency</v>
      </c>
      <c r="AK124" s="16" t="n">
        <f aca="false">IF(AJ124="","",COUNTIFS(Data_Summary!$Y$2:$Y$20001,"Coverage",Data_Summary!$AA$2:$AA$20001,AJ124))</f>
        <v>3</v>
      </c>
      <c r="AM124" s="16" t="str">
        <f aca="false">IF(Data_Insight!X124="","",IF(COUNTIF(Data_Insight!$X$2:$X124,Data_Insight!X124)=1,Data_Insight!X124,""))</f>
        <v/>
      </c>
      <c r="AN124" s="16" t="str">
        <f aca="false">IF(AM124="","",COUNTIF(Data_Insight!$X$2:$X$20001,AM124))</f>
        <v/>
      </c>
    </row>
    <row r="125" customFormat="false" ht="15" hidden="false" customHeight="true" outlineLevel="0" collapsed="false">
      <c r="AJ125" s="16" t="str">
        <f aca="false">IF(Data_Summary!Y126&lt;&gt;"Coverage","",IF(Data_Summary!AA126="","",IF(COUNTIFS(Data_Summary!$Y$2:$Y126,"Coverage",Data_Summary!$AA$2:$AA126,Data_Summary!AA126)=1,Data_Summary!AA126,"")))</f>
        <v/>
      </c>
      <c r="AK125" s="16" t="str">
        <f aca="false">IF(AJ125="","",COUNTIFS(Data_Summary!$Y$2:$Y$20001,"Coverage",Data_Summary!$AA$2:$AA$20001,AJ125))</f>
        <v/>
      </c>
      <c r="AM125" s="16" t="str">
        <f aca="false">IF(Data_Insight!X125="","",IF(COUNTIF(Data_Insight!$X$2:$X125,Data_Insight!X125)=1,Data_Insight!X125,""))</f>
        <v/>
      </c>
      <c r="AN125" s="16" t="str">
        <f aca="false">IF(AM125="","",COUNTIF(Data_Insight!$X$2:$X$20001,AM125))</f>
        <v/>
      </c>
    </row>
    <row r="126" customFormat="false" ht="15" hidden="false" customHeight="true" outlineLevel="0" collapsed="false">
      <c r="AJ126" s="16" t="str">
        <f aca="false">IF(Data_Summary!Y127&lt;&gt;"Coverage","",IF(Data_Summary!AA127="","",IF(COUNTIFS(Data_Summary!$Y$2:$Y127,"Coverage",Data_Summary!$AA$2:$AA127,Data_Summary!AA127)=1,Data_Summary!AA127,"")))</f>
        <v/>
      </c>
      <c r="AK126" s="16" t="str">
        <f aca="false">IF(AJ126="","",COUNTIFS(Data_Summary!$Y$2:$Y$20001,"Coverage",Data_Summary!$AA$2:$AA$20001,AJ126))</f>
        <v/>
      </c>
      <c r="AM126" s="16" t="str">
        <f aca="false">IF(Data_Insight!X126="","",IF(COUNTIF(Data_Insight!$X$2:$X126,Data_Insight!X126)=1,Data_Insight!X126,""))</f>
        <v/>
      </c>
      <c r="AN126" s="16" t="str">
        <f aca="false">IF(AM126="","",COUNTIF(Data_Insight!$X$2:$X$20001,AM126))</f>
        <v/>
      </c>
    </row>
    <row r="127" customFormat="false" ht="15" hidden="false" customHeight="true" outlineLevel="0" collapsed="false">
      <c r="AJ127" s="16" t="str">
        <f aca="false">IF(Data_Summary!Y128&lt;&gt;"Coverage","",IF(Data_Summary!AA128="","",IF(COUNTIFS(Data_Summary!$Y$2:$Y128,"Coverage",Data_Summary!$AA$2:$AA128,Data_Summary!AA128)=1,Data_Summary!AA128,"")))</f>
        <v/>
      </c>
      <c r="AK127" s="16" t="str">
        <f aca="false">IF(AJ127="","",COUNTIFS(Data_Summary!$Y$2:$Y$20001,"Coverage",Data_Summary!$AA$2:$AA$20001,AJ127))</f>
        <v/>
      </c>
      <c r="AM127" s="16" t="str">
        <f aca="false">IF(Data_Insight!X127="","",IF(COUNTIF(Data_Insight!$X$2:$X127,Data_Insight!X127)=1,Data_Insight!X127,""))</f>
        <v/>
      </c>
      <c r="AN127" s="16" t="str">
        <f aca="false">IF(AM127="","",COUNTIF(Data_Insight!$X$2:$X$20001,AM127))</f>
        <v/>
      </c>
    </row>
    <row r="128" customFormat="false" ht="15" hidden="false" customHeight="true" outlineLevel="0" collapsed="false">
      <c r="AJ128" s="16" t="str">
        <f aca="false">IF(Data_Summary!Y129&lt;&gt;"Coverage","",IF(Data_Summary!AA129="","",IF(COUNTIFS(Data_Summary!$Y$2:$Y129,"Coverage",Data_Summary!$AA$2:$AA129,Data_Summary!AA129)=1,Data_Summary!AA129,"")))</f>
        <v>Career Path Visibility</v>
      </c>
      <c r="AK128" s="16" t="n">
        <f aca="false">IF(AJ128="","",COUNTIFS(Data_Summary!$Y$2:$Y$20001,"Coverage",Data_Summary!$AA$2:$AA$20001,AJ128))</f>
        <v>3</v>
      </c>
      <c r="AM128" s="16" t="str">
        <f aca="false">IF(Data_Insight!X128="","",IF(COUNTIF(Data_Insight!$X$2:$X128,Data_Insight!X128)=1,Data_Insight!X128,""))</f>
        <v/>
      </c>
      <c r="AN128" s="16" t="str">
        <f aca="false">IF(AM128="","",COUNTIF(Data_Insight!$X$2:$X$20001,AM128))</f>
        <v/>
      </c>
    </row>
    <row r="129" customFormat="false" ht="15" hidden="false" customHeight="true" outlineLevel="0" collapsed="false">
      <c r="AJ129" s="16" t="str">
        <f aca="false">IF(Data_Summary!Y130&lt;&gt;"Coverage","",IF(Data_Summary!AA130="","",IF(COUNTIFS(Data_Summary!$Y$2:$Y130,"Coverage",Data_Summary!$AA$2:$AA130,Data_Summary!AA130)=1,Data_Summary!AA130,"")))</f>
        <v/>
      </c>
      <c r="AK129" s="16" t="str">
        <f aca="false">IF(AJ129="","",COUNTIFS(Data_Summary!$Y$2:$Y$20001,"Coverage",Data_Summary!$AA$2:$AA$20001,AJ129))</f>
        <v/>
      </c>
      <c r="AM129" s="16" t="str">
        <f aca="false">IF(Data_Insight!X129="","",IF(COUNTIF(Data_Insight!$X$2:$X129,Data_Insight!X129)=1,Data_Insight!X129,""))</f>
        <v/>
      </c>
      <c r="AN129" s="16" t="str">
        <f aca="false">IF(AM129="","",COUNTIF(Data_Insight!$X$2:$X$20001,AM129))</f>
        <v/>
      </c>
    </row>
    <row r="130" customFormat="false" ht="15" hidden="false" customHeight="true" outlineLevel="0" collapsed="false">
      <c r="AJ130" s="16" t="str">
        <f aca="false">IF(Data_Summary!Y131&lt;&gt;"Coverage","",IF(Data_Summary!AA131="","",IF(COUNTIFS(Data_Summary!$Y$2:$Y131,"Coverage",Data_Summary!$AA$2:$AA131,Data_Summary!AA131)=1,Data_Summary!AA131,"")))</f>
        <v/>
      </c>
      <c r="AK130" s="16" t="str">
        <f aca="false">IF(AJ130="","",COUNTIFS(Data_Summary!$Y$2:$Y$20001,"Coverage",Data_Summary!$AA$2:$AA$20001,AJ130))</f>
        <v/>
      </c>
      <c r="AM130" s="16" t="str">
        <f aca="false">IF(Data_Insight!X130="","",IF(COUNTIF(Data_Insight!$X$2:$X130,Data_Insight!X130)=1,Data_Insight!X130,""))</f>
        <v/>
      </c>
      <c r="AN130" s="16" t="str">
        <f aca="false">IF(AM130="","",COUNTIF(Data_Insight!$X$2:$X$20001,AM130))</f>
        <v/>
      </c>
    </row>
    <row r="131" customFormat="false" ht="15" hidden="false" customHeight="true" outlineLevel="0" collapsed="false">
      <c r="AJ131" s="16" t="str">
        <f aca="false">IF(Data_Summary!Y132&lt;&gt;"Coverage","",IF(Data_Summary!AA132="","",IF(COUNTIFS(Data_Summary!$Y$2:$Y132,"Coverage",Data_Summary!$AA$2:$AA132,Data_Summary!AA132)=1,Data_Summary!AA132,"")))</f>
        <v/>
      </c>
      <c r="AK131" s="16" t="str">
        <f aca="false">IF(AJ131="","",COUNTIFS(Data_Summary!$Y$2:$Y$20001,"Coverage",Data_Summary!$AA$2:$AA$20001,AJ131))</f>
        <v/>
      </c>
      <c r="AM131" s="16" t="str">
        <f aca="false">IF(Data_Insight!X131="","",IF(COUNTIF(Data_Insight!$X$2:$X131,Data_Insight!X131)=1,Data_Insight!X131,""))</f>
        <v/>
      </c>
      <c r="AN131" s="16" t="str">
        <f aca="false">IF(AM131="","",COUNTIF(Data_Insight!$X$2:$X$20001,AM131))</f>
        <v/>
      </c>
    </row>
    <row r="132" customFormat="false" ht="15" hidden="false" customHeight="true" outlineLevel="0" collapsed="false">
      <c r="AJ132" s="16" t="str">
        <f aca="false">IF(Data_Summary!Y133&lt;&gt;"Coverage","",IF(Data_Summary!AA133="","",IF(COUNTIFS(Data_Summary!$Y$2:$Y133,"Coverage",Data_Summary!$AA$2:$AA133,Data_Summary!AA133)=1,Data_Summary!AA133,"")))</f>
        <v/>
      </c>
      <c r="AK132" s="16" t="str">
        <f aca="false">IF(AJ132="","",COUNTIFS(Data_Summary!$Y$2:$Y$20001,"Coverage",Data_Summary!$AA$2:$AA$20001,AJ132))</f>
        <v/>
      </c>
      <c r="AM132" s="16" t="str">
        <f aca="false">IF(Data_Insight!X132="","",IF(COUNTIF(Data_Insight!$X$2:$X132,Data_Insight!X132)=1,Data_Insight!X132,""))</f>
        <v/>
      </c>
      <c r="AN132" s="16" t="str">
        <f aca="false">IF(AM132="","",COUNTIF(Data_Insight!$X$2:$X$20001,AM132))</f>
        <v/>
      </c>
    </row>
    <row r="133" customFormat="false" ht="15" hidden="false" customHeight="true" outlineLevel="0" collapsed="false">
      <c r="AJ133" s="16" t="str">
        <f aca="false">IF(Data_Summary!Y134&lt;&gt;"Coverage","",IF(Data_Summary!AA134="","",IF(COUNTIFS(Data_Summary!$Y$2:$Y134,"Coverage",Data_Summary!$AA$2:$AA134,Data_Summary!AA134)=1,Data_Summary!AA134,"")))</f>
        <v>For Role Rotation (PM/PGM/architect)</v>
      </c>
      <c r="AK133" s="16" t="n">
        <f aca="false">IF(AJ133="","",COUNTIFS(Data_Summary!$Y$2:$Y$20001,"Coverage",Data_Summary!$AA$2:$AA$20001,AJ133))</f>
        <v>1</v>
      </c>
      <c r="AM133" s="16" t="str">
        <f aca="false">IF(Data_Insight!X133="","",IF(COUNTIF(Data_Insight!$X$2:$X133,Data_Insight!X133)=1,Data_Insight!X133,""))</f>
        <v/>
      </c>
      <c r="AN133" s="16" t="str">
        <f aca="false">IF(AM133="","",COUNTIF(Data_Insight!$X$2:$X$20001,AM133))</f>
        <v/>
      </c>
    </row>
    <row r="134" customFormat="false" ht="15" hidden="false" customHeight="true" outlineLevel="0" collapsed="false">
      <c r="AJ134" s="16" t="str">
        <f aca="false">IF(Data_Summary!Y135&lt;&gt;"Coverage","",IF(Data_Summary!AA135="","",IF(COUNTIFS(Data_Summary!$Y$2:$Y135,"Coverage",Data_Summary!$AA$2:$AA135,Data_Summary!AA135)=1,Data_Summary!AA135,"")))</f>
        <v>Recognition Equity &amp; Visibility</v>
      </c>
      <c r="AK134" s="16" t="n">
        <f aca="false">IF(AJ134="","",COUNTIFS(Data_Summary!$Y$2:$Y$20001,"Coverage",Data_Summary!$AA$2:$AA$20001,AJ134))</f>
        <v>1</v>
      </c>
      <c r="AM134" s="16" t="str">
        <f aca="false">IF(Data_Insight!X134="","",IF(COUNTIF(Data_Insight!$X$2:$X134,Data_Insight!X134)=1,Data_Insight!X134,""))</f>
        <v/>
      </c>
      <c r="AN134" s="16" t="str">
        <f aca="false">IF(AM134="","",COUNTIF(Data_Insight!$X$2:$X$20001,AM134))</f>
        <v/>
      </c>
    </row>
    <row r="135" customFormat="false" ht="15" hidden="false" customHeight="true" outlineLevel="0" collapsed="false">
      <c r="AJ135" s="16" t="str">
        <f aca="false">IF(Data_Summary!Y136&lt;&gt;"Coverage","",IF(Data_Summary!AA136="","",IF(COUNTIFS(Data_Summary!$Y$2:$Y136,"Coverage",Data_Summary!$AA$2:$AA136,Data_Summary!AA136)=1,Data_Summary!AA136,"")))</f>
        <v/>
      </c>
      <c r="AK135" s="16" t="str">
        <f aca="false">IF(AJ135="","",COUNTIFS(Data_Summary!$Y$2:$Y$20001,"Coverage",Data_Summary!$AA$2:$AA$20001,AJ135))</f>
        <v/>
      </c>
      <c r="AM135" s="16" t="str">
        <f aca="false">IF(Data_Insight!X135="","",IF(COUNTIF(Data_Insight!$X$2:$X135,Data_Insight!X135)=1,Data_Insight!X135,""))</f>
        <v/>
      </c>
      <c r="AN135" s="16" t="str">
        <f aca="false">IF(AM135="","",COUNTIF(Data_Insight!$X$2:$X$20001,AM135))</f>
        <v/>
      </c>
    </row>
    <row r="136" customFormat="false" ht="15" hidden="false" customHeight="true" outlineLevel="0" collapsed="false">
      <c r="AJ136" s="16" t="str">
        <f aca="false">IF(Data_Summary!Y137&lt;&gt;"Coverage","",IF(Data_Summary!AA137="","",IF(COUNTIFS(Data_Summary!$Y$2:$Y137,"Coverage",Data_Summary!$AA$2:$AA137,Data_Summary!AA137)=1,Data_Summary!AA137,"")))</f>
        <v/>
      </c>
      <c r="AK136" s="16" t="str">
        <f aca="false">IF(AJ136="","",COUNTIFS(Data_Summary!$Y$2:$Y$20001,"Coverage",Data_Summary!$AA$2:$AA$20001,AJ136))</f>
        <v/>
      </c>
      <c r="AM136" s="16" t="str">
        <f aca="false">IF(Data_Insight!X136="","",IF(COUNTIF(Data_Insight!$X$2:$X136,Data_Insight!X136)=1,Data_Insight!X136,""))</f>
        <v/>
      </c>
      <c r="AN136" s="16" t="str">
        <f aca="false">IF(AM136="","",COUNTIF(Data_Insight!$X$2:$X$20001,AM136))</f>
        <v/>
      </c>
    </row>
    <row r="137" customFormat="false" ht="15" hidden="false" customHeight="true" outlineLevel="0" collapsed="false">
      <c r="AJ137" s="16" t="str">
        <f aca="false">IF(Data_Summary!Y138&lt;&gt;"Coverage","",IF(Data_Summary!AA138="","",IF(COUNTIFS(Data_Summary!$Y$2:$Y138,"Coverage",Data_Summary!$AA$2:$AA138,Data_Summary!AA138)=1,Data_Summary!AA138,"")))</f>
        <v/>
      </c>
      <c r="AK137" s="16" t="str">
        <f aca="false">IF(AJ137="","",COUNTIFS(Data_Summary!$Y$2:$Y$20001,"Coverage",Data_Summary!$AA$2:$AA$20001,AJ137))</f>
        <v/>
      </c>
      <c r="AM137" s="16" t="str">
        <f aca="false">IF(Data_Insight!X137="","",IF(COUNTIF(Data_Insight!$X$2:$X137,Data_Insight!X137)=1,Data_Insight!X137,""))</f>
        <v/>
      </c>
      <c r="AN137" s="16" t="str">
        <f aca="false">IF(AM137="","",COUNTIF(Data_Insight!$X$2:$X$20001,AM137))</f>
        <v/>
      </c>
    </row>
    <row r="138" customFormat="false" ht="15" hidden="false" customHeight="true" outlineLevel="0" collapsed="false">
      <c r="AJ138" s="16" t="str">
        <f aca="false">IF(Data_Summary!Y139&lt;&gt;"Coverage","",IF(Data_Summary!AA139="","",IF(COUNTIFS(Data_Summary!$Y$2:$Y139,"Coverage",Data_Summary!$AA$2:$AA139,Data_Summary!AA139)=1,Data_Summary!AA139,"")))</f>
        <v/>
      </c>
      <c r="AK138" s="16" t="str">
        <f aca="false">IF(AJ138="","",COUNTIFS(Data_Summary!$Y$2:$Y$20001,"Coverage",Data_Summary!$AA$2:$AA$20001,AJ138))</f>
        <v/>
      </c>
      <c r="AM138" s="16" t="str">
        <f aca="false">IF(Data_Insight!X138="","",IF(COUNTIF(Data_Insight!$X$2:$X138,Data_Insight!X138)=1,Data_Insight!X138,""))</f>
        <v/>
      </c>
      <c r="AN138" s="16" t="str">
        <f aca="false">IF(AM138="","",COUNTIF(Data_Insight!$X$2:$X$20001,AM138))</f>
        <v/>
      </c>
    </row>
    <row r="139" customFormat="false" ht="15" hidden="false" customHeight="true" outlineLevel="0" collapsed="false">
      <c r="AJ139" s="16" t="str">
        <f aca="false">IF(Data_Summary!Y140&lt;&gt;"Coverage","",IF(Data_Summary!AA140="","",IF(COUNTIFS(Data_Summary!$Y$2:$Y140,"Coverage",Data_Summary!$AA$2:$AA140,Data_Summary!AA140)=1,Data_Summary!AA140,"")))</f>
        <v/>
      </c>
      <c r="AK139" s="16" t="str">
        <f aca="false">IF(AJ139="","",COUNTIFS(Data_Summary!$Y$2:$Y$20001,"Coverage",Data_Summary!$AA$2:$AA$20001,AJ139))</f>
        <v/>
      </c>
      <c r="AM139" s="16" t="str">
        <f aca="false">IF(Data_Insight!X139="","",IF(COUNTIF(Data_Insight!$X$2:$X139,Data_Insight!X139)=1,Data_Insight!X139,""))</f>
        <v/>
      </c>
      <c r="AN139" s="16" t="str">
        <f aca="false">IF(AM139="","",COUNTIF(Data_Insight!$X$2:$X$20001,AM139))</f>
        <v/>
      </c>
    </row>
    <row r="140" customFormat="false" ht="15" hidden="false" customHeight="true" outlineLevel="0" collapsed="false">
      <c r="AJ140" s="16" t="str">
        <f aca="false">IF(Data_Summary!Y141&lt;&gt;"Coverage","",IF(Data_Summary!AA141="","",IF(COUNTIFS(Data_Summary!$Y$2:$Y141,"Coverage",Data_Summary!$AA$2:$AA141,Data_Summary!AA141)=1,Data_Summary!AA141,"")))</f>
        <v>Team Integration</v>
      </c>
      <c r="AK140" s="16" t="n">
        <f aca="false">IF(AJ140="","",COUNTIFS(Data_Summary!$Y$2:$Y$20001,"Coverage",Data_Summary!$AA$2:$AA$20001,AJ140))</f>
        <v>3</v>
      </c>
      <c r="AM140" s="16" t="str">
        <f aca="false">IF(Data_Insight!X140="","",IF(COUNTIF(Data_Insight!$X$2:$X140,Data_Insight!X140)=1,Data_Insight!X140,""))</f>
        <v/>
      </c>
      <c r="AN140" s="16" t="str">
        <f aca="false">IF(AM140="","",COUNTIF(Data_Insight!$X$2:$X$20001,AM140))</f>
        <v/>
      </c>
    </row>
    <row r="141" customFormat="false" ht="15" hidden="false" customHeight="true" outlineLevel="0" collapsed="false">
      <c r="AJ141" s="16" t="str">
        <f aca="false">IF(Data_Summary!Y142&lt;&gt;"Coverage","",IF(Data_Summary!AA142="","",IF(COUNTIFS(Data_Summary!$Y$2:$Y142,"Coverage",Data_Summary!$AA$2:$AA142,Data_Summary!AA142)=1,Data_Summary!AA142,"")))</f>
        <v>Queries related to BGV check</v>
      </c>
      <c r="AK141" s="16" t="n">
        <f aca="false">IF(AJ141="","",COUNTIFS(Data_Summary!$Y$2:$Y$20001,"Coverage",Data_Summary!$AA$2:$AA$20001,AJ141))</f>
        <v>3</v>
      </c>
      <c r="AM141" s="16" t="str">
        <f aca="false">IF(Data_Insight!X141="","",IF(COUNTIF(Data_Insight!$X$2:$X141,Data_Insight!X141)=1,Data_Insight!X141,""))</f>
        <v/>
      </c>
      <c r="AN141" s="16" t="str">
        <f aca="false">IF(AM141="","",COUNTIF(Data_Insight!$X$2:$X$20001,AM141))</f>
        <v/>
      </c>
    </row>
    <row r="142" customFormat="false" ht="12.75" hidden="false" customHeight="true" outlineLevel="0" collapsed="false">
      <c r="AJ142" s="16" t="str">
        <f aca="false">IF(Data_Summary!Y143&lt;&gt;"Coverage","",IF(Data_Summary!AA143="","",IF(COUNTIFS(Data_Summary!$Y$2:$Y143,"Coverage",Data_Summary!$AA$2:$AA143,Data_Summary!AA143)=1,Data_Summary!AA143,"")))</f>
        <v/>
      </c>
      <c r="AK142" s="16" t="str">
        <f aca="false">IF(AJ142="","",COUNTIFS(Data_Summary!$Y$2:$Y$20001,"Coverage",Data_Summary!$AA$2:$AA$20001,AJ142))</f>
        <v/>
      </c>
      <c r="AM142" s="16" t="str">
        <f aca="false">IF(Data_Insight!X142="","",IF(COUNTIF(Data_Insight!$X$2:$X142,Data_Insight!X142)=1,Data_Insight!X142,""))</f>
        <v/>
      </c>
      <c r="AN142" s="16" t="str">
        <f aca="false">IF(AM142="","",COUNTIF(Data_Insight!$X$2:$X$20001,AM142))</f>
        <v/>
      </c>
    </row>
    <row r="143" customFormat="false" ht="15.75" hidden="false" customHeight="true" outlineLevel="0" collapsed="false">
      <c r="AJ143" s="16" t="str">
        <f aca="false">IF(Data_Summary!Y144&lt;&gt;"Coverage","",IF(Data_Summary!AA144="","",IF(COUNTIFS(Data_Summary!$Y$2:$Y144,"Coverage",Data_Summary!$AA$2:$AA144,Data_Summary!AA144)=1,Data_Summary!AA144,"")))</f>
        <v/>
      </c>
      <c r="AK143" s="16" t="str">
        <f aca="false">IF(AJ143="","",COUNTIFS(Data_Summary!$Y$2:$Y$20001,"Coverage",Data_Summary!$AA$2:$AA$20001,AJ143))</f>
        <v/>
      </c>
      <c r="AM143" s="16" t="str">
        <f aca="false">IF(Data_Insight!X143="","",IF(COUNTIF(Data_Insight!$X$2:$X143,Data_Insight!X143)=1,Data_Insight!X143,""))</f>
        <v/>
      </c>
      <c r="AN143" s="16" t="str">
        <f aca="false">IF(AM143="","",COUNTIF(Data_Insight!$X$2:$X$20001,AM143))</f>
        <v/>
      </c>
    </row>
    <row r="144" customFormat="false" ht="13.5" hidden="false" customHeight="true" outlineLevel="0" collapsed="false">
      <c r="AJ144" s="16" t="str">
        <f aca="false">IF(Data_Summary!Y145&lt;&gt;"Coverage","",IF(Data_Summary!AA145="","",IF(COUNTIFS(Data_Summary!$Y$2:$Y145,"Coverage",Data_Summary!$AA$2:$AA145,Data_Summary!AA145)=1,Data_Summary!AA145,"")))</f>
        <v/>
      </c>
      <c r="AK144" s="16" t="str">
        <f aca="false">IF(AJ144="","",COUNTIFS(Data_Summary!$Y$2:$Y$20001,"Coverage",Data_Summary!$AA$2:$AA$20001,AJ144))</f>
        <v/>
      </c>
      <c r="AM144" s="16" t="str">
        <f aca="false">IF(Data_Insight!X144="","",IF(COUNTIF(Data_Insight!$X$2:$X144,Data_Insight!X144)=1,Data_Insight!X144,""))</f>
        <v/>
      </c>
      <c r="AN144" s="16" t="str">
        <f aca="false">IF(AM144="","",COUNTIF(Data_Insight!$X$2:$X$20001,AM144))</f>
        <v/>
      </c>
    </row>
    <row r="145" customFormat="false" ht="15" hidden="false" customHeight="true" outlineLevel="0" collapsed="false">
      <c r="AJ145" s="16" t="str">
        <f aca="false">IF(Data_Summary!Y146&lt;&gt;"Coverage","",IF(Data_Summary!AA146="","",IF(COUNTIFS(Data_Summary!$Y$2:$Y146,"Coverage",Data_Summary!$AA$2:$AA146,Data_Summary!AA146)=1,Data_Summary!AA146,"")))</f>
        <v/>
      </c>
      <c r="AK145" s="16" t="str">
        <f aca="false">IF(AJ145="","",COUNTIFS(Data_Summary!$Y$2:$Y$20001,"Coverage",Data_Summary!$AA$2:$AA$20001,AJ145))</f>
        <v/>
      </c>
      <c r="AM145" s="16" t="str">
        <f aca="false">IF(Data_Insight!X145="","",IF(COUNTIF(Data_Insight!$X$2:$X145,Data_Insight!X145)=1,Data_Insight!X145,""))</f>
        <v/>
      </c>
      <c r="AN145" s="16" t="str">
        <f aca="false">IF(AM145="","",COUNTIF(Data_Insight!$X$2:$X$20001,AM145))</f>
        <v/>
      </c>
    </row>
    <row r="146" customFormat="false" ht="15" hidden="false" customHeight="true" outlineLevel="0" collapsed="false">
      <c r="AJ146" s="16" t="str">
        <f aca="false">IF(Data_Summary!Y147&lt;&gt;"Coverage","",IF(Data_Summary!AA147="","",IF(COUNTIFS(Data_Summary!$Y$2:$Y147,"Coverage",Data_Summary!$AA$2:$AA147,Data_Summary!AA147)=1,Data_Summary!AA147,"")))</f>
        <v/>
      </c>
      <c r="AK146" s="16" t="str">
        <f aca="false">IF(AJ146="","",COUNTIFS(Data_Summary!$Y$2:$Y$20001,"Coverage",Data_Summary!$AA$2:$AA$20001,AJ146))</f>
        <v/>
      </c>
      <c r="AM146" s="16" t="str">
        <f aca="false">IF(Data_Insight!X146="","",IF(COUNTIF(Data_Insight!$X$2:$X146,Data_Insight!X146)=1,Data_Insight!X146,""))</f>
        <v/>
      </c>
      <c r="AN146" s="16" t="str">
        <f aca="false">IF(AM146="","",COUNTIF(Data_Insight!$X$2:$X$20001,AM146))</f>
        <v/>
      </c>
    </row>
    <row r="147" customFormat="false" ht="15" hidden="false" customHeight="true" outlineLevel="0" collapsed="false">
      <c r="AJ147" s="16" t="str">
        <f aca="false">IF(Data_Summary!Y148&lt;&gt;"Coverage","",IF(Data_Summary!AA148="","",IF(COUNTIFS(Data_Summary!$Y$2:$Y148,"Coverage",Data_Summary!$AA$2:$AA148,Data_Summary!AA148)=1,Data_Summary!AA148,"")))</f>
        <v/>
      </c>
      <c r="AK147" s="16" t="str">
        <f aca="false">IF(AJ147="","",COUNTIFS(Data_Summary!$Y$2:$Y$20001,"Coverage",Data_Summary!$AA$2:$AA$20001,AJ147))</f>
        <v/>
      </c>
      <c r="AM147" s="16" t="str">
        <f aca="false">IF(Data_Insight!X147="","",IF(COUNTIF(Data_Insight!$X$2:$X147,Data_Insight!X147)=1,Data_Insight!X147,""))</f>
        <v/>
      </c>
      <c r="AN147" s="16" t="str">
        <f aca="false">IF(AM147="","",COUNTIF(Data_Insight!$X$2:$X$20001,AM147))</f>
        <v/>
      </c>
    </row>
    <row r="148" customFormat="false" ht="12.75" hidden="false" customHeight="true" outlineLevel="0" collapsed="false">
      <c r="AJ148" s="16" t="str">
        <f aca="false">IF(Data_Summary!Y149&lt;&gt;"Coverage","",IF(Data_Summary!AA149="","",IF(COUNTIFS(Data_Summary!$Y$2:$Y149,"Coverage",Data_Summary!$AA$2:$AA149,Data_Summary!AA149)=1,Data_Summary!AA149,"")))</f>
        <v/>
      </c>
      <c r="AK148" s="16" t="str">
        <f aca="false">IF(AJ148="","",COUNTIFS(Data_Summary!$Y$2:$Y$20001,"Coverage",Data_Summary!$AA$2:$AA$20001,AJ148))</f>
        <v/>
      </c>
      <c r="AM148" s="16" t="str">
        <f aca="false">IF(Data_Insight!X148="","",IF(COUNTIF(Data_Insight!$X$2:$X148,Data_Insight!X148)=1,Data_Insight!X148,""))</f>
        <v/>
      </c>
      <c r="AN148" s="16" t="str">
        <f aca="false">IF(AM148="","",COUNTIF(Data_Insight!$X$2:$X$20001,AM148))</f>
        <v/>
      </c>
    </row>
    <row r="149" customFormat="false" ht="12.75" hidden="false" customHeight="true" outlineLevel="0" collapsed="false">
      <c r="AJ149" s="16" t="str">
        <f aca="false">IF(Data_Summary!Y150&lt;&gt;"Coverage","",IF(Data_Summary!AA150="","",IF(COUNTIFS(Data_Summary!$Y$2:$Y150,"Coverage",Data_Summary!$AA$2:$AA150,Data_Summary!AA150)=1,Data_Summary!AA150,"")))</f>
        <v/>
      </c>
      <c r="AK149" s="16" t="str">
        <f aca="false">IF(AJ149="","",COUNTIFS(Data_Summary!$Y$2:$Y$20001,"Coverage",Data_Summary!$AA$2:$AA$20001,AJ149))</f>
        <v/>
      </c>
      <c r="AM149" s="16" t="str">
        <f aca="false">IF(Data_Insight!X149="","",IF(COUNTIF(Data_Insight!$X$2:$X149,Data_Insight!X149)=1,Data_Insight!X149,""))</f>
        <v/>
      </c>
      <c r="AN149" s="16" t="str">
        <f aca="false">IF(AM149="","",COUNTIF(Data_Insight!$X$2:$X$20001,AM149))</f>
        <v/>
      </c>
    </row>
    <row r="150" customFormat="false" ht="15" hidden="false" customHeight="true" outlineLevel="0" collapsed="false">
      <c r="AJ150" s="16" t="str">
        <f aca="false">IF(Data_Summary!Y151&lt;&gt;"Coverage","",IF(Data_Summary!AA151="","",IF(COUNTIFS(Data_Summary!$Y$2:$Y151,"Coverage",Data_Summary!$AA$2:$AA151,Data_Summary!AA151)=1,Data_Summary!AA151,"")))</f>
        <v/>
      </c>
      <c r="AK150" s="16" t="str">
        <f aca="false">IF(AJ150="","",COUNTIFS(Data_Summary!$Y$2:$Y$20001,"Coverage",Data_Summary!$AA$2:$AA$20001,AJ150))</f>
        <v/>
      </c>
      <c r="AM150" s="16" t="str">
        <f aca="false">IF(Data_Insight!X150="","",IF(COUNTIF(Data_Insight!$X$2:$X150,Data_Insight!X150)=1,Data_Insight!X150,""))</f>
        <v/>
      </c>
      <c r="AN150" s="16" t="str">
        <f aca="false">IF(AM150="","",COUNTIF(Data_Insight!$X$2:$X$20001,AM150))</f>
        <v/>
      </c>
    </row>
    <row r="151" customFormat="false" ht="32.25" hidden="false" customHeight="true" outlineLevel="0" collapsed="false">
      <c r="AJ151" s="16" t="str">
        <f aca="false">IF(Data_Summary!Y152&lt;&gt;"Coverage","",IF(Data_Summary!AA152="","",IF(COUNTIFS(Data_Summary!$Y$2:$Y152,"Coverage",Data_Summary!$AA$2:$AA152,Data_Summary!AA152)=1,Data_Summary!AA152,"")))</f>
        <v/>
      </c>
      <c r="AK151" s="16" t="str">
        <f aca="false">IF(AJ151="","",COUNTIFS(Data_Summary!$Y$2:$Y$20001,"Coverage",Data_Summary!$AA$2:$AA$20001,AJ151))</f>
        <v/>
      </c>
      <c r="AM151" s="16" t="str">
        <f aca="false">IF(Data_Insight!X151="","",IF(COUNTIF(Data_Insight!$X$2:$X151,Data_Insight!X151)=1,Data_Insight!X151,""))</f>
        <v/>
      </c>
      <c r="AN151" s="16" t="str">
        <f aca="false">IF(AM151="","",COUNTIF(Data_Insight!$X$2:$X$20001,AM151))</f>
        <v/>
      </c>
    </row>
    <row r="152" customFormat="false" ht="15" hidden="false" customHeight="true" outlineLevel="0" collapsed="false">
      <c r="AJ152" s="16" t="str">
        <f aca="false">IF(Data_Summary!Y153&lt;&gt;"Coverage","",IF(Data_Summary!AA153="","",IF(COUNTIFS(Data_Summary!$Y$2:$Y153,"Coverage",Data_Summary!$AA$2:$AA153,Data_Summary!AA153)=1,Data_Summary!AA153,"")))</f>
        <v/>
      </c>
      <c r="AK152" s="16" t="str">
        <f aca="false">IF(AJ152="","",COUNTIFS(Data_Summary!$Y$2:$Y$20001,"Coverage",Data_Summary!$AA$2:$AA$20001,AJ152))</f>
        <v/>
      </c>
      <c r="AM152" s="16" t="str">
        <f aca="false">IF(Data_Insight!X152="","",IF(COUNTIF(Data_Insight!$X$2:$X152,Data_Insight!X152)=1,Data_Insight!X152,""))</f>
        <v/>
      </c>
      <c r="AN152" s="16" t="str">
        <f aca="false">IF(AM152="","",COUNTIF(Data_Insight!$X$2:$X$20001,AM152))</f>
        <v/>
      </c>
    </row>
    <row r="153" customFormat="false" ht="15" hidden="false" customHeight="true" outlineLevel="0" collapsed="false">
      <c r="AJ153" s="16" t="str">
        <f aca="false">IF(Data_Summary!Y154&lt;&gt;"Coverage","",IF(Data_Summary!AA154="","",IF(COUNTIFS(Data_Summary!$Y$2:$Y154,"Coverage",Data_Summary!$AA$2:$AA154,Data_Summary!AA154)=1,Data_Summary!AA154,"")))</f>
        <v/>
      </c>
      <c r="AK153" s="16" t="str">
        <f aca="false">IF(AJ153="","",COUNTIFS(Data_Summary!$Y$2:$Y$20001,"Coverage",Data_Summary!$AA$2:$AA$20001,AJ153))</f>
        <v/>
      </c>
      <c r="AM153" s="16" t="str">
        <f aca="false">IF(Data_Insight!X153="","",IF(COUNTIF(Data_Insight!$X$2:$X153,Data_Insight!X153)=1,Data_Insight!X153,""))</f>
        <v/>
      </c>
      <c r="AN153" s="16" t="str">
        <f aca="false">IF(AM153="","",COUNTIF(Data_Insight!$X$2:$X$20001,AM153))</f>
        <v/>
      </c>
    </row>
    <row r="154" customFormat="false" ht="15" hidden="false" customHeight="true" outlineLevel="0" collapsed="false">
      <c r="AJ154" s="16" t="str">
        <f aca="false">IF(Data_Summary!Y155&lt;&gt;"Coverage","",IF(Data_Summary!AA155="","",IF(COUNTIFS(Data_Summary!$Y$2:$Y155,"Coverage",Data_Summary!$AA$2:$AA155,Data_Summary!AA155)=1,Data_Summary!AA155,"")))</f>
        <v/>
      </c>
      <c r="AK154" s="16" t="str">
        <f aca="false">IF(AJ154="","",COUNTIFS(Data_Summary!$Y$2:$Y$20001,"Coverage",Data_Summary!$AA$2:$AA$20001,AJ154))</f>
        <v/>
      </c>
      <c r="AM154" s="16" t="str">
        <f aca="false">IF(Data_Insight!X154="","",IF(COUNTIF(Data_Insight!$X$2:$X154,Data_Insight!X154)=1,Data_Insight!X154,""))</f>
        <v/>
      </c>
      <c r="AN154" s="16" t="str">
        <f aca="false">IF(AM154="","",COUNTIF(Data_Insight!$X$2:$X$20001,AM154))</f>
        <v/>
      </c>
    </row>
    <row r="155" customFormat="false" ht="15" hidden="false" customHeight="true" outlineLevel="0" collapsed="false">
      <c r="AJ155" s="16" t="str">
        <f aca="false">IF(Data_Summary!Y156&lt;&gt;"Coverage","",IF(Data_Summary!AA156="","",IF(COUNTIFS(Data_Summary!$Y$2:$Y156,"Coverage",Data_Summary!$AA$2:$AA156,Data_Summary!AA156)=1,Data_Summary!AA156,"")))</f>
        <v/>
      </c>
      <c r="AK155" s="16" t="str">
        <f aca="false">IF(AJ155="","",COUNTIFS(Data_Summary!$Y$2:$Y$20001,"Coverage",Data_Summary!$AA$2:$AA$20001,AJ155))</f>
        <v/>
      </c>
      <c r="AM155" s="16" t="str">
        <f aca="false">IF(Data_Insight!X155="","",IF(COUNTIF(Data_Insight!$X$2:$X155,Data_Insight!X155)=1,Data_Insight!X155,""))</f>
        <v/>
      </c>
      <c r="AN155" s="16" t="str">
        <f aca="false">IF(AM155="","",COUNTIF(Data_Insight!$X$2:$X$20001,AM155))</f>
        <v/>
      </c>
    </row>
    <row r="156" customFormat="false" ht="15" hidden="false" customHeight="true" outlineLevel="0" collapsed="false">
      <c r="AJ156" s="16" t="str">
        <f aca="false">IF(Data_Summary!Y157&lt;&gt;"Coverage","",IF(Data_Summary!AA157="","",IF(COUNTIFS(Data_Summary!$Y$2:$Y157,"Coverage",Data_Summary!$AA$2:$AA157,Data_Summary!AA157)=1,Data_Summary!AA157,"")))</f>
        <v/>
      </c>
      <c r="AK156" s="16" t="str">
        <f aca="false">IF(AJ156="","",COUNTIFS(Data_Summary!$Y$2:$Y$20001,"Coverage",Data_Summary!$AA$2:$AA$20001,AJ156))</f>
        <v/>
      </c>
      <c r="AM156" s="16" t="str">
        <f aca="false">IF(Data_Insight!X156="","",IF(COUNTIF(Data_Insight!$X$2:$X156,Data_Insight!X156)=1,Data_Insight!X156,""))</f>
        <v/>
      </c>
      <c r="AN156" s="16" t="str">
        <f aca="false">IF(AM156="","",COUNTIF(Data_Insight!$X$2:$X$20001,AM156))</f>
        <v/>
      </c>
    </row>
    <row r="157" customFormat="false" ht="15" hidden="false" customHeight="true" outlineLevel="0" collapsed="false">
      <c r="AJ157" s="16" t="str">
        <f aca="false">IF(Data_Summary!Y158&lt;&gt;"Coverage","",IF(Data_Summary!AA158="","",IF(COUNTIFS(Data_Summary!$Y$2:$Y158,"Coverage",Data_Summary!$AA$2:$AA158,Data_Summary!AA158)=1,Data_Summary!AA158,"")))</f>
        <v/>
      </c>
      <c r="AK157" s="16" t="str">
        <f aca="false">IF(AJ157="","",COUNTIFS(Data_Summary!$Y$2:$Y$20001,"Coverage",Data_Summary!$AA$2:$AA$20001,AJ157))</f>
        <v/>
      </c>
      <c r="AM157" s="16" t="str">
        <f aca="false">IF(Data_Insight!X157="","",IF(COUNTIF(Data_Insight!$X$2:$X157,Data_Insight!X157)=1,Data_Insight!X157,""))</f>
        <v/>
      </c>
      <c r="AN157" s="16" t="str">
        <f aca="false">IF(AM157="","",COUNTIF(Data_Insight!$X$2:$X$20001,AM157))</f>
        <v/>
      </c>
    </row>
    <row r="158" customFormat="false" ht="15" hidden="false" customHeight="true" outlineLevel="0" collapsed="false">
      <c r="AJ158" s="16" t="str">
        <f aca="false">IF(Data_Summary!Y159&lt;&gt;"Coverage","",IF(Data_Summary!AA159="","",IF(COUNTIFS(Data_Summary!$Y$2:$Y159,"Coverage",Data_Summary!$AA$2:$AA159,Data_Summary!AA159)=1,Data_Summary!AA159,"")))</f>
        <v/>
      </c>
      <c r="AK158" s="16" t="str">
        <f aca="false">IF(AJ158="","",COUNTIFS(Data_Summary!$Y$2:$Y$20001,"Coverage",Data_Summary!$AA$2:$AA$20001,AJ158))</f>
        <v/>
      </c>
      <c r="AM158" s="16" t="str">
        <f aca="false">IF(Data_Insight!X158="","",IF(COUNTIF(Data_Insight!$X$2:$X158,Data_Insight!X158)=1,Data_Insight!X158,""))</f>
        <v/>
      </c>
      <c r="AN158" s="16" t="str">
        <f aca="false">IF(AM158="","",COUNTIF(Data_Insight!$X$2:$X$20001,AM158))</f>
        <v/>
      </c>
    </row>
    <row r="159" customFormat="false" ht="15" hidden="false" customHeight="true" outlineLevel="0" collapsed="false">
      <c r="AJ159" s="16" t="str">
        <f aca="false">IF(Data_Summary!Y160&lt;&gt;"Coverage","",IF(Data_Summary!AA160="","",IF(COUNTIFS(Data_Summary!$Y$2:$Y160,"Coverage",Data_Summary!$AA$2:$AA160,Data_Summary!AA160)=1,Data_Summary!AA160,"")))</f>
        <v/>
      </c>
      <c r="AK159" s="16" t="str">
        <f aca="false">IF(AJ159="","",COUNTIFS(Data_Summary!$Y$2:$Y$20001,"Coverage",Data_Summary!$AA$2:$AA$20001,AJ159))</f>
        <v/>
      </c>
      <c r="AM159" s="16" t="str">
        <f aca="false">IF(Data_Insight!X159="","",IF(COUNTIF(Data_Insight!$X$2:$X159,Data_Insight!X159)=1,Data_Insight!X159,""))</f>
        <v/>
      </c>
      <c r="AN159" s="16" t="str">
        <f aca="false">IF(AM159="","",COUNTIF(Data_Insight!$X$2:$X$20001,AM159))</f>
        <v/>
      </c>
    </row>
    <row r="160" customFormat="false" ht="15" hidden="false" customHeight="true" outlineLevel="0" collapsed="false">
      <c r="AJ160" s="16" t="str">
        <f aca="false">IF(Data_Summary!Y161&lt;&gt;"Coverage","",IF(Data_Summary!AA161="","",IF(COUNTIFS(Data_Summary!$Y$2:$Y161,"Coverage",Data_Summary!$AA$2:$AA161,Data_Summary!AA161)=1,Data_Summary!AA161,"")))</f>
        <v/>
      </c>
      <c r="AK160" s="16" t="str">
        <f aca="false">IF(AJ160="","",COUNTIFS(Data_Summary!$Y$2:$Y$20001,"Coverage",Data_Summary!$AA$2:$AA$20001,AJ160))</f>
        <v/>
      </c>
      <c r="AM160" s="16" t="str">
        <f aca="false">IF(Data_Insight!X160="","",IF(COUNTIF(Data_Insight!$X$2:$X160,Data_Insight!X160)=1,Data_Insight!X160,""))</f>
        <v/>
      </c>
      <c r="AN160" s="16" t="str">
        <f aca="false">IF(AM160="","",COUNTIF(Data_Insight!$X$2:$X$20001,AM160))</f>
        <v/>
      </c>
    </row>
    <row r="161" customFormat="false" ht="15" hidden="false" customHeight="true" outlineLevel="0" collapsed="false">
      <c r="AJ161" s="16" t="str">
        <f aca="false">IF(Data_Summary!Y162&lt;&gt;"Coverage","",IF(Data_Summary!AA162="","",IF(COUNTIFS(Data_Summary!$Y$2:$Y162,"Coverage",Data_Summary!$AA$2:$AA162,Data_Summary!AA162)=1,Data_Summary!AA162,"")))</f>
        <v/>
      </c>
      <c r="AK161" s="16" t="str">
        <f aca="false">IF(AJ161="","",COUNTIFS(Data_Summary!$Y$2:$Y$20001,"Coverage",Data_Summary!$AA$2:$AA$20001,AJ161))</f>
        <v/>
      </c>
      <c r="AM161" s="16" t="str">
        <f aca="false">IF(Data_Insight!X161="","",IF(COUNTIF(Data_Insight!$X$2:$X161,Data_Insight!X161)=1,Data_Insight!X161,""))</f>
        <v/>
      </c>
      <c r="AN161" s="16" t="str">
        <f aca="false">IF(AM161="","",COUNTIF(Data_Insight!$X$2:$X$20001,AM161))</f>
        <v/>
      </c>
    </row>
    <row r="162" customFormat="false" ht="15" hidden="false" customHeight="true" outlineLevel="0" collapsed="false">
      <c r="AJ162" s="16" t="str">
        <f aca="false">IF(Data_Summary!Y163&lt;&gt;"Coverage","",IF(Data_Summary!AA163="","",IF(COUNTIFS(Data_Summary!$Y$2:$Y163,"Coverage",Data_Summary!$AA$2:$AA163,Data_Summary!AA163)=1,Data_Summary!AA163,"")))</f>
        <v>Timely Policy/process Updates</v>
      </c>
      <c r="AK162" s="16" t="n">
        <f aca="false">IF(AJ162="","",COUNTIFS(Data_Summary!$Y$2:$Y$20001,"Coverage",Data_Summary!$AA$2:$AA$20001,AJ162))</f>
        <v>1</v>
      </c>
      <c r="AM162" s="16" t="str">
        <f aca="false">IF(Data_Insight!X162="","",IF(COUNTIF(Data_Insight!$X$2:$X162,Data_Insight!X162)=1,Data_Insight!X162,""))</f>
        <v/>
      </c>
      <c r="AN162" s="16" t="str">
        <f aca="false">IF(AM162="","",COUNTIF(Data_Insight!$X$2:$X$20001,AM162))</f>
        <v/>
      </c>
    </row>
    <row r="163" customFormat="false" ht="15" hidden="false" customHeight="true" outlineLevel="0" collapsed="false">
      <c r="AJ163" s="16" t="str">
        <f aca="false">IF(Data_Summary!Y164&lt;&gt;"Coverage","",IF(Data_Summary!AA164="","",IF(COUNTIFS(Data_Summary!$Y$2:$Y164,"Coverage",Data_Summary!$AA$2:$AA164,Data_Summary!AA164)=1,Data_Summary!AA164,"")))</f>
        <v>Manager Effectiveness &amp; Delegation</v>
      </c>
      <c r="AK163" s="16" t="n">
        <f aca="false">IF(AJ163="","",COUNTIFS(Data_Summary!$Y$2:$Y$20001,"Coverage",Data_Summary!$AA$2:$AA$20001,AJ163))</f>
        <v>2</v>
      </c>
      <c r="AM163" s="16" t="str">
        <f aca="false">IF(Data_Insight!X163="","",IF(COUNTIF(Data_Insight!$X$2:$X163,Data_Insight!X163)=1,Data_Insight!X163,""))</f>
        <v/>
      </c>
      <c r="AN163" s="16" t="str">
        <f aca="false">IF(AM163="","",COUNTIF(Data_Insight!$X$2:$X$20001,AM163))</f>
        <v/>
      </c>
    </row>
    <row r="164" customFormat="false" ht="15" hidden="false" customHeight="true" outlineLevel="0" collapsed="false">
      <c r="AJ164" s="16" t="str">
        <f aca="false">IF(Data_Summary!Y165&lt;&gt;"Coverage","",IF(Data_Summary!AA165="","",IF(COUNTIFS(Data_Summary!$Y$2:$Y165,"Coverage",Data_Summary!$AA$2:$AA165,Data_Summary!AA165)=1,Data_Summary!AA165,"")))</f>
        <v>Communication &amp; Transparency</v>
      </c>
      <c r="AK164" s="16" t="n">
        <f aca="false">IF(AJ164="","",COUNTIFS(Data_Summary!$Y$2:$Y$20001,"Coverage",Data_Summary!$AA$2:$AA$20001,AJ164))</f>
        <v>3</v>
      </c>
      <c r="AM164" s="16" t="str">
        <f aca="false">IF(Data_Insight!X164="","",IF(COUNTIF(Data_Insight!$X$2:$X164,Data_Insight!X164)=1,Data_Insight!X164,""))</f>
        <v/>
      </c>
      <c r="AN164" s="16" t="str">
        <f aca="false">IF(AM164="","",COUNTIF(Data_Insight!$X$2:$X$20001,AM164))</f>
        <v/>
      </c>
    </row>
    <row r="165" customFormat="false" ht="15" hidden="false" customHeight="true" outlineLevel="0" collapsed="false">
      <c r="AJ165" s="16" t="str">
        <f aca="false">IF(Data_Summary!Y166&lt;&gt;"Coverage","",IF(Data_Summary!AA166="","",IF(COUNTIFS(Data_Summary!$Y$2:$Y166,"Coverage",Data_Summary!$AA$2:$AA166,Data_Summary!AA166)=1,Data_Summary!AA166,"")))</f>
        <v/>
      </c>
      <c r="AK165" s="16" t="str">
        <f aca="false">IF(AJ165="","",COUNTIFS(Data_Summary!$Y$2:$Y$20001,"Coverage",Data_Summary!$AA$2:$AA$20001,AJ165))</f>
        <v/>
      </c>
      <c r="AM165" s="16" t="str">
        <f aca="false">IF(Data_Insight!X165="","",IF(COUNTIF(Data_Insight!$X$2:$X165,Data_Insight!X165)=1,Data_Insight!X165,""))</f>
        <v/>
      </c>
      <c r="AN165" s="16" t="str">
        <f aca="false">IF(AM165="","",COUNTIF(Data_Insight!$X$2:$X$20001,AM165))</f>
        <v/>
      </c>
    </row>
    <row r="166" customFormat="false" ht="15" hidden="false" customHeight="true" outlineLevel="0" collapsed="false">
      <c r="AJ166" s="16" t="str">
        <f aca="false">IF(Data_Summary!Y167&lt;&gt;"Coverage","",IF(Data_Summary!AA167="","",IF(COUNTIFS(Data_Summary!$Y$2:$Y167,"Coverage",Data_Summary!$AA$2:$AA167,Data_Summary!AA167)=1,Data_Summary!AA167,"")))</f>
        <v/>
      </c>
      <c r="AK166" s="16" t="str">
        <f aca="false">IF(AJ166="","",COUNTIFS(Data_Summary!$Y$2:$Y$20001,"Coverage",Data_Summary!$AA$2:$AA$20001,AJ166))</f>
        <v/>
      </c>
      <c r="AM166" s="16" t="str">
        <f aca="false">IF(Data_Insight!X166="","",IF(COUNTIF(Data_Insight!$X$2:$X166,Data_Insight!X166)=1,Data_Insight!X166,""))</f>
        <v/>
      </c>
      <c r="AN166" s="16" t="str">
        <f aca="false">IF(AM166="","",COUNTIF(Data_Insight!$X$2:$X$20001,AM166))</f>
        <v/>
      </c>
    </row>
    <row r="167" customFormat="false" ht="15" hidden="false" customHeight="true" outlineLevel="0" collapsed="false">
      <c r="AJ167" s="16" t="str">
        <f aca="false">IF(Data_Summary!Y168&lt;&gt;"Coverage","",IF(Data_Summary!AA168="","",IF(COUNTIFS(Data_Summary!$Y$2:$Y168,"Coverage",Data_Summary!$AA$2:$AA168,Data_Summary!AA168)=1,Data_Summary!AA168,"")))</f>
        <v/>
      </c>
      <c r="AK167" s="16" t="str">
        <f aca="false">IF(AJ167="","",COUNTIFS(Data_Summary!$Y$2:$Y$20001,"Coverage",Data_Summary!$AA$2:$AA$20001,AJ167))</f>
        <v/>
      </c>
      <c r="AM167" s="16" t="str">
        <f aca="false">IF(Data_Insight!X167="","",IF(COUNTIF(Data_Insight!$X$2:$X167,Data_Insight!X167)=1,Data_Insight!X167,""))</f>
        <v/>
      </c>
      <c r="AN167" s="16" t="str">
        <f aca="false">IF(AM167="","",COUNTIF(Data_Insight!$X$2:$X$20001,AM167))</f>
        <v/>
      </c>
    </row>
    <row r="168" customFormat="false" ht="15" hidden="false" customHeight="true" outlineLevel="0" collapsed="false">
      <c r="AJ168" s="16" t="str">
        <f aca="false">IF(Data_Summary!Y169&lt;&gt;"Coverage","",IF(Data_Summary!AA169="","",IF(COUNTIFS(Data_Summary!$Y$2:$Y169,"Coverage",Data_Summary!$AA$2:$AA169,Data_Summary!AA169)=1,Data_Summary!AA169,"")))</f>
        <v/>
      </c>
      <c r="AK168" s="16" t="str">
        <f aca="false">IF(AJ168="","",COUNTIFS(Data_Summary!$Y$2:$Y$20001,"Coverage",Data_Summary!$AA$2:$AA$20001,AJ168))</f>
        <v/>
      </c>
      <c r="AM168" s="16" t="str">
        <f aca="false">IF(Data_Insight!X168="","",IF(COUNTIF(Data_Insight!$X$2:$X168,Data_Insight!X168)=1,Data_Insight!X168,""))</f>
        <v/>
      </c>
      <c r="AN168" s="16" t="str">
        <f aca="false">IF(AM168="","",COUNTIF(Data_Insight!$X$2:$X$20001,AM168))</f>
        <v/>
      </c>
    </row>
    <row r="169" customFormat="false" ht="15" hidden="false" customHeight="true" outlineLevel="0" collapsed="false">
      <c r="AJ169" s="16" t="str">
        <f aca="false">IF(Data_Summary!Y170&lt;&gt;"Coverage","",IF(Data_Summary!AA170="","",IF(COUNTIFS(Data_Summary!$Y$2:$Y170,"Coverage",Data_Summary!$AA$2:$AA170,Data_Summary!AA170)=1,Data_Summary!AA170,"")))</f>
        <v/>
      </c>
      <c r="AK169" s="16" t="str">
        <f aca="false">IF(AJ169="","",COUNTIFS(Data_Summary!$Y$2:$Y$20001,"Coverage",Data_Summary!$AA$2:$AA$20001,AJ169))</f>
        <v/>
      </c>
      <c r="AM169" s="16" t="str">
        <f aca="false">IF(Data_Insight!X169="","",IF(COUNTIF(Data_Insight!$X$2:$X169,Data_Insight!X169)=1,Data_Insight!X169,""))</f>
        <v/>
      </c>
      <c r="AN169" s="16" t="str">
        <f aca="false">IF(AM169="","",COUNTIF(Data_Insight!$X$2:$X$20001,AM169))</f>
        <v/>
      </c>
    </row>
    <row r="170" customFormat="false" ht="15" hidden="false" customHeight="true" outlineLevel="0" collapsed="false">
      <c r="AJ170" s="16" t="str">
        <f aca="false">IF(Data_Summary!Y171&lt;&gt;"Coverage","",IF(Data_Summary!AA171="","",IF(COUNTIFS(Data_Summary!$Y$2:$Y171,"Coverage",Data_Summary!$AA$2:$AA171,Data_Summary!AA171)=1,Data_Summary!AA171,"")))</f>
        <v/>
      </c>
      <c r="AK170" s="16" t="str">
        <f aca="false">IF(AJ170="","",COUNTIFS(Data_Summary!$Y$2:$Y$20001,"Coverage",Data_Summary!$AA$2:$AA$20001,AJ170))</f>
        <v/>
      </c>
      <c r="AM170" s="16" t="str">
        <f aca="false">IF(Data_Insight!X170="","",IF(COUNTIF(Data_Insight!$X$2:$X170,Data_Insight!X170)=1,Data_Insight!X170,""))</f>
        <v/>
      </c>
      <c r="AN170" s="16" t="str">
        <f aca="false">IF(AM170="","",COUNTIF(Data_Insight!$X$2:$X$20001,AM170))</f>
        <v/>
      </c>
    </row>
    <row r="171" customFormat="false" ht="15" hidden="false" customHeight="true" outlineLevel="0" collapsed="false">
      <c r="AJ171" s="16" t="str">
        <f aca="false">IF(Data_Summary!Y172&lt;&gt;"Coverage","",IF(Data_Summary!AA172="","",IF(COUNTIFS(Data_Summary!$Y$2:$Y172,"Coverage",Data_Summary!$AA$2:$AA172,Data_Summary!AA172)=1,Data_Summary!AA172,"")))</f>
        <v/>
      </c>
      <c r="AK171" s="16" t="str">
        <f aca="false">IF(AJ171="","",COUNTIFS(Data_Summary!$Y$2:$Y$20001,"Coverage",Data_Summary!$AA$2:$AA$20001,AJ171))</f>
        <v/>
      </c>
      <c r="AM171" s="16" t="str">
        <f aca="false">IF(Data_Insight!X171="","",IF(COUNTIF(Data_Insight!$X$2:$X171,Data_Insight!X171)=1,Data_Insight!X171,""))</f>
        <v/>
      </c>
      <c r="AN171" s="16" t="str">
        <f aca="false">IF(AM171="","",COUNTIF(Data_Insight!$X$2:$X$20001,AM171))</f>
        <v/>
      </c>
    </row>
    <row r="172" customFormat="false" ht="15" hidden="false" customHeight="true" outlineLevel="0" collapsed="false">
      <c r="AJ172" s="16" t="str">
        <f aca="false">IF(Data_Summary!Y173&lt;&gt;"Coverage","",IF(Data_Summary!AA173="","",IF(COUNTIFS(Data_Summary!$Y$2:$Y173,"Coverage",Data_Summary!$AA$2:$AA173,Data_Summary!AA173)=1,Data_Summary!AA173,"")))</f>
        <v/>
      </c>
      <c r="AK172" s="16" t="str">
        <f aca="false">IF(AJ172="","",COUNTIFS(Data_Summary!$Y$2:$Y$20001,"Coverage",Data_Summary!$AA$2:$AA$20001,AJ172))</f>
        <v/>
      </c>
      <c r="AM172" s="16" t="str">
        <f aca="false">IF(Data_Insight!X172="","",IF(COUNTIF(Data_Insight!$X$2:$X172,Data_Insight!X172)=1,Data_Insight!X172,""))</f>
        <v/>
      </c>
      <c r="AN172" s="16" t="str">
        <f aca="false">IF(AM172="","",COUNTIF(Data_Insight!$X$2:$X$20001,AM172))</f>
        <v/>
      </c>
    </row>
    <row r="173" customFormat="false" ht="15" hidden="false" customHeight="true" outlineLevel="0" collapsed="false">
      <c r="AJ173" s="16" t="str">
        <f aca="false">IF(Data_Summary!Y174&lt;&gt;"Coverage","",IF(Data_Summary!AA174="","",IF(COUNTIFS(Data_Summary!$Y$2:$Y174,"Coverage",Data_Summary!$AA$2:$AA174,Data_Summary!AA174)=1,Data_Summary!AA174,"")))</f>
        <v/>
      </c>
      <c r="AK173" s="16" t="str">
        <f aca="false">IF(AJ173="","",COUNTIFS(Data_Summary!$Y$2:$Y$20001,"Coverage",Data_Summary!$AA$2:$AA$20001,AJ173))</f>
        <v/>
      </c>
      <c r="AM173" s="16" t="str">
        <f aca="false">IF(Data_Insight!X173="","",IF(COUNTIF(Data_Insight!$X$2:$X173,Data_Insight!X173)=1,Data_Insight!X173,""))</f>
        <v/>
      </c>
      <c r="AN173" s="16" t="str">
        <f aca="false">IF(AM173="","",COUNTIF(Data_Insight!$X$2:$X$20001,AM173))</f>
        <v/>
      </c>
    </row>
    <row r="174" customFormat="false" ht="15" hidden="false" customHeight="true" outlineLevel="0" collapsed="false">
      <c r="AJ174" s="16" t="str">
        <f aca="false">IF(Data_Summary!Y175&lt;&gt;"Coverage","",IF(Data_Summary!AA175="","",IF(COUNTIFS(Data_Summary!$Y$2:$Y175,"Coverage",Data_Summary!$AA$2:$AA175,Data_Summary!AA175)=1,Data_Summary!AA175,"")))</f>
        <v>Internal Growth Opportunities</v>
      </c>
      <c r="AK174" s="16" t="n">
        <f aca="false">IF(AJ174="","",COUNTIFS(Data_Summary!$Y$2:$Y$20001,"Coverage",Data_Summary!$AA$2:$AA$20001,AJ174))</f>
        <v>2</v>
      </c>
      <c r="AM174" s="16" t="str">
        <f aca="false">IF(Data_Insight!X174="","",IF(COUNTIF(Data_Insight!$X$2:$X174,Data_Insight!X174)=1,Data_Insight!X174,""))</f>
        <v/>
      </c>
      <c r="AN174" s="16" t="str">
        <f aca="false">IF(AM174="","",COUNTIF(Data_Insight!$X$2:$X$20001,AM174))</f>
        <v/>
      </c>
    </row>
    <row r="175" customFormat="false" ht="15" hidden="false" customHeight="true" outlineLevel="0" collapsed="false">
      <c r="AJ175" s="16" t="str">
        <f aca="false">IF(Data_Summary!Y176&lt;&gt;"Coverage","",IF(Data_Summary!AA176="","",IF(COUNTIFS(Data_Summary!$Y$2:$Y176,"Coverage",Data_Summary!$AA$2:$AA176,Data_Summary!AA176)=1,Data_Summary!AA176,"")))</f>
        <v/>
      </c>
      <c r="AK175" s="16" t="str">
        <f aca="false">IF(AJ175="","",COUNTIFS(Data_Summary!$Y$2:$Y$20001,"Coverage",Data_Summary!$AA$2:$AA$20001,AJ175))</f>
        <v/>
      </c>
      <c r="AM175" s="16" t="str">
        <f aca="false">IF(Data_Insight!X175="","",IF(COUNTIF(Data_Insight!$X$2:$X175,Data_Insight!X175)=1,Data_Insight!X175,""))</f>
        <v/>
      </c>
      <c r="AN175" s="16" t="str">
        <f aca="false">IF(AM175="","",COUNTIF(Data_Insight!$X$2:$X$20001,AM175))</f>
        <v/>
      </c>
    </row>
    <row r="176" customFormat="false" ht="12.75" hidden="false" customHeight="true" outlineLevel="0" collapsed="false">
      <c r="AJ176" s="16" t="str">
        <f aca="false">IF(Data_Summary!Y177&lt;&gt;"Coverage","",IF(Data_Summary!AA177="","",IF(COUNTIFS(Data_Summary!$Y$2:$Y177,"Coverage",Data_Summary!$AA$2:$AA177,Data_Summary!AA177)=1,Data_Summary!AA177,"")))</f>
        <v/>
      </c>
      <c r="AK176" s="16" t="str">
        <f aca="false">IF(AJ176="","",COUNTIFS(Data_Summary!$Y$2:$Y$20001,"Coverage",Data_Summary!$AA$2:$AA$20001,AJ176))</f>
        <v/>
      </c>
      <c r="AM176" s="16" t="str">
        <f aca="false">IF(Data_Insight!X176="","",IF(COUNTIF(Data_Insight!$X$2:$X176,Data_Insight!X176)=1,Data_Insight!X176,""))</f>
        <v/>
      </c>
      <c r="AN176" s="16" t="str">
        <f aca="false">IF(AM176="","",COUNTIF(Data_Insight!$X$2:$X$20001,AM176))</f>
        <v/>
      </c>
    </row>
    <row r="177" customFormat="false" ht="12.75" hidden="false" customHeight="true" outlineLevel="0" collapsed="false">
      <c r="AJ177" s="16" t="str">
        <f aca="false">IF(Data_Summary!Y178&lt;&gt;"Coverage","",IF(Data_Summary!AA178="","",IF(COUNTIFS(Data_Summary!$Y$2:$Y178,"Coverage",Data_Summary!$AA$2:$AA178,Data_Summary!AA178)=1,Data_Summary!AA178,"")))</f>
        <v/>
      </c>
      <c r="AK177" s="16" t="str">
        <f aca="false">IF(AJ177="","",COUNTIFS(Data_Summary!$Y$2:$Y$20001,"Coverage",Data_Summary!$AA$2:$AA$20001,AJ177))</f>
        <v/>
      </c>
      <c r="AM177" s="16" t="str">
        <f aca="false">IF(Data_Insight!X177="","",IF(COUNTIF(Data_Insight!$X$2:$X177,Data_Insight!X177)=1,Data_Insight!X177,""))</f>
        <v/>
      </c>
      <c r="AN177" s="16" t="str">
        <f aca="false">IF(AM177="","",COUNTIF(Data_Insight!$X$2:$X$20001,AM177))</f>
        <v/>
      </c>
    </row>
    <row r="178" customFormat="false" ht="15" hidden="false" customHeight="true" outlineLevel="0" collapsed="false">
      <c r="AJ178" s="16" t="str">
        <f aca="false">IF(Data_Summary!Y179&lt;&gt;"Coverage","",IF(Data_Summary!AA179="","",IF(COUNTIFS(Data_Summary!$Y$2:$Y179,"Coverage",Data_Summary!$AA$2:$AA179,Data_Summary!AA179)=1,Data_Summary!AA179,"")))</f>
        <v/>
      </c>
      <c r="AK178" s="16" t="str">
        <f aca="false">IF(AJ178="","",COUNTIFS(Data_Summary!$Y$2:$Y$20001,"Coverage",Data_Summary!$AA$2:$AA$20001,AJ178))</f>
        <v/>
      </c>
      <c r="AM178" s="16" t="str">
        <f aca="false">IF(Data_Insight!X178="","",IF(COUNTIF(Data_Insight!$X$2:$X178,Data_Insight!X178)=1,Data_Insight!X178,""))</f>
        <v/>
      </c>
      <c r="AN178" s="16" t="str">
        <f aca="false">IF(AM178="","",COUNTIF(Data_Insight!$X$2:$X$20001,AM178))</f>
        <v/>
      </c>
    </row>
    <row r="179" customFormat="false" ht="32.25" hidden="false" customHeight="true" outlineLevel="0" collapsed="false">
      <c r="AJ179" s="16" t="str">
        <f aca="false">IF(Data_Summary!Y180&lt;&gt;"Coverage","",IF(Data_Summary!AA180="","",IF(COUNTIFS(Data_Summary!$Y$2:$Y180,"Coverage",Data_Summary!$AA$2:$AA180,Data_Summary!AA180)=1,Data_Summary!AA180,"")))</f>
        <v/>
      </c>
      <c r="AK179" s="16" t="str">
        <f aca="false">IF(AJ179="","",COUNTIFS(Data_Summary!$Y$2:$Y$20001,"Coverage",Data_Summary!$AA$2:$AA$20001,AJ179))</f>
        <v/>
      </c>
      <c r="AM179" s="16" t="str">
        <f aca="false">IF(Data_Insight!X179="","",IF(COUNTIF(Data_Insight!$X$2:$X179,Data_Insight!X179)=1,Data_Insight!X179,""))</f>
        <v/>
      </c>
      <c r="AN179" s="16" t="str">
        <f aca="false">IF(AM179="","",COUNTIF(Data_Insight!$X$2:$X$20001,AM179))</f>
        <v/>
      </c>
    </row>
    <row r="180" customFormat="false" ht="15" hidden="false" customHeight="true" outlineLevel="0" collapsed="false">
      <c r="AJ180" s="16" t="str">
        <f aca="false">IF(Data_Summary!Y181&lt;&gt;"Coverage","",IF(Data_Summary!AA181="","",IF(COUNTIFS(Data_Summary!$Y$2:$Y181,"Coverage",Data_Summary!$AA$2:$AA181,Data_Summary!AA181)=1,Data_Summary!AA181,"")))</f>
        <v/>
      </c>
      <c r="AK180" s="16" t="str">
        <f aca="false">IF(AJ180="","",COUNTIFS(Data_Summary!$Y$2:$Y$20001,"Coverage",Data_Summary!$AA$2:$AA$20001,AJ180))</f>
        <v/>
      </c>
      <c r="AM180" s="16" t="str">
        <f aca="false">IF(Data_Insight!X180="","",IF(COUNTIF(Data_Insight!$X$2:$X180,Data_Insight!X180)=1,Data_Insight!X180,""))</f>
        <v/>
      </c>
      <c r="AN180" s="16" t="str">
        <f aca="false">IF(AM180="","",COUNTIF(Data_Insight!$X$2:$X$20001,AM180))</f>
        <v/>
      </c>
    </row>
    <row r="181" customFormat="false" ht="15" hidden="false" customHeight="true" outlineLevel="0" collapsed="false">
      <c r="AJ181" s="16" t="str">
        <f aca="false">IF(Data_Summary!Y182&lt;&gt;"Coverage","",IF(Data_Summary!AA182="","",IF(COUNTIFS(Data_Summary!$Y$2:$Y182,"Coverage",Data_Summary!$AA$2:$AA182,Data_Summary!AA182)=1,Data_Summary!AA182,"")))</f>
        <v/>
      </c>
      <c r="AK181" s="16" t="str">
        <f aca="false">IF(AJ181="","",COUNTIFS(Data_Summary!$Y$2:$Y$20001,"Coverage",Data_Summary!$AA$2:$AA$20001,AJ181))</f>
        <v/>
      </c>
      <c r="AM181" s="16" t="str">
        <f aca="false">IF(Data_Insight!X181="","",IF(COUNTIF(Data_Insight!$X$2:$X181,Data_Insight!X181)=1,Data_Insight!X181,""))</f>
        <v/>
      </c>
      <c r="AN181" s="16" t="str">
        <f aca="false">IF(AM181="","",COUNTIF(Data_Insight!$X$2:$X$20001,AM181))</f>
        <v/>
      </c>
    </row>
    <row r="182" customFormat="false" ht="15" hidden="false" customHeight="true" outlineLevel="0" collapsed="false">
      <c r="AJ182" s="16" t="str">
        <f aca="false">IF(Data_Summary!Y183&lt;&gt;"Coverage","",IF(Data_Summary!AA183="","",IF(COUNTIFS(Data_Summary!$Y$2:$Y183,"Coverage",Data_Summary!$AA$2:$AA183,Data_Summary!AA183)=1,Data_Summary!AA183,"")))</f>
        <v>Leadership Communication &amp; Q&amp;A Effectiveness</v>
      </c>
      <c r="AK182" s="16" t="n">
        <f aca="false">IF(AJ182="","",COUNTIFS(Data_Summary!$Y$2:$Y$20001,"Coverage",Data_Summary!$AA$2:$AA$20001,AJ182))</f>
        <v>3</v>
      </c>
      <c r="AM182" s="16" t="str">
        <f aca="false">IF(Data_Insight!X182="","",IF(COUNTIF(Data_Insight!$X$2:$X182,Data_Insight!X182)=1,Data_Insight!X182,""))</f>
        <v/>
      </c>
      <c r="AN182" s="16" t="str">
        <f aca="false">IF(AM182="","",COUNTIF(Data_Insight!$X$2:$X$20001,AM182))</f>
        <v/>
      </c>
    </row>
    <row r="183" customFormat="false" ht="12.75" hidden="false" customHeight="true" outlineLevel="0" collapsed="false">
      <c r="AJ183" s="16" t="str">
        <f aca="false">IF(Data_Summary!Y184&lt;&gt;"Coverage","",IF(Data_Summary!AA184="","",IF(COUNTIFS(Data_Summary!$Y$2:$Y184,"Coverage",Data_Summary!$AA$2:$AA184,Data_Summary!AA184)=1,Data_Summary!AA184,"")))</f>
        <v/>
      </c>
      <c r="AK183" s="16" t="str">
        <f aca="false">IF(AJ183="","",COUNTIFS(Data_Summary!$Y$2:$Y$20001,"Coverage",Data_Summary!$AA$2:$AA$20001,AJ183))</f>
        <v/>
      </c>
      <c r="AM183" s="16" t="str">
        <f aca="false">IF(Data_Insight!X183="","",IF(COUNTIF(Data_Insight!$X$2:$X183,Data_Insight!X183)=1,Data_Insight!X183,""))</f>
        <v/>
      </c>
      <c r="AN183" s="16" t="str">
        <f aca="false">IF(AM183="","",COUNTIF(Data_Insight!$X$2:$X$20001,AM183))</f>
        <v/>
      </c>
    </row>
    <row r="184" customFormat="false" ht="12.75" hidden="false" customHeight="true" outlineLevel="0" collapsed="false">
      <c r="AJ184" s="16" t="str">
        <f aca="false">IF(Data_Summary!Y185&lt;&gt;"Coverage","",IF(Data_Summary!AA185="","",IF(COUNTIFS(Data_Summary!$Y$2:$Y185,"Coverage",Data_Summary!$AA$2:$AA185,Data_Summary!AA185)=1,Data_Summary!AA185,"")))</f>
        <v/>
      </c>
      <c r="AK184" s="16" t="str">
        <f aca="false">IF(AJ184="","",COUNTIFS(Data_Summary!$Y$2:$Y$20001,"Coverage",Data_Summary!$AA$2:$AA$20001,AJ184))</f>
        <v/>
      </c>
      <c r="AM184" s="16" t="str">
        <f aca="false">IF(Data_Insight!X184="","",IF(COUNTIF(Data_Insight!$X$2:$X184,Data_Insight!X184)=1,Data_Insight!X184,""))</f>
        <v/>
      </c>
      <c r="AN184" s="16" t="str">
        <f aca="false">IF(AM184="","",COUNTIF(Data_Insight!$X$2:$X$20001,AM184))</f>
        <v/>
      </c>
    </row>
    <row r="185" customFormat="false" ht="21" hidden="false" customHeight="true" outlineLevel="0" collapsed="false">
      <c r="AJ185" s="16" t="str">
        <f aca="false">IF(Data_Summary!Y186&lt;&gt;"Coverage","",IF(Data_Summary!AA186="","",IF(COUNTIFS(Data_Summary!$Y$2:$Y186,"Coverage",Data_Summary!$AA$2:$AA186,Data_Summary!AA186)=1,Data_Summary!AA186,"")))</f>
        <v/>
      </c>
      <c r="AK185" s="16" t="str">
        <f aca="false">IF(AJ185="","",COUNTIFS(Data_Summary!$Y$2:$Y$20001,"Coverage",Data_Summary!$AA$2:$AA$20001,AJ185))</f>
        <v/>
      </c>
      <c r="AM185" s="16" t="str">
        <f aca="false">IF(Data_Insight!X185="","",IF(COUNTIF(Data_Insight!$X$2:$X185,Data_Insight!X185)=1,Data_Insight!X185,""))</f>
        <v/>
      </c>
      <c r="AN185" s="16" t="str">
        <f aca="false">IF(AM185="","",COUNTIF(Data_Insight!$X$2:$X$20001,AM185))</f>
        <v/>
      </c>
    </row>
    <row r="186" customFormat="false" ht="12.75" hidden="false" customHeight="true" outlineLevel="0" collapsed="false">
      <c r="AJ186" s="16" t="str">
        <f aca="false">IF(Data_Summary!Y187&lt;&gt;"Coverage","",IF(Data_Summary!AA187="","",IF(COUNTIFS(Data_Summary!$Y$2:$Y187,"Coverage",Data_Summary!$AA$2:$AA187,Data_Summary!AA187)=1,Data_Summary!AA187,"")))</f>
        <v/>
      </c>
      <c r="AK186" s="16" t="str">
        <f aca="false">IF(AJ186="","",COUNTIFS(Data_Summary!$Y$2:$Y$20001,"Coverage",Data_Summary!$AA$2:$AA$20001,AJ186))</f>
        <v/>
      </c>
      <c r="AM186" s="16" t="str">
        <f aca="false">IF(Data_Insight!X186="","",IF(COUNTIF(Data_Insight!$X$2:$X186,Data_Insight!X186)=1,Data_Insight!X186,""))</f>
        <v/>
      </c>
      <c r="AN186" s="16" t="str">
        <f aca="false">IF(AM186="","",COUNTIF(Data_Insight!$X$2:$X$20001,AM186))</f>
        <v/>
      </c>
    </row>
    <row r="187" customFormat="false" ht="29.25" hidden="false" customHeight="true" outlineLevel="0" collapsed="false">
      <c r="AJ187" s="16" t="str">
        <f aca="false">IF(Data_Summary!Y188&lt;&gt;"Coverage","",IF(Data_Summary!AA188="","",IF(COUNTIFS(Data_Summary!$Y$2:$Y188,"Coverage",Data_Summary!$AA$2:$AA188,Data_Summary!AA188)=1,Data_Summary!AA188,"")))</f>
        <v>Engagement with Leadership &amp; Confidence Level</v>
      </c>
      <c r="AK187" s="16" t="n">
        <f aca="false">IF(AJ187="","",COUNTIFS(Data_Summary!$Y$2:$Y$20001,"Coverage",Data_Summary!$AA$2:$AA$20001,AJ187))</f>
        <v>3</v>
      </c>
      <c r="AM187" s="16" t="str">
        <f aca="false">IF(Data_Insight!X187="","",IF(COUNTIF(Data_Insight!$X$2:$X187,Data_Insight!X187)=1,Data_Insight!X187,""))</f>
        <v/>
      </c>
      <c r="AN187" s="16" t="str">
        <f aca="false">IF(AM187="","",COUNTIF(Data_Insight!$X$2:$X$20001,AM187))</f>
        <v/>
      </c>
    </row>
    <row r="188" customFormat="false" ht="15" hidden="false" customHeight="true" outlineLevel="0" collapsed="false">
      <c r="AJ188" s="16" t="str">
        <f aca="false">IF(Data_Summary!Y189&lt;&gt;"Coverage","",IF(Data_Summary!AA189="","",IF(COUNTIFS(Data_Summary!$Y$2:$Y189,"Coverage",Data_Summary!$AA$2:$AA189,Data_Summary!AA189)=1,Data_Summary!AA189,"")))</f>
        <v/>
      </c>
      <c r="AK188" s="16" t="str">
        <f aca="false">IF(AJ188="","",COUNTIFS(Data_Summary!$Y$2:$Y$20001,"Coverage",Data_Summary!$AA$2:$AA$20001,AJ188))</f>
        <v/>
      </c>
      <c r="AM188" s="16" t="str">
        <f aca="false">IF(Data_Insight!X188="","",IF(COUNTIF(Data_Insight!$X$2:$X188,Data_Insight!X188)=1,Data_Insight!X188,""))</f>
        <v/>
      </c>
      <c r="AN188" s="16" t="str">
        <f aca="false">IF(AM188="","",COUNTIF(Data_Insight!$X$2:$X$20001,AM188))</f>
        <v/>
      </c>
    </row>
    <row r="189" customFormat="false" ht="15" hidden="false" customHeight="true" outlineLevel="0" collapsed="false">
      <c r="AJ189" s="16" t="str">
        <f aca="false">IF(Data_Summary!Y190&lt;&gt;"Coverage","",IF(Data_Summary!AA190="","",IF(COUNTIFS(Data_Summary!$Y$2:$Y190,"Coverage",Data_Summary!$AA$2:$AA190,Data_Summary!AA190)=1,Data_Summary!AA190,"")))</f>
        <v/>
      </c>
      <c r="AK189" s="16" t="str">
        <f aca="false">IF(AJ189="","",COUNTIFS(Data_Summary!$Y$2:$Y$20001,"Coverage",Data_Summary!$AA$2:$AA$20001,AJ189))</f>
        <v/>
      </c>
      <c r="AM189" s="16" t="str">
        <f aca="false">IF(Data_Insight!X189="","",IF(COUNTIF(Data_Insight!$X$2:$X189,Data_Insight!X189)=1,Data_Insight!X189,""))</f>
        <v/>
      </c>
      <c r="AN189" s="16" t="str">
        <f aca="false">IF(AM189="","",COUNTIF(Data_Insight!$X$2:$X$20001,AM189))</f>
        <v/>
      </c>
    </row>
    <row r="190" customFormat="false" ht="27.75" hidden="false" customHeight="true" outlineLevel="0" collapsed="false">
      <c r="AJ190" s="16" t="str">
        <f aca="false">IF(Data_Summary!Y191&lt;&gt;"Coverage","",IF(Data_Summary!AA191="","",IF(COUNTIFS(Data_Summary!$Y$2:$Y191,"Coverage",Data_Summary!$AA$2:$AA191,Data_Summary!AA191)=1,Data_Summary!AA191,"")))</f>
        <v/>
      </c>
      <c r="AK190" s="16" t="str">
        <f aca="false">IF(AJ190="","",COUNTIFS(Data_Summary!$Y$2:$Y$20001,"Coverage",Data_Summary!$AA$2:$AA$20001,AJ190))</f>
        <v/>
      </c>
      <c r="AM190" s="16" t="str">
        <f aca="false">IF(Data_Insight!X190="","",IF(COUNTIF(Data_Insight!$X$2:$X190,Data_Insight!X190)=1,Data_Insight!X190,""))</f>
        <v/>
      </c>
      <c r="AN190" s="16" t="str">
        <f aca="false">IF(AM190="","",COUNTIF(Data_Insight!$X$2:$X$20001,AM190))</f>
        <v/>
      </c>
    </row>
    <row r="191" customFormat="false" ht="15" hidden="false" customHeight="true" outlineLevel="0" collapsed="false">
      <c r="AJ191" s="16" t="str">
        <f aca="false">IF(Data_Summary!Y192&lt;&gt;"Coverage","",IF(Data_Summary!AA192="","",IF(COUNTIFS(Data_Summary!$Y$2:$Y192,"Coverage",Data_Summary!$AA$2:$AA192,Data_Summary!AA192)=1,Data_Summary!AA192,"")))</f>
        <v/>
      </c>
      <c r="AK191" s="16" t="str">
        <f aca="false">IF(AJ191="","",COUNTIFS(Data_Summary!$Y$2:$Y$20001,"Coverage",Data_Summary!$AA$2:$AA$20001,AJ191))</f>
        <v/>
      </c>
      <c r="AM191" s="16" t="str">
        <f aca="false">IF(Data_Insight!X191="","",IF(COUNTIF(Data_Insight!$X$2:$X191,Data_Insight!X191)=1,Data_Insight!X191,""))</f>
        <v/>
      </c>
      <c r="AN191" s="16" t="str">
        <f aca="false">IF(AM191="","",COUNTIF(Data_Insight!$X$2:$X$20001,AM191))</f>
        <v/>
      </c>
    </row>
    <row r="192" customFormat="false" ht="28.5" hidden="false" customHeight="true" outlineLevel="0" collapsed="false">
      <c r="AJ192" s="16" t="str">
        <f aca="false">IF(Data_Summary!Y193&lt;&gt;"Coverage","",IF(Data_Summary!AA193="","",IF(COUNTIFS(Data_Summary!$Y$2:$Y193,"Coverage",Data_Summary!$AA$2:$AA193,Data_Summary!AA193)=1,Data_Summary!AA193,"")))</f>
        <v/>
      </c>
      <c r="AK192" s="16" t="str">
        <f aca="false">IF(AJ192="","",COUNTIFS(Data_Summary!$Y$2:$Y$20001,"Coverage",Data_Summary!$AA$2:$AA$20001,AJ192))</f>
        <v/>
      </c>
      <c r="AM192" s="16" t="str">
        <f aca="false">IF(Data_Insight!X192="","",IF(COUNTIF(Data_Insight!$X$2:$X192,Data_Insight!X192)=1,Data_Insight!X192,""))</f>
        <v/>
      </c>
      <c r="AN192" s="16" t="str">
        <f aca="false">IF(AM192="","",COUNTIF(Data_Insight!$X$2:$X$20001,AM192))</f>
        <v/>
      </c>
    </row>
    <row r="193" customFormat="false" ht="15" hidden="false" customHeight="true" outlineLevel="0" collapsed="false">
      <c r="AJ193" s="16" t="str">
        <f aca="false">IF(Data_Summary!Y194&lt;&gt;"Coverage","",IF(Data_Summary!AA194="","",IF(COUNTIFS(Data_Summary!$Y$2:$Y194,"Coverage",Data_Summary!$AA$2:$AA194,Data_Summary!AA194)=1,Data_Summary!AA194,"")))</f>
        <v/>
      </c>
      <c r="AK193" s="16" t="str">
        <f aca="false">IF(AJ193="","",COUNTIFS(Data_Summary!$Y$2:$Y$20001,"Coverage",Data_Summary!$AA$2:$AA$20001,AJ193))</f>
        <v/>
      </c>
      <c r="AM193" s="16" t="str">
        <f aca="false">IF(Data_Insight!X193="","",IF(COUNTIF(Data_Insight!$X$2:$X193,Data_Insight!X193)=1,Data_Insight!X193,""))</f>
        <v/>
      </c>
      <c r="AN193" s="16" t="str">
        <f aca="false">IF(AM193="","",COUNTIF(Data_Insight!$X$2:$X$20001,AM193))</f>
        <v/>
      </c>
    </row>
    <row r="194" customFormat="false" ht="27.75" hidden="false" customHeight="true" outlineLevel="0" collapsed="false">
      <c r="AJ194" s="16" t="str">
        <f aca="false">IF(Data_Summary!Y195&lt;&gt;"Coverage","",IF(Data_Summary!AA195="","",IF(COUNTIFS(Data_Summary!$Y$2:$Y195,"Coverage",Data_Summary!$AA$2:$AA195,Data_Summary!AA195)=1,Data_Summary!AA195,"")))</f>
        <v>Learning/cert Support Requests</v>
      </c>
      <c r="AK194" s="16" t="n">
        <f aca="false">IF(AJ194="","",COUNTIFS(Data_Summary!$Y$2:$Y$20001,"Coverage",Data_Summary!$AA$2:$AA$20001,AJ194))</f>
        <v>2</v>
      </c>
      <c r="AM194" s="16" t="str">
        <f aca="false">IF(Data_Insight!X194="","",IF(COUNTIF(Data_Insight!$X$2:$X194,Data_Insight!X194)=1,Data_Insight!X194,""))</f>
        <v/>
      </c>
      <c r="AN194" s="16" t="str">
        <f aca="false">IF(AM194="","",COUNTIF(Data_Insight!$X$2:$X$20001,AM194))</f>
        <v/>
      </c>
    </row>
    <row r="195" customFormat="false" ht="27.75" hidden="false" customHeight="true" outlineLevel="0" collapsed="false">
      <c r="AJ195" s="16" t="str">
        <f aca="false">IF(Data_Summary!Y196&lt;&gt;"Coverage","",IF(Data_Summary!AA196="","",IF(COUNTIFS(Data_Summary!$Y$2:$Y196,"Coverage",Data_Summary!$AA$2:$AA196,Data_Summary!AA196)=1,Data_Summary!AA196,"")))</f>
        <v/>
      </c>
      <c r="AK195" s="16" t="str">
        <f aca="false">IF(AJ195="","",COUNTIFS(Data_Summary!$Y$2:$Y$20001,"Coverage",Data_Summary!$AA$2:$AA$20001,AJ195))</f>
        <v/>
      </c>
      <c r="AM195" s="16" t="str">
        <f aca="false">IF(Data_Insight!X195="","",IF(COUNTIF(Data_Insight!$X$2:$X195,Data_Insight!X195)=1,Data_Insight!X195,""))</f>
        <v/>
      </c>
      <c r="AN195" s="16" t="str">
        <f aca="false">IF(AM195="","",COUNTIF(Data_Insight!$X$2:$X$20001,AM195))</f>
        <v/>
      </c>
    </row>
    <row r="196" customFormat="false" ht="15" hidden="false" customHeight="true" outlineLevel="0" collapsed="false">
      <c r="AJ196" s="16" t="str">
        <f aca="false">IF(Data_Summary!Y197&lt;&gt;"Coverage","",IF(Data_Summary!AA197="","",IF(COUNTIFS(Data_Summary!$Y$2:$Y197,"Coverage",Data_Summary!$AA$2:$AA197,Data_Summary!AA197)=1,Data_Summary!AA197,"")))</f>
        <v/>
      </c>
      <c r="AK196" s="16" t="str">
        <f aca="false">IF(AJ196="","",COUNTIFS(Data_Summary!$Y$2:$Y$20001,"Coverage",Data_Summary!$AA$2:$AA$20001,AJ196))</f>
        <v/>
      </c>
      <c r="AM196" s="16" t="str">
        <f aca="false">IF(Data_Insight!X196="","",IF(COUNTIF(Data_Insight!$X$2:$X196,Data_Insight!X196)=1,Data_Insight!X196,""))</f>
        <v/>
      </c>
      <c r="AN196" s="16" t="str">
        <f aca="false">IF(AM196="","",COUNTIF(Data_Insight!$X$2:$X$20001,AM196))</f>
        <v/>
      </c>
    </row>
    <row r="197" customFormat="false" ht="15" hidden="false" customHeight="true" outlineLevel="0" collapsed="false">
      <c r="AJ197" s="16" t="str">
        <f aca="false">IF(Data_Summary!Y198&lt;&gt;"Coverage","",IF(Data_Summary!AA198="","",IF(COUNTIFS(Data_Summary!$Y$2:$Y198,"Coverage",Data_Summary!$AA$2:$AA198,Data_Summary!AA198)=1,Data_Summary!AA198,"")))</f>
        <v/>
      </c>
      <c r="AK197" s="16" t="str">
        <f aca="false">IF(AJ197="","",COUNTIFS(Data_Summary!$Y$2:$Y$20001,"Coverage",Data_Summary!$AA$2:$AA$20001,AJ197))</f>
        <v/>
      </c>
      <c r="AM197" s="16" t="str">
        <f aca="false">IF(Data_Insight!X197="","",IF(COUNTIF(Data_Insight!$X$2:$X197,Data_Insight!X197)=1,Data_Insight!X197,""))</f>
        <v/>
      </c>
      <c r="AN197" s="16" t="str">
        <f aca="false">IF(AM197="","",COUNTIF(Data_Insight!$X$2:$X$20001,AM197))</f>
        <v/>
      </c>
    </row>
    <row r="198" customFormat="false" ht="15" hidden="false" customHeight="true" outlineLevel="0" collapsed="false">
      <c r="AJ198" s="16" t="str">
        <f aca="false">IF(Data_Summary!Y199&lt;&gt;"Coverage","",IF(Data_Summary!AA199="","",IF(COUNTIFS(Data_Summary!$Y$2:$Y199,"Coverage",Data_Summary!$AA$2:$AA199,Data_Summary!AA199)=1,Data_Summary!AA199,"")))</f>
        <v/>
      </c>
      <c r="AK198" s="16" t="str">
        <f aca="false">IF(AJ198="","",COUNTIFS(Data_Summary!$Y$2:$Y$20001,"Coverage",Data_Summary!$AA$2:$AA$20001,AJ198))</f>
        <v/>
      </c>
      <c r="AM198" s="16" t="str">
        <f aca="false">IF(Data_Insight!X198="","",IF(COUNTIF(Data_Insight!$X$2:$X198,Data_Insight!X198)=1,Data_Insight!X198,""))</f>
        <v/>
      </c>
      <c r="AN198" s="16" t="str">
        <f aca="false">IF(AM198="","",COUNTIF(Data_Insight!$X$2:$X$20001,AM198))</f>
        <v/>
      </c>
    </row>
    <row r="199" customFormat="false" ht="15" hidden="false" customHeight="true" outlineLevel="0" collapsed="false">
      <c r="AJ199" s="16" t="str">
        <f aca="false">IF(Data_Summary!Y200&lt;&gt;"Coverage","",IF(Data_Summary!AA200="","",IF(COUNTIFS(Data_Summary!$Y$2:$Y200,"Coverage",Data_Summary!$AA$2:$AA200,Data_Summary!AA200)=1,Data_Summary!AA200,"")))</f>
        <v/>
      </c>
      <c r="AK199" s="16" t="str">
        <f aca="false">IF(AJ199="","",COUNTIFS(Data_Summary!$Y$2:$Y$20001,"Coverage",Data_Summary!$AA$2:$AA$20001,AJ199))</f>
        <v/>
      </c>
      <c r="AM199" s="16" t="str">
        <f aca="false">IF(Data_Insight!X199="","",IF(COUNTIF(Data_Insight!$X$2:$X199,Data_Insight!X199)=1,Data_Insight!X199,""))</f>
        <v/>
      </c>
      <c r="AN199" s="16" t="str">
        <f aca="false">IF(AM199="","",COUNTIF(Data_Insight!$X$2:$X$20001,AM199))</f>
        <v/>
      </c>
    </row>
    <row r="200" customFormat="false" ht="15" hidden="false" customHeight="true" outlineLevel="0" collapsed="false">
      <c r="AJ200" s="16" t="str">
        <f aca="false">IF(Data_Summary!Y201&lt;&gt;"Coverage","",IF(Data_Summary!AA201="","",IF(COUNTIFS(Data_Summary!$Y$2:$Y201,"Coverage",Data_Summary!$AA$2:$AA201,Data_Summary!AA201)=1,Data_Summary!AA201,"")))</f>
        <v/>
      </c>
      <c r="AK200" s="16" t="str">
        <f aca="false">IF(AJ200="","",COUNTIFS(Data_Summary!$Y$2:$Y$20001,"Coverage",Data_Summary!$AA$2:$AA$20001,AJ200))</f>
        <v/>
      </c>
    </row>
    <row r="201" customFormat="false" ht="28.5" hidden="false" customHeight="true" outlineLevel="0" collapsed="false">
      <c r="AJ201" s="16" t="str">
        <f aca="false">IF(Data_Summary!Y202&lt;&gt;"Coverage","",IF(Data_Summary!AA202="","",IF(COUNTIFS(Data_Summary!$Y$2:$Y202,"Coverage",Data_Summary!$AA$2:$AA202,Data_Summary!AA202)=1,Data_Summary!AA202,"")))</f>
        <v/>
      </c>
      <c r="AK201" s="16" t="str">
        <f aca="false">IF(AJ201="","",COUNTIFS(Data_Summary!$Y$2:$Y$20001,"Coverage",Data_Summary!$AA$2:$AA$20001,AJ201))</f>
        <v/>
      </c>
    </row>
    <row r="202" customFormat="false" ht="27.75" hidden="false" customHeight="true" outlineLevel="0" collapsed="false">
      <c r="AJ202" s="16" t="str">
        <f aca="false">IF(Data_Summary!Y203&lt;&gt;"Coverage","",IF(Data_Summary!AA203="","",IF(COUNTIFS(Data_Summary!$Y$2:$Y203,"Coverage",Data_Summary!$AA$2:$AA203,Data_Summary!AA203)=1,Data_Summary!AA203,"")))</f>
        <v/>
      </c>
      <c r="AK202" s="16" t="str">
        <f aca="false">IF(AJ202="","",COUNTIFS(Data_Summary!$Y$2:$Y$20001,"Coverage",Data_Summary!$AA$2:$AA$20001,AJ202))</f>
        <v/>
      </c>
    </row>
    <row r="203" customFormat="false" ht="27.75" hidden="false" customHeight="true" outlineLevel="0" collapsed="false">
      <c r="AJ203" s="16" t="str">
        <f aca="false">IF(Data_Summary!Y204&lt;&gt;"Coverage","",IF(Data_Summary!AA204="","",IF(COUNTIFS(Data_Summary!$Y$2:$Y204,"Coverage",Data_Summary!$AA$2:$AA204,Data_Summary!AA204)=1,Data_Summary!AA204,"")))</f>
        <v>Recognition &amp; Motivation</v>
      </c>
      <c r="AK203" s="16" t="n">
        <f aca="false">IF(AJ203="","",COUNTIFS(Data_Summary!$Y$2:$Y$20001,"Coverage",Data_Summary!$AA$2:$AA$20001,AJ203))</f>
        <v>1</v>
      </c>
    </row>
    <row r="204" customFormat="false" ht="27.75" hidden="false" customHeight="true" outlineLevel="0" collapsed="false">
      <c r="AJ204" s="16" t="str">
        <f aca="false">IF(Data_Summary!Y205&lt;&gt;"Coverage","",IF(Data_Summary!AA205="","",IF(COUNTIFS(Data_Summary!$Y$2:$Y205,"Coverage",Data_Summary!$AA$2:$AA205,Data_Summary!AA205)=1,Data_Summary!AA205,"")))</f>
        <v/>
      </c>
      <c r="AK204" s="16" t="str">
        <f aca="false">IF(AJ204="","",COUNTIFS(Data_Summary!$Y$2:$Y$20001,"Coverage",Data_Summary!$AA$2:$AA$20001,AJ204))</f>
        <v/>
      </c>
    </row>
    <row r="205" customFormat="false" ht="27.75" hidden="false" customHeight="true" outlineLevel="0" collapsed="false">
      <c r="AJ205" s="16" t="str">
        <f aca="false">IF(Data_Summary!Y206&lt;&gt;"Coverage","",IF(Data_Summary!AA206="","",IF(COUNTIFS(Data_Summary!$Y$2:$Y206,"Coverage",Data_Summary!$AA$2:$AA206,Data_Summary!AA206)=1,Data_Summary!AA206,"")))</f>
        <v/>
      </c>
      <c r="AK205" s="16" t="str">
        <f aca="false">IF(AJ205="","",COUNTIFS(Data_Summary!$Y$2:$Y$20001,"Coverage",Data_Summary!$AA$2:$AA$20001,AJ205))</f>
        <v/>
      </c>
    </row>
    <row r="206" customFormat="false" ht="15" hidden="false" customHeight="true" outlineLevel="0" collapsed="false">
      <c r="AJ206" s="16" t="str">
        <f aca="false">IF(Data_Summary!Y207&lt;&gt;"Coverage","",IF(Data_Summary!AA207="","",IF(COUNTIFS(Data_Summary!$Y$2:$Y207,"Coverage",Data_Summary!$AA$2:$AA207,Data_Summary!AA207)=1,Data_Summary!AA207,"")))</f>
        <v/>
      </c>
      <c r="AK206" s="16" t="str">
        <f aca="false">IF(AJ206="","",COUNTIFS(Data_Summary!$Y$2:$Y$20001,"Coverage",Data_Summary!$AA$2:$AA$20001,AJ206))</f>
        <v/>
      </c>
    </row>
    <row r="207" customFormat="false" ht="15" hidden="false" customHeight="true" outlineLevel="0" collapsed="false">
      <c r="AJ207" s="16" t="str">
        <f aca="false">IF(Data_Summary!Y208&lt;&gt;"Coverage","",IF(Data_Summary!AA208="","",IF(COUNTIFS(Data_Summary!$Y$2:$Y208,"Coverage",Data_Summary!$AA$2:$AA208,Data_Summary!AA208)=1,Data_Summary!AA208,"")))</f>
        <v/>
      </c>
      <c r="AK207" s="16" t="str">
        <f aca="false">IF(AJ207="","",COUNTIFS(Data_Summary!$Y$2:$Y$20001,"Coverage",Data_Summary!$AA$2:$AA$20001,AJ207))</f>
        <v/>
      </c>
    </row>
    <row r="208" customFormat="false" ht="15" hidden="false" customHeight="true" outlineLevel="0" collapsed="false">
      <c r="AJ208" s="16" t="str">
        <f aca="false">IF(Data_Summary!Y209&lt;&gt;"Coverage","",IF(Data_Summary!AA209="","",IF(COUNTIFS(Data_Summary!$Y$2:$Y209,"Coverage",Data_Summary!$AA$2:$AA209,Data_Summary!AA209)=1,Data_Summary!AA209,"")))</f>
        <v/>
      </c>
      <c r="AK208" s="16" t="str">
        <f aca="false">IF(AJ208="","",COUNTIFS(Data_Summary!$Y$2:$Y$20001,"Coverage",Data_Summary!$AA$2:$AA$20001,AJ208))</f>
        <v/>
      </c>
    </row>
    <row r="209" customFormat="false" ht="15" hidden="false" customHeight="true" outlineLevel="0" collapsed="false">
      <c r="AJ209" s="16" t="str">
        <f aca="false">IF(Data_Summary!Y210&lt;&gt;"Coverage","",IF(Data_Summary!AA210="","",IF(COUNTIFS(Data_Summary!$Y$2:$Y210,"Coverage",Data_Summary!$AA$2:$AA210,Data_Summary!AA210)=1,Data_Summary!AA210,"")))</f>
        <v/>
      </c>
      <c r="AK209" s="16" t="str">
        <f aca="false">IF(AJ209="","",COUNTIFS(Data_Summary!$Y$2:$Y$20001,"Coverage",Data_Summary!$AA$2:$AA$20001,AJ209))</f>
        <v/>
      </c>
    </row>
    <row r="210" customFormat="false" ht="15" hidden="false" customHeight="true" outlineLevel="0" collapsed="false">
      <c r="AJ210" s="16" t="str">
        <f aca="false">IF(Data_Summary!Y211&lt;&gt;"Coverage","",IF(Data_Summary!AA211="","",IF(COUNTIFS(Data_Summary!$Y$2:$Y211,"Coverage",Data_Summary!$AA$2:$AA211,Data_Summary!AA211)=1,Data_Summary!AA211,"")))</f>
        <v/>
      </c>
      <c r="AK210" s="16" t="str">
        <f aca="false">IF(AJ210="","",COUNTIFS(Data_Summary!$Y$2:$Y$20001,"Coverage",Data_Summary!$AA$2:$AA$20001,AJ210))</f>
        <v/>
      </c>
    </row>
    <row r="211" customFormat="false" ht="15" hidden="false" customHeight="true" outlineLevel="0" collapsed="false">
      <c r="AJ211" s="16" t="str">
        <f aca="false">IF(Data_Summary!Y212&lt;&gt;"Coverage","",IF(Data_Summary!AA212="","",IF(COUNTIFS(Data_Summary!$Y$2:$Y212,"Coverage",Data_Summary!$AA$2:$AA212,Data_Summary!AA212)=1,Data_Summary!AA212,"")))</f>
        <v/>
      </c>
      <c r="AK211" s="16" t="str">
        <f aca="false">IF(AJ211="","",COUNTIFS(Data_Summary!$Y$2:$Y$20001,"Coverage",Data_Summary!$AA$2:$AA$20001,AJ211))</f>
        <v/>
      </c>
    </row>
    <row r="212" customFormat="false" ht="15" hidden="false" customHeight="true" outlineLevel="0" collapsed="false">
      <c r="AJ212" s="16" t="str">
        <f aca="false">IF(Data_Summary!Y213&lt;&gt;"Coverage","",IF(Data_Summary!AA213="","",IF(COUNTIFS(Data_Summary!$Y$2:$Y213,"Coverage",Data_Summary!$AA$2:$AA213,Data_Summary!AA213)=1,Data_Summary!AA213,"")))</f>
        <v/>
      </c>
      <c r="AK212" s="16" t="str">
        <f aca="false">IF(AJ212="","",COUNTIFS(Data_Summary!$Y$2:$Y$20001,"Coverage",Data_Summary!$AA$2:$AA$20001,AJ212))</f>
        <v/>
      </c>
    </row>
    <row r="213" customFormat="false" ht="15" hidden="false" customHeight="true" outlineLevel="0" collapsed="false">
      <c r="AJ213" s="16" t="str">
        <f aca="false">IF(Data_Summary!Y214&lt;&gt;"Coverage","",IF(Data_Summary!AA214="","",IF(COUNTIFS(Data_Summary!$Y$2:$Y214,"Coverage",Data_Summary!$AA$2:$AA214,Data_Summary!AA214)=1,Data_Summary!AA214,"")))</f>
        <v/>
      </c>
      <c r="AK213" s="16" t="str">
        <f aca="false">IF(AJ213="","",COUNTIFS(Data_Summary!$Y$2:$Y$20001,"Coverage",Data_Summary!$AA$2:$AA$20001,AJ213))</f>
        <v/>
      </c>
    </row>
    <row r="214" customFormat="false" ht="15" hidden="false" customHeight="true" outlineLevel="0" collapsed="false">
      <c r="AJ214" s="16" t="str">
        <f aca="false">IF(Data_Summary!Y215&lt;&gt;"Coverage","",IF(Data_Summary!AA215="","",IF(COUNTIFS(Data_Summary!$Y$2:$Y215,"Coverage",Data_Summary!$AA$2:$AA215,Data_Summary!AA215)=1,Data_Summary!AA215,"")))</f>
        <v/>
      </c>
      <c r="AK214" s="16" t="str">
        <f aca="false">IF(AJ214="","",COUNTIFS(Data_Summary!$Y$2:$Y$20001,"Coverage",Data_Summary!$AA$2:$AA$20001,AJ214))</f>
        <v/>
      </c>
    </row>
    <row r="215" customFormat="false" ht="15" hidden="false" customHeight="true" outlineLevel="0" collapsed="false">
      <c r="AJ215" s="16" t="str">
        <f aca="false">IF(Data_Summary!Y216&lt;&gt;"Coverage","",IF(Data_Summary!AA216="","",IF(COUNTIFS(Data_Summary!$Y$2:$Y216,"Coverage",Data_Summary!$AA$2:$AA216,Data_Summary!AA216)=1,Data_Summary!AA216,"")))</f>
        <v/>
      </c>
      <c r="AK215" s="16" t="str">
        <f aca="false">IF(AJ215="","",COUNTIFS(Data_Summary!$Y$2:$Y$20001,"Coverage",Data_Summary!$AA$2:$AA$20001,AJ215))</f>
        <v/>
      </c>
    </row>
    <row r="216" customFormat="false" ht="15" hidden="false" customHeight="true" outlineLevel="0" collapsed="false">
      <c r="AJ216" s="16" t="str">
        <f aca="false">IF(Data_Summary!Y217&lt;&gt;"Coverage","",IF(Data_Summary!AA217="","",IF(COUNTIFS(Data_Summary!$Y$2:$Y217,"Coverage",Data_Summary!$AA$2:$AA217,Data_Summary!AA217)=1,Data_Summary!AA217,"")))</f>
        <v/>
      </c>
      <c r="AK216" s="16" t="str">
        <f aca="false">IF(AJ216="","",COUNTIFS(Data_Summary!$Y$2:$Y$20001,"Coverage",Data_Summary!$AA$2:$AA$20001,AJ216))</f>
        <v/>
      </c>
    </row>
    <row r="217" customFormat="false" ht="15" hidden="false" customHeight="true" outlineLevel="0" collapsed="false">
      <c r="AJ217" s="16" t="str">
        <f aca="false">IF(Data_Summary!Y218&lt;&gt;"Coverage","",IF(Data_Summary!AA218="","",IF(COUNTIFS(Data_Summary!$Y$2:$Y218,"Coverage",Data_Summary!$AA$2:$AA218,Data_Summary!AA218)=1,Data_Summary!AA218,"")))</f>
        <v>Policy &amp; Process Clarity</v>
      </c>
      <c r="AK217" s="16" t="n">
        <f aca="false">IF(AJ217="","",COUNTIFS(Data_Summary!$Y$2:$Y$20001,"Coverage",Data_Summary!$AA$2:$AA$20001,AJ217))</f>
        <v>3</v>
      </c>
    </row>
    <row r="218" customFormat="false" ht="15" hidden="false" customHeight="true" outlineLevel="0" collapsed="false">
      <c r="AJ218" s="16" t="str">
        <f aca="false">IF(Data_Summary!Y219&lt;&gt;"Coverage","",IF(Data_Summary!AA219="","",IF(COUNTIFS(Data_Summary!$Y$2:$Y219,"Coverage",Data_Summary!$AA$2:$AA219,Data_Summary!AA219)=1,Data_Summary!AA219,"")))</f>
        <v>Strategic Connect</v>
      </c>
      <c r="AK218" s="16" t="n">
        <f aca="false">IF(AJ218="","",COUNTIFS(Data_Summary!$Y$2:$Y$20001,"Coverage",Data_Summary!$AA$2:$AA$20001,AJ218))</f>
        <v>2</v>
      </c>
    </row>
    <row r="219" customFormat="false" ht="15" hidden="false" customHeight="true" outlineLevel="0" collapsed="false">
      <c r="AJ219" s="16" t="str">
        <f aca="false">IF(Data_Summary!Y220&lt;&gt;"Coverage","",IF(Data_Summary!AA220="","",IF(COUNTIFS(Data_Summary!$Y$2:$Y220,"Coverage",Data_Summary!$AA$2:$AA220,Data_Summary!AA220)=1,Data_Summary!AA220,"")))</f>
        <v/>
      </c>
      <c r="AK219" s="16" t="str">
        <f aca="false">IF(AJ219="","",COUNTIFS(Data_Summary!$Y$2:$Y$20001,"Coverage",Data_Summary!$AA$2:$AA$20001,AJ219))</f>
        <v/>
      </c>
    </row>
    <row r="220" customFormat="false" ht="15" hidden="false" customHeight="true" outlineLevel="0" collapsed="false">
      <c r="AJ220" s="16" t="str">
        <f aca="false">IF(Data_Summary!Y221&lt;&gt;"Coverage","",IF(Data_Summary!AA221="","",IF(COUNTIFS(Data_Summary!$Y$2:$Y221,"Coverage",Data_Summary!$AA$2:$AA221,Data_Summary!AA221)=1,Data_Summary!AA221,"")))</f>
        <v/>
      </c>
      <c r="AK220" s="16" t="str">
        <f aca="false">IF(AJ220="","",COUNTIFS(Data_Summary!$Y$2:$Y$20001,"Coverage",Data_Summary!$AA$2:$AA$20001,AJ220))</f>
        <v/>
      </c>
    </row>
    <row r="221" customFormat="false" ht="15" hidden="false" customHeight="true" outlineLevel="0" collapsed="false">
      <c r="AJ221" s="16" t="str">
        <f aca="false">IF(Data_Summary!Y222&lt;&gt;"Coverage","",IF(Data_Summary!AA222="","",IF(COUNTIFS(Data_Summary!$Y$2:$Y222,"Coverage",Data_Summary!$AA$2:$AA222,Data_Summary!AA222)=1,Data_Summary!AA222,"")))</f>
        <v/>
      </c>
      <c r="AK221" s="16" t="str">
        <f aca="false">IF(AJ221="","",COUNTIFS(Data_Summary!$Y$2:$Y$20001,"Coverage",Data_Summary!$AA$2:$AA$20001,AJ221))</f>
        <v/>
      </c>
    </row>
    <row r="222" customFormat="false" ht="15" hidden="false" customHeight="true" outlineLevel="0" collapsed="false">
      <c r="AJ222" s="16" t="str">
        <f aca="false">IF(Data_Summary!Y223&lt;&gt;"Coverage","",IF(Data_Summary!AA223="","",IF(COUNTIFS(Data_Summary!$Y$2:$Y223,"Coverage",Data_Summary!$AA$2:$AA223,Data_Summary!AA223)=1,Data_Summary!AA223,"")))</f>
        <v/>
      </c>
      <c r="AK222" s="16" t="str">
        <f aca="false">IF(AJ222="","",COUNTIFS(Data_Summary!$Y$2:$Y$20001,"Coverage",Data_Summary!$AA$2:$AA$20001,AJ222))</f>
        <v/>
      </c>
    </row>
    <row r="223" customFormat="false" ht="15" hidden="false" customHeight="true" outlineLevel="0" collapsed="false">
      <c r="AJ223" s="16" t="str">
        <f aca="false">IF(Data_Summary!Y224&lt;&gt;"Coverage","",IF(Data_Summary!AA224="","",IF(COUNTIFS(Data_Summary!$Y$2:$Y224,"Coverage",Data_Summary!$AA$2:$AA224,Data_Summary!AA224)=1,Data_Summary!AA224,"")))</f>
        <v/>
      </c>
      <c r="AK223" s="16" t="str">
        <f aca="false">IF(AJ223="","",COUNTIFS(Data_Summary!$Y$2:$Y$20001,"Coverage",Data_Summary!$AA$2:$AA$20001,AJ223))</f>
        <v/>
      </c>
    </row>
    <row r="224" customFormat="false" ht="15" hidden="false" customHeight="true" outlineLevel="0" collapsed="false">
      <c r="AJ224" s="16" t="str">
        <f aca="false">IF(Data_Summary!Y225&lt;&gt;"Coverage","",IF(Data_Summary!AA225="","",IF(COUNTIFS(Data_Summary!$Y$2:$Y225,"Coverage",Data_Summary!$AA$2:$AA225,Data_Summary!AA225)=1,Data_Summary!AA225,"")))</f>
        <v/>
      </c>
      <c r="AK224" s="16" t="str">
        <f aca="false">IF(AJ224="","",COUNTIFS(Data_Summary!$Y$2:$Y$20001,"Coverage",Data_Summary!$AA$2:$AA$20001,AJ224))</f>
        <v/>
      </c>
    </row>
    <row r="225" customFormat="false" ht="15" hidden="false" customHeight="true" outlineLevel="0" collapsed="false">
      <c r="AJ225" s="16" t="str">
        <f aca="false">IF(Data_Summary!Y226&lt;&gt;"Coverage","",IF(Data_Summary!AA226="","",IF(COUNTIFS(Data_Summary!$Y$2:$Y226,"Coverage",Data_Summary!$AA$2:$AA226,Data_Summary!AA226)=1,Data_Summary!AA226,"")))</f>
        <v/>
      </c>
      <c r="AK225" s="16" t="str">
        <f aca="false">IF(AJ225="","",COUNTIFS(Data_Summary!$Y$2:$Y$20001,"Coverage",Data_Summary!$AA$2:$AA$20001,AJ225))</f>
        <v/>
      </c>
    </row>
    <row r="226" customFormat="false" ht="15" hidden="false" customHeight="true" outlineLevel="0" collapsed="false">
      <c r="AJ226" s="16" t="str">
        <f aca="false">IF(Data_Summary!Y227&lt;&gt;"Coverage","",IF(Data_Summary!AA227="","",IF(COUNTIFS(Data_Summary!$Y$2:$Y227,"Coverage",Data_Summary!$AA$2:$AA227,Data_Summary!AA227)=1,Data_Summary!AA227,"")))</f>
        <v/>
      </c>
      <c r="AK226" s="16" t="str">
        <f aca="false">IF(AJ226="","",COUNTIFS(Data_Summary!$Y$2:$Y$20001,"Coverage",Data_Summary!$AA$2:$AA$20001,AJ226))</f>
        <v/>
      </c>
    </row>
    <row r="227" customFormat="false" ht="28.5" hidden="false" customHeight="true" outlineLevel="0" collapsed="false">
      <c r="AJ227" s="16" t="str">
        <f aca="false">IF(Data_Summary!Y228&lt;&gt;"Coverage","",IF(Data_Summary!AA228="","",IF(COUNTIFS(Data_Summary!$Y$2:$Y228,"Coverage",Data_Summary!$AA$2:$AA228,Data_Summary!AA228)=1,Data_Summary!AA228,"")))</f>
        <v/>
      </c>
      <c r="AK227" s="16" t="str">
        <f aca="false">IF(AJ227="","",COUNTIFS(Data_Summary!$Y$2:$Y$20001,"Coverage",Data_Summary!$AA$2:$AA$20001,AJ227))</f>
        <v/>
      </c>
    </row>
    <row r="228" customFormat="false" ht="25.5" hidden="false" customHeight="true" outlineLevel="0" collapsed="false">
      <c r="AJ228" s="16" t="str">
        <f aca="false">IF(Data_Summary!Y229&lt;&gt;"Coverage","",IF(Data_Summary!AA229="","",IF(COUNTIFS(Data_Summary!$Y$2:$Y229,"Coverage",Data_Summary!$AA$2:$AA229,Data_Summary!AA229)=1,Data_Summary!AA229,"")))</f>
        <v>Role Confidence Level</v>
      </c>
      <c r="AK228" s="16" t="n">
        <f aca="false">IF(AJ228="","",COUNTIFS(Data_Summary!$Y$2:$Y$20001,"Coverage",Data_Summary!$AA$2:$AA$20001,AJ228))</f>
        <v>3</v>
      </c>
    </row>
    <row r="229" customFormat="false" ht="15" hidden="false" customHeight="true" outlineLevel="0" collapsed="false">
      <c r="AJ229" s="16" t="str">
        <f aca="false">IF(Data_Summary!Y230&lt;&gt;"Coverage","",IF(Data_Summary!AA230="","",IF(COUNTIFS(Data_Summary!$Y$2:$Y230,"Coverage",Data_Summary!$AA$2:$AA230,Data_Summary!AA230)=1,Data_Summary!AA230,"")))</f>
        <v>Feedback Mechanism</v>
      </c>
      <c r="AK229" s="16" t="n">
        <f aca="false">IF(AJ229="","",COUNTIFS(Data_Summary!$Y$2:$Y$20001,"Coverage",Data_Summary!$AA$2:$AA$20001,AJ229))</f>
        <v>2</v>
      </c>
    </row>
    <row r="230" customFormat="false" ht="15" hidden="false" customHeight="true" outlineLevel="0" collapsed="false">
      <c r="AJ230" s="16" t="str">
        <f aca="false">IF(Data_Summary!Y231&lt;&gt;"Coverage","",IF(Data_Summary!AA231="","",IF(COUNTIFS(Data_Summary!$Y$2:$Y231,"Coverage",Data_Summary!$AA$2:$AA231,Data_Summary!AA231)=1,Data_Summary!AA231,"")))</f>
        <v/>
      </c>
      <c r="AK230" s="16" t="str">
        <f aca="false">IF(AJ230="","",COUNTIFS(Data_Summary!$Y$2:$Y$20001,"Coverage",Data_Summary!$AA$2:$AA$20001,AJ230))</f>
        <v/>
      </c>
    </row>
    <row r="231" customFormat="false" ht="15" hidden="false" customHeight="true" outlineLevel="0" collapsed="false">
      <c r="AJ231" s="16" t="str">
        <f aca="false">IF(Data_Summary!Y232&lt;&gt;"Coverage","",IF(Data_Summary!AA232="","",IF(COUNTIFS(Data_Summary!$Y$2:$Y232,"Coverage",Data_Summary!$AA$2:$AA232,Data_Summary!AA232)=1,Data_Summary!AA232,"")))</f>
        <v/>
      </c>
      <c r="AK231" s="16" t="str">
        <f aca="false">IF(AJ231="","",COUNTIFS(Data_Summary!$Y$2:$Y$20001,"Coverage",Data_Summary!$AA$2:$AA$20001,AJ231))</f>
        <v/>
      </c>
    </row>
    <row r="232" customFormat="false" ht="15" hidden="false" customHeight="true" outlineLevel="0" collapsed="false">
      <c r="AJ232" s="16" t="str">
        <f aca="false">IF(Data_Summary!Y233&lt;&gt;"Coverage","",IF(Data_Summary!AA233="","",IF(COUNTIFS(Data_Summary!$Y$2:$Y233,"Coverage",Data_Summary!$AA$2:$AA233,Data_Summary!AA233)=1,Data_Summary!AA233,"")))</f>
        <v/>
      </c>
      <c r="AK232" s="16" t="str">
        <f aca="false">IF(AJ232="","",COUNTIFS(Data_Summary!$Y$2:$Y$20001,"Coverage",Data_Summary!$AA$2:$AA$20001,AJ232))</f>
        <v/>
      </c>
    </row>
    <row r="233" customFormat="false" ht="15" hidden="false" customHeight="true" outlineLevel="0" collapsed="false">
      <c r="AJ233" s="16" t="str">
        <f aca="false">IF(Data_Summary!Y234&lt;&gt;"Coverage","",IF(Data_Summary!AA234="","",IF(COUNTIFS(Data_Summary!$Y$2:$Y234,"Coverage",Data_Summary!$AA$2:$AA234,Data_Summary!AA234)=1,Data_Summary!AA234,"")))</f>
        <v/>
      </c>
      <c r="AK233" s="16" t="str">
        <f aca="false">IF(AJ233="","",COUNTIFS(Data_Summary!$Y$2:$Y$20001,"Coverage",Data_Summary!$AA$2:$AA$20001,AJ233))</f>
        <v/>
      </c>
    </row>
    <row r="234" customFormat="false" ht="15" hidden="false" customHeight="true" outlineLevel="0" collapsed="false">
      <c r="AJ234" s="16" t="str">
        <f aca="false">IF(Data_Summary!Y235&lt;&gt;"Coverage","",IF(Data_Summary!AA235="","",IF(COUNTIFS(Data_Summary!$Y$2:$Y235,"Coverage",Data_Summary!$AA$2:$AA235,Data_Summary!AA235)=1,Data_Summary!AA235,"")))</f>
        <v/>
      </c>
      <c r="AK234" s="16" t="str">
        <f aca="false">IF(AJ234="","",COUNTIFS(Data_Summary!$Y$2:$Y$20001,"Coverage",Data_Summary!$AA$2:$AA$20001,AJ234))</f>
        <v/>
      </c>
    </row>
    <row r="235" customFormat="false" ht="27" hidden="false" customHeight="true" outlineLevel="0" collapsed="false">
      <c r="AJ235" s="16" t="str">
        <f aca="false">IF(Data_Summary!Y236&lt;&gt;"Coverage","",IF(Data_Summary!AA236="","",IF(COUNTIFS(Data_Summary!$Y$2:$Y236,"Coverage",Data_Summary!$AA$2:$AA236,Data_Summary!AA236)=1,Data_Summary!AA236,"")))</f>
        <v/>
      </c>
      <c r="AK235" s="16" t="str">
        <f aca="false">IF(AJ235="","",COUNTIFS(Data_Summary!$Y$2:$Y$20001,"Coverage",Data_Summary!$AA$2:$AA$20001,AJ235))</f>
        <v/>
      </c>
    </row>
    <row r="236" customFormat="false" ht="15" hidden="false" customHeight="true" outlineLevel="0" collapsed="false">
      <c r="AJ236" s="16" t="str">
        <f aca="false">IF(Data_Summary!Y237&lt;&gt;"Coverage","",IF(Data_Summary!AA237="","",IF(COUNTIFS(Data_Summary!$Y$2:$Y237,"Coverage",Data_Summary!$AA$2:$AA237,Data_Summary!AA237)=1,Data_Summary!AA237,"")))</f>
        <v>Recognition Visibility</v>
      </c>
      <c r="AK236" s="16" t="n">
        <f aca="false">IF(AJ236="","",COUNTIFS(Data_Summary!$Y$2:$Y$20001,"Coverage",Data_Summary!$AA$2:$AA$20001,AJ236))</f>
        <v>2</v>
      </c>
    </row>
    <row r="237" customFormat="false" ht="15" hidden="false" customHeight="true" outlineLevel="0" collapsed="false">
      <c r="AJ237" s="16" t="str">
        <f aca="false">IF(Data_Summary!Y238&lt;&gt;"Coverage","",IF(Data_Summary!AA238="","",IF(COUNTIFS(Data_Summary!$Y$2:$Y238,"Coverage",Data_Summary!$AA$2:$AA238,Data_Summary!AA238)=1,Data_Summary!AA238,"")))</f>
        <v>Work-Life &amp; Sustainability Signals</v>
      </c>
      <c r="AK237" s="16" t="n">
        <f aca="false">IF(AJ237="","",COUNTIFS(Data_Summary!$Y$2:$Y$20001,"Coverage",Data_Summary!$AA$2:$AA$20001,AJ237))</f>
        <v>2</v>
      </c>
    </row>
    <row r="238" customFormat="false" ht="15" hidden="false" customHeight="true" outlineLevel="0" collapsed="false">
      <c r="AJ238" s="16" t="str">
        <f aca="false">IF(Data_Summary!Y239&lt;&gt;"Coverage","",IF(Data_Summary!AA239="","",IF(COUNTIFS(Data_Summary!$Y$2:$Y239,"Coverage",Data_Summary!$AA$2:$AA239,Data_Summary!AA239)=1,Data_Summary!AA239,"")))</f>
        <v/>
      </c>
      <c r="AK238" s="16" t="str">
        <f aca="false">IF(AJ238="","",COUNTIFS(Data_Summary!$Y$2:$Y$20001,"Coverage",Data_Summary!$AA$2:$AA$20001,AJ238))</f>
        <v/>
      </c>
    </row>
    <row r="239" customFormat="false" ht="15" hidden="false" customHeight="true" outlineLevel="0" collapsed="false">
      <c r="AJ239" s="16" t="str">
        <f aca="false">IF(Data_Summary!Y240&lt;&gt;"Coverage","",IF(Data_Summary!AA240="","",IF(COUNTIFS(Data_Summary!$Y$2:$Y240,"Coverage",Data_Summary!$AA$2:$AA240,Data_Summary!AA240)=1,Data_Summary!AA240,"")))</f>
        <v/>
      </c>
      <c r="AK239" s="16" t="str">
        <f aca="false">IF(AJ239="","",COUNTIFS(Data_Summary!$Y$2:$Y$20001,"Coverage",Data_Summary!$AA$2:$AA$20001,AJ239))</f>
        <v/>
      </c>
    </row>
    <row r="240" customFormat="false" ht="15" hidden="false" customHeight="true" outlineLevel="0" collapsed="false">
      <c r="AJ240" s="16" t="str">
        <f aca="false">IF(Data_Summary!Y241&lt;&gt;"Coverage","",IF(Data_Summary!AA241="","",IF(COUNTIFS(Data_Summary!$Y$2:$Y241,"Coverage",Data_Summary!$AA$2:$AA241,Data_Summary!AA241)=1,Data_Summary!AA241,"")))</f>
        <v/>
      </c>
      <c r="AK240" s="16" t="str">
        <f aca="false">IF(AJ240="","",COUNTIFS(Data_Summary!$Y$2:$Y$20001,"Coverage",Data_Summary!$AA$2:$AA$20001,AJ240))</f>
        <v/>
      </c>
    </row>
    <row r="241" customFormat="false" ht="15" hidden="false" customHeight="true" outlineLevel="0" collapsed="false">
      <c r="AJ241" s="16" t="str">
        <f aca="false">IF(Data_Summary!Y242&lt;&gt;"Coverage","",IF(Data_Summary!AA242="","",IF(COUNTIFS(Data_Summary!$Y$2:$Y242,"Coverage",Data_Summary!$AA$2:$AA242,Data_Summary!AA242)=1,Data_Summary!AA242,"")))</f>
        <v/>
      </c>
      <c r="AK241" s="16" t="str">
        <f aca="false">IF(AJ241="","",COUNTIFS(Data_Summary!$Y$2:$Y$20001,"Coverage",Data_Summary!$AA$2:$AA$20001,AJ241))</f>
        <v/>
      </c>
    </row>
    <row r="242" customFormat="false" ht="15" hidden="false" customHeight="true" outlineLevel="0" collapsed="false">
      <c r="AJ242" s="16" t="str">
        <f aca="false">IF(Data_Summary!Y243&lt;&gt;"Coverage","",IF(Data_Summary!AA243="","",IF(COUNTIFS(Data_Summary!$Y$2:$Y243,"Coverage",Data_Summary!$AA$2:$AA243,Data_Summary!AA243)=1,Data_Summary!AA243,"")))</f>
        <v/>
      </c>
      <c r="AK242" s="16" t="str">
        <f aca="false">IF(AJ242="","",COUNTIFS(Data_Summary!$Y$2:$Y$20001,"Coverage",Data_Summary!$AA$2:$AA$20001,AJ242))</f>
        <v/>
      </c>
    </row>
    <row r="243" customFormat="false" ht="15" hidden="false" customHeight="true" outlineLevel="0" collapsed="false">
      <c r="AJ243" s="16" t="str">
        <f aca="false">IF(Data_Summary!Y244&lt;&gt;"Coverage","",IF(Data_Summary!AA244="","",IF(COUNTIFS(Data_Summary!$Y$2:$Y244,"Coverage",Data_Summary!$AA$2:$AA244,Data_Summary!AA244)=1,Data_Summary!AA244,"")))</f>
        <v>Queries On Performance Cycle Steps And Deadlines</v>
      </c>
      <c r="AK243" s="16" t="n">
        <f aca="false">IF(AJ243="","",COUNTIFS(Data_Summary!$Y$2:$Y$20001,"Coverage",Data_Summary!$AA$2:$AA$20001,AJ243))</f>
        <v>1</v>
      </c>
    </row>
    <row r="244" customFormat="false" ht="15" hidden="false" customHeight="true" outlineLevel="0" collapsed="false">
      <c r="AJ244" s="16" t="str">
        <f aca="false">IF(Data_Summary!Y245&lt;&gt;"Coverage","",IF(Data_Summary!AA245="","",IF(COUNTIFS(Data_Summary!$Y$2:$Y245,"Coverage",Data_Summary!$AA$2:$AA245,Data_Summary!AA245)=1,Data_Summary!AA245,"")))</f>
        <v/>
      </c>
      <c r="AK244" s="16" t="str">
        <f aca="false">IF(AJ244="","",COUNTIFS(Data_Summary!$Y$2:$Y$20001,"Coverage",Data_Summary!$AA$2:$AA$20001,AJ244))</f>
        <v/>
      </c>
    </row>
    <row r="245" customFormat="false" ht="12.75" hidden="false" customHeight="true" outlineLevel="0" collapsed="false">
      <c r="AJ245" s="16" t="str">
        <f aca="false">IF(Data_Summary!Y246&lt;&gt;"Coverage","",IF(Data_Summary!AA246="","",IF(COUNTIFS(Data_Summary!$Y$2:$Y246,"Coverage",Data_Summary!$AA$2:$AA246,Data_Summary!AA246)=1,Data_Summary!AA246,"")))</f>
        <v/>
      </c>
      <c r="AK245" s="16" t="str">
        <f aca="false">IF(AJ245="","",COUNTIFS(Data_Summary!$Y$2:$Y$20001,"Coverage",Data_Summary!$AA$2:$AA$20001,AJ245))</f>
        <v/>
      </c>
    </row>
    <row r="246" customFormat="false" ht="12.75" hidden="false" customHeight="true" outlineLevel="0" collapsed="false">
      <c r="AJ246" s="16" t="str">
        <f aca="false">IF(Data_Summary!Y247&lt;&gt;"Coverage","",IF(Data_Summary!AA247="","",IF(COUNTIFS(Data_Summary!$Y$2:$Y247,"Coverage",Data_Summary!$AA$2:$AA247,Data_Summary!AA247)=1,Data_Summary!AA247,"")))</f>
        <v/>
      </c>
      <c r="AK246" s="16" t="str">
        <f aca="false">IF(AJ246="","",COUNTIFS(Data_Summary!$Y$2:$Y$20001,"Coverage",Data_Summary!$AA$2:$AA$20001,AJ246))</f>
        <v/>
      </c>
    </row>
    <row r="247" customFormat="false" ht="19.5" hidden="false" customHeight="true" outlineLevel="0" collapsed="false">
      <c r="AJ247" s="16" t="str">
        <f aca="false">IF(Data_Summary!Y248&lt;&gt;"Coverage","",IF(Data_Summary!AA248="","",IF(COUNTIFS(Data_Summary!$Y$2:$Y248,"Coverage",Data_Summary!$AA$2:$AA248,Data_Summary!AA248)=1,Data_Summary!AA248,"")))</f>
        <v/>
      </c>
      <c r="AK247" s="16" t="str">
        <f aca="false">IF(AJ247="","",COUNTIFS(Data_Summary!$Y$2:$Y$20001,"Coverage",Data_Summary!$AA$2:$AA$20001,AJ247))</f>
        <v/>
      </c>
    </row>
    <row r="248" customFormat="false" ht="15" hidden="false" customHeight="true" outlineLevel="0" collapsed="false">
      <c r="AJ248" s="16" t="str">
        <f aca="false">IF(Data_Summary!Y249&lt;&gt;"Coverage","",IF(Data_Summary!AA249="","",IF(COUNTIFS(Data_Summary!$Y$2:$Y249,"Coverage",Data_Summary!$AA$2:$AA249,Data_Summary!AA249)=1,Data_Summary!AA249,"")))</f>
        <v>Recognition &amp; Engagement within Project</v>
      </c>
      <c r="AK248" s="16" t="n">
        <f aca="false">IF(AJ248="","",COUNTIFS(Data_Summary!$Y$2:$Y$20001,"Coverage",Data_Summary!$AA$2:$AA$20001,AJ248))</f>
        <v>2</v>
      </c>
    </row>
    <row r="249" customFormat="false" ht="15" hidden="false" customHeight="true" outlineLevel="0" collapsed="false">
      <c r="AJ249" s="16" t="str">
        <f aca="false">IF(Data_Summary!Y250&lt;&gt;"Coverage","",IF(Data_Summary!AA250="","",IF(COUNTIFS(Data_Summary!$Y$2:$Y250,"Coverage",Data_Summary!$AA$2:$AA250,Data_Summary!AA250)=1,Data_Summary!AA250,"")))</f>
        <v>On Leave/comp-off Due To Client Calendar Mismatches</v>
      </c>
      <c r="AK249" s="16" t="n">
        <f aca="false">IF(AJ249="","",COUNTIFS(Data_Summary!$Y$2:$Y$20001,"Coverage",Data_Summary!$AA$2:$AA$20001,AJ249))</f>
        <v>2</v>
      </c>
    </row>
    <row r="250" customFormat="false" ht="34.5" hidden="false" customHeight="true" outlineLevel="0" collapsed="false">
      <c r="J250" s="53" t="n">
        <f aca="false" t="array" ref="J250:J250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1),"")</f>
        <v>100026</v>
      </c>
      <c r="AJ250" s="16" t="str">
        <f aca="false">IF(Data_Summary!Y251&lt;&gt;"Coverage","",IF(Data_Summary!AA251="","",IF(COUNTIFS(Data_Summary!$Y$2:$Y251,"Coverage",Data_Summary!$AA$2:$AA251,Data_Summary!AA251)=1,Data_Summary!AA251,"")))</f>
        <v/>
      </c>
      <c r="AK250" s="16" t="str">
        <f aca="false">IF(AJ250="","",COUNTIFS(Data_Summary!$Y$2:$Y$20001,"Coverage",Data_Summary!$AA$2:$AA$20001,AJ250))</f>
        <v/>
      </c>
    </row>
    <row r="251" customFormat="false" ht="34.5" hidden="false" customHeight="true" outlineLevel="0" collapsed="false">
      <c r="J251" s="53" t="n">
        <f aca="false" t="array" ref="J251:J251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2),"")</f>
        <v>100064</v>
      </c>
      <c r="AJ251" s="16" t="str">
        <f aca="false">IF(Data_Summary!Y252&lt;&gt;"Coverage","",IF(Data_Summary!AA252="","",IF(COUNTIFS(Data_Summary!$Y$2:$Y252,"Coverage",Data_Summary!$AA$2:$AA252,Data_Summary!AA252)=1,Data_Summary!AA252,"")))</f>
        <v/>
      </c>
      <c r="AK251" s="16" t="str">
        <f aca="false">IF(AJ251="","",COUNTIFS(Data_Summary!$Y$2:$Y$20001,"Coverage",Data_Summary!$AA$2:$AA$20001,AJ251))</f>
        <v/>
      </c>
    </row>
    <row r="252" customFormat="false" ht="34.5" hidden="false" customHeight="true" outlineLevel="0" collapsed="false">
      <c r="J252" s="53" t="n">
        <f aca="false" t="array" ref="J252:J252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3),"")</f>
        <v>200005</v>
      </c>
      <c r="AJ252" s="16" t="str">
        <f aca="false">IF(Data_Summary!Y253&lt;&gt;"Coverage","",IF(Data_Summary!AA253="","",IF(COUNTIFS(Data_Summary!$Y$2:$Y253,"Coverage",Data_Summary!$AA$2:$AA253,Data_Summary!AA253)=1,Data_Summary!AA253,"")))</f>
        <v/>
      </c>
      <c r="AK252" s="16" t="str">
        <f aca="false">IF(AJ252="","",COUNTIFS(Data_Summary!$Y$2:$Y$20001,"Coverage",Data_Summary!$AA$2:$AA$20001,AJ252))</f>
        <v/>
      </c>
    </row>
    <row r="253" customFormat="false" ht="34.5" hidden="false" customHeight="true" outlineLevel="0" collapsed="false">
      <c r="J253" s="53" t="n">
        <f aca="false" t="array" ref="J253:J253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4),"")</f>
        <v>200027</v>
      </c>
      <c r="AJ253" s="16" t="str">
        <f aca="false">IF(Data_Summary!Y254&lt;&gt;"Coverage","",IF(Data_Summary!AA254="","",IF(COUNTIFS(Data_Summary!$Y$2:$Y254,"Coverage",Data_Summary!$AA$2:$AA254,Data_Summary!AA254)=1,Data_Summary!AA254,"")))</f>
        <v/>
      </c>
      <c r="AK253" s="16" t="str">
        <f aca="false">IF(AJ253="","",COUNTIFS(Data_Summary!$Y$2:$Y$20001,"Coverage",Data_Summary!$AA$2:$AA$20001,AJ253))</f>
        <v/>
      </c>
    </row>
    <row r="254" customFormat="false" ht="34.5" hidden="false" customHeight="true" outlineLevel="0" collapsed="false">
      <c r="J254" s="53" t="n">
        <f aca="false" t="array" ref="J254:J254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5),"")</f>
        <v>200068</v>
      </c>
      <c r="AJ254" s="16" t="str">
        <f aca="false">IF(Data_Summary!Y255&lt;&gt;"Coverage","",IF(Data_Summary!AA255="","",IF(COUNTIFS(Data_Summary!$Y$2:$Y255,"Coverage",Data_Summary!$AA$2:$AA255,Data_Summary!AA255)=1,Data_Summary!AA255,"")))</f>
        <v/>
      </c>
      <c r="AK254" s="16" t="str">
        <f aca="false">IF(AJ254="","",COUNTIFS(Data_Summary!$Y$2:$Y$20001,"Coverage",Data_Summary!$AA$2:$AA$20001,AJ254))</f>
        <v/>
      </c>
    </row>
    <row r="255" customFormat="false" ht="34.5" hidden="false" customHeight="true" outlineLevel="0" collapsed="false">
      <c r="J255" s="53" t="n">
        <f aca="false" t="array" ref="J255:J255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6),"")</f>
        <v>300003</v>
      </c>
      <c r="AJ255" s="16" t="str">
        <f aca="false">IF(Data_Summary!Y256&lt;&gt;"Coverage","",IF(Data_Summary!AA256="","",IF(COUNTIFS(Data_Summary!$Y$2:$Y256,"Coverage",Data_Summary!$AA$2:$AA256,Data_Summary!AA256)=1,Data_Summary!AA256,"")))</f>
        <v/>
      </c>
      <c r="AK255" s="16" t="str">
        <f aca="false">IF(AJ255="","",COUNTIFS(Data_Summary!$Y$2:$Y$20001,"Coverage",Data_Summary!$AA$2:$AA$20001,AJ255))</f>
        <v/>
      </c>
    </row>
    <row r="256" customFormat="false" ht="34.5" hidden="false" customHeight="true" outlineLevel="0" collapsed="false">
      <c r="J256" s="53" t="n">
        <f aca="false" t="array" ref="J256:J256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7),"")</f>
        <v>300045</v>
      </c>
      <c r="AJ256" s="16" t="str">
        <f aca="false">IF(Data_Summary!Y257&lt;&gt;"Coverage","",IF(Data_Summary!AA257="","",IF(COUNTIFS(Data_Summary!$Y$2:$Y257,"Coverage",Data_Summary!$AA$2:$AA257,Data_Summary!AA257)=1,Data_Summary!AA257,"")))</f>
        <v/>
      </c>
      <c r="AK256" s="16" t="str">
        <f aca="false">IF(AJ256="","",COUNTIFS(Data_Summary!$Y$2:$Y$20001,"Coverage",Data_Summary!$AA$2:$AA$20001,AJ256))</f>
        <v/>
      </c>
    </row>
    <row r="257" customFormat="false" ht="34.5" hidden="false" customHeight="true" outlineLevel="0" collapsed="false">
      <c r="J257" s="53" t="n">
        <f aca="false" t="array" ref="J257:J257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8),"")</f>
        <v>300056</v>
      </c>
      <c r="AJ257" s="16" t="str">
        <f aca="false">IF(Data_Summary!Y258&lt;&gt;"Coverage","",IF(Data_Summary!AA258="","",IF(COUNTIFS(Data_Summary!$Y$2:$Y258,"Coverage",Data_Summary!$AA$2:$AA258,Data_Summary!AA258)=1,Data_Summary!AA258,"")))</f>
        <v/>
      </c>
      <c r="AK257" s="16" t="str">
        <f aca="false">IF(AJ257="","",COUNTIFS(Data_Summary!$Y$2:$Y$20001,"Coverage",Data_Summary!$AA$2:$AA$20001,AJ257))</f>
        <v/>
      </c>
    </row>
    <row r="258" customFormat="false" ht="34.5" hidden="false" customHeight="true" outlineLevel="0" collapsed="false">
      <c r="J258" s="53" t="n">
        <f aca="false" t="array" ref="J258:J258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9),"")</f>
        <v>300057</v>
      </c>
      <c r="AJ258" s="16" t="str">
        <f aca="false">IF(Data_Summary!Y259&lt;&gt;"Coverage","",IF(Data_Summary!AA259="","",IF(COUNTIFS(Data_Summary!$Y$2:$Y259,"Coverage",Data_Summary!$AA$2:$AA259,Data_Summary!AA259)=1,Data_Summary!AA259,"")))</f>
        <v/>
      </c>
      <c r="AK258" s="16" t="str">
        <f aca="false">IF(AJ258="","",COUNTIFS(Data_Summary!$Y$2:$Y$20001,"Coverage",Data_Summary!$AA$2:$AA$20001,AJ258))</f>
        <v/>
      </c>
    </row>
    <row r="259" customFormat="false" ht="34.5" hidden="false" customHeight="true" outlineLevel="0" collapsed="false">
      <c r="J259" s="53" t="n">
        <f aca="false" t="array" ref="J259:J259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10),"")</f>
        <v>300075</v>
      </c>
      <c r="AJ259" s="16" t="str">
        <f aca="false">IF(Data_Summary!Y260&lt;&gt;"Coverage","",IF(Data_Summary!AA260="","",IF(COUNTIFS(Data_Summary!$Y$2:$Y260,"Coverage",Data_Summary!$AA$2:$AA260,Data_Summary!AA260)=1,Data_Summary!AA260,"")))</f>
        <v/>
      </c>
      <c r="AK259" s="16" t="str">
        <f aca="false">IF(AJ259="","",COUNTIFS(Data_Summary!$Y$2:$Y$20001,"Coverage",Data_Summary!$AA$2:$AA$20001,AJ259))</f>
        <v/>
      </c>
    </row>
    <row r="260" customFormat="false" ht="12.75" hidden="false" customHeight="true" outlineLevel="0" collapsed="false">
      <c r="AJ260" s="16" t="str">
        <f aca="false">IF(Data_Summary!Y261&lt;&gt;"Coverage","",IF(Data_Summary!AA261="","",IF(COUNTIFS(Data_Summary!$Y$2:$Y261,"Coverage",Data_Summary!$AA$2:$AA261,Data_Summary!AA261)=1,Data_Summary!AA261,"")))</f>
        <v/>
      </c>
      <c r="AK260" s="16" t="str">
        <f aca="false">IF(AJ260="","",COUNTIFS(Data_Summary!$Y$2:$Y$20001,"Coverage",Data_Summary!$AA$2:$AA$20001,AJ260))</f>
        <v/>
      </c>
    </row>
    <row r="261" customFormat="false" ht="24.75" hidden="false" customHeight="true" outlineLevel="0" collapsed="false">
      <c r="A261" s="54" t="s">
        <v>988</v>
      </c>
      <c r="B261" s="54"/>
      <c r="C261" s="54"/>
      <c r="D261" s="54"/>
      <c r="E261" s="54"/>
      <c r="AJ261" s="16" t="str">
        <f aca="false">IF(Data_Summary!Y262&lt;&gt;"Coverage","",IF(Data_Summary!AA262="","",IF(COUNTIFS(Data_Summary!$Y$2:$Y262,"Coverage",Data_Summary!$AA$2:$AA262,Data_Summary!AA262)=1,Data_Summary!AA262,"")))</f>
        <v/>
      </c>
      <c r="AK261" s="16" t="str">
        <f aca="false">IF(AJ261="","",COUNTIFS(Data_Summary!$Y$2:$Y$20001,"Coverage",Data_Summary!$AA$2:$AA$20001,AJ261))</f>
        <v/>
      </c>
    </row>
    <row r="262" customFormat="false" ht="12.75" hidden="false" customHeight="true" outlineLevel="0" collapsed="false">
      <c r="AJ262" s="16" t="str">
        <f aca="false">IF(Data_Summary!Y263&lt;&gt;"Coverage","",IF(Data_Summary!AA263="","",IF(COUNTIFS(Data_Summary!$Y$2:$Y263,"Coverage",Data_Summary!$AA$2:$AA263,Data_Summary!AA263)=1,Data_Summary!AA263,"")))</f>
        <v/>
      </c>
      <c r="AK262" s="16" t="str">
        <f aca="false">IF(AJ262="","",COUNTIFS(Data_Summary!$Y$2:$Y$20001,"Coverage",Data_Summary!$AA$2:$AA$20001,AJ262))</f>
        <v/>
      </c>
    </row>
    <row r="263" customFormat="false" ht="15" hidden="false" customHeight="true" outlineLevel="0" collapsed="false">
      <c r="A263" s="55" t="s">
        <v>99</v>
      </c>
      <c r="B263" s="55" t="s">
        <v>167</v>
      </c>
      <c r="C263" s="55" t="s">
        <v>123</v>
      </c>
      <c r="D263" s="55" t="s">
        <v>192</v>
      </c>
      <c r="E263" s="55" t="s">
        <v>934</v>
      </c>
      <c r="AJ263" s="16" t="str">
        <f aca="false">IF(Data_Summary!Y264&lt;&gt;"Coverage","",IF(Data_Summary!AA264="","",IF(COUNTIFS(Data_Summary!$Y$2:$Y264,"Coverage",Data_Summary!$AA$2:$AA264,Data_Summary!AA264)=1,Data_Summary!AA264,"")))</f>
        <v/>
      </c>
      <c r="AK263" s="16" t="str">
        <f aca="false">IF(AJ263="","",COUNTIFS(Data_Summary!$Y$2:$Y$20001,"Coverage",Data_Summary!$AA$2:$AA$20001,AJ263))</f>
        <v/>
      </c>
    </row>
    <row r="264" customFormat="false" ht="15" hidden="false" customHeight="true" outlineLevel="0" collapsed="false">
      <c r="A264" s="56" t="s">
        <v>139</v>
      </c>
      <c r="B264" s="57" t="n">
        <f aca="false">COUNTIFS(InsightData[Status],A264,InsightData[Severity],"High")</f>
        <v>2</v>
      </c>
      <c r="C264" s="57" t="n">
        <f aca="false">COUNTIFS(InsightData[Status],A264,InsightData[Severity],"Moderate")</f>
        <v>7</v>
      </c>
      <c r="D264" s="57" t="n">
        <f aca="false">COUNTIFS(InsightData[Status],A264,InsightData[Severity],"Low")</f>
        <v>3</v>
      </c>
      <c r="E264" s="57" t="n">
        <f aca="false">SUM(B264:D264)</f>
        <v>12</v>
      </c>
      <c r="AJ264" s="16" t="str">
        <f aca="false">IF(Data_Summary!Y265&lt;&gt;"Coverage","",IF(Data_Summary!AA265="","",IF(COUNTIFS(Data_Summary!$Y$2:$Y265,"Coverage",Data_Summary!$AA$2:$AA265,Data_Summary!AA265)=1,Data_Summary!AA265,"")))</f>
        <v/>
      </c>
      <c r="AK264" s="16" t="str">
        <f aca="false">IF(AJ264="","",COUNTIFS(Data_Summary!$Y$2:$Y$20001,"Coverage",Data_Summary!$AA$2:$AA$20001,AJ264))</f>
        <v/>
      </c>
    </row>
    <row r="265" customFormat="false" ht="15" hidden="false" customHeight="true" outlineLevel="0" collapsed="false">
      <c r="A265" s="58" t="s">
        <v>168</v>
      </c>
      <c r="B265" s="59" t="n">
        <f aca="false">COUNTIFS(InsightData[Status],A265,InsightData[Severity],"High")</f>
        <v>3</v>
      </c>
      <c r="C265" s="59" t="n">
        <f aca="false">COUNTIFS(InsightData[Status],A265,InsightData[Severity],"Moderate")</f>
        <v>7</v>
      </c>
      <c r="D265" s="59" t="n">
        <f aca="false">COUNTIFS(InsightData[Status],A265,InsightData[Severity],"Low")</f>
        <v>4</v>
      </c>
      <c r="E265" s="59" t="n">
        <f aca="false">SUM(B265:D265)</f>
        <v>14</v>
      </c>
      <c r="AJ265" s="16" t="str">
        <f aca="false">IF(Data_Summary!Y266&lt;&gt;"Coverage","",IF(Data_Summary!AA266="","",IF(COUNTIFS(Data_Summary!$Y$2:$Y266,"Coverage",Data_Summary!$AA$2:$AA266,Data_Summary!AA266)=1,Data_Summary!AA266,"")))</f>
        <v/>
      </c>
      <c r="AK265" s="16" t="str">
        <f aca="false">IF(AJ265="","",COUNTIFS(Data_Summary!$Y$2:$Y$20001,"Coverage",Data_Summary!$AA$2:$AA$20001,AJ265))</f>
        <v/>
      </c>
    </row>
    <row r="266" customFormat="false" ht="15" hidden="false" customHeight="true" outlineLevel="0" collapsed="false">
      <c r="A266" s="60" t="s">
        <v>124</v>
      </c>
      <c r="B266" s="57" t="n">
        <f aca="false">COUNTIFS(InsightData[Status],A266,InsightData[Severity],"High")</f>
        <v>17</v>
      </c>
      <c r="C266" s="57" t="n">
        <f aca="false">COUNTIFS(InsightData[Status],A266,InsightData[Severity],"Moderate")</f>
        <v>30</v>
      </c>
      <c r="D266" s="57" t="n">
        <f aca="false">COUNTIFS(InsightData[Status],A266,InsightData[Severity],"Low")</f>
        <v>27</v>
      </c>
      <c r="E266" s="57" t="n">
        <f aca="false">SUM(B266:D266)</f>
        <v>74</v>
      </c>
      <c r="AJ266" s="16" t="str">
        <f aca="false">IF(Data_Summary!Y267&lt;&gt;"Coverage","",IF(Data_Summary!AA267="","",IF(COUNTIFS(Data_Summary!$Y$2:$Y267,"Coverage",Data_Summary!$AA$2:$AA267,Data_Summary!AA267)=1,Data_Summary!AA267,"")))</f>
        <v/>
      </c>
      <c r="AK266" s="16" t="str">
        <f aca="false">IF(AJ266="","",COUNTIFS(Data_Summary!$Y$2:$Y$20001,"Coverage",Data_Summary!$AA$2:$AA$20001,AJ266))</f>
        <v/>
      </c>
    </row>
    <row r="267" customFormat="false" ht="12.75" hidden="false" customHeight="true" outlineLevel="0" collapsed="false">
      <c r="AJ267" s="16" t="str">
        <f aca="false">IF(Data_Summary!Y268&lt;&gt;"Coverage","",IF(Data_Summary!AA268="","",IF(COUNTIFS(Data_Summary!$Y$2:$Y268,"Coverage",Data_Summary!$AA$2:$AA268,Data_Summary!AA268)=1,Data_Summary!AA268,"")))</f>
        <v/>
      </c>
      <c r="AK267" s="16" t="str">
        <f aca="false">IF(AJ267="","",COUNTIFS(Data_Summary!$Y$2:$Y$20001,"Coverage",Data_Summary!$AA$2:$AA$20001,AJ267))</f>
        <v/>
      </c>
    </row>
    <row r="268" customFormat="false" ht="12.75" hidden="false" customHeight="true" outlineLevel="0" collapsed="false">
      <c r="A268" s="61" t="s">
        <v>989</v>
      </c>
      <c r="B268" s="61"/>
      <c r="C268" s="61"/>
      <c r="D268" s="61"/>
      <c r="E268" s="61"/>
      <c r="F268" s="61"/>
      <c r="G268" s="61"/>
      <c r="H268" s="61"/>
      <c r="AJ268" s="16" t="str">
        <f aca="false">IF(Data_Summary!Y269&lt;&gt;"Coverage","",IF(Data_Summary!AA269="","",IF(COUNTIFS(Data_Summary!$Y$2:$Y269,"Coverage",Data_Summary!$AA$2:$AA269,Data_Summary!AA269)=1,Data_Summary!AA269,"")))</f>
        <v/>
      </c>
      <c r="AK268" s="16" t="str">
        <f aca="false">IF(AJ268="","",COUNTIFS(Data_Summary!$Y$2:$Y$20001,"Coverage",Data_Summary!$AA$2:$AA$20001,AJ268))</f>
        <v/>
      </c>
    </row>
    <row r="269" customFormat="false" ht="12.75" hidden="false" customHeight="true" outlineLevel="0" collapsed="false">
      <c r="A269" s="62"/>
      <c r="B269" s="62"/>
      <c r="C269" s="62"/>
      <c r="D269" s="62"/>
      <c r="E269" s="62"/>
      <c r="F269" s="62"/>
      <c r="G269" s="62"/>
      <c r="H269" s="62"/>
      <c r="AJ269" s="16" t="str">
        <f aca="false">IF(Data_Summary!Y270&lt;&gt;"Coverage","",IF(Data_Summary!AA270="","",IF(COUNTIFS(Data_Summary!$Y$2:$Y270,"Coverage",Data_Summary!$AA$2:$AA270,Data_Summary!AA270)=1,Data_Summary!AA270,"")))</f>
        <v/>
      </c>
      <c r="AK269" s="16" t="str">
        <f aca="false">IF(AJ269="","",COUNTIFS(Data_Summary!$Y$2:$Y$20001,"Coverage",Data_Summary!$AA$2:$AA$20001,AJ269))</f>
        <v/>
      </c>
    </row>
    <row r="270" customFormat="false" ht="12.75" hidden="false" customHeight="true" outlineLevel="0" collapsed="false">
      <c r="A270" s="63" t="s">
        <v>990</v>
      </c>
      <c r="B270" s="63" t="s">
        <v>0</v>
      </c>
      <c r="C270" s="63" t="s">
        <v>5</v>
      </c>
      <c r="D270" s="63" t="s">
        <v>14</v>
      </c>
      <c r="E270" s="63" t="s">
        <v>991</v>
      </c>
      <c r="F270" s="63" t="s">
        <v>98</v>
      </c>
      <c r="G270" s="63" t="s">
        <v>99</v>
      </c>
      <c r="H270" s="63" t="s">
        <v>992</v>
      </c>
      <c r="AJ270" s="16" t="str">
        <f aca="false">IF(Data_Summary!Y271&lt;&gt;"Coverage","",IF(Data_Summary!AA271="","",IF(COUNTIFS(Data_Summary!$Y$2:$Y271,"Coverage",Data_Summary!$AA$2:$AA271,Data_Summary!AA271)=1,Data_Summary!AA271,"")))</f>
        <v/>
      </c>
      <c r="AK270" s="16" t="str">
        <f aca="false">IF(AJ270="","",COUNTIFS(Data_Summary!$Y$2:$Y$20001,"Coverage",Data_Summary!$AA$2:$AA$20001,AJ270))</f>
        <v/>
      </c>
    </row>
    <row r="271" customFormat="false" ht="12.75" hidden="false" customHeight="true" outlineLevel="0" collapsed="false">
      <c r="A271" s="64" t="n">
        <f aca="false">IF(J250="","",1)</f>
        <v>1</v>
      </c>
      <c r="B271" s="65" t="n">
        <f aca="false">IFERROR(IF(J250="","",INDEX(Data_Insight!$A:$A,MOD(J250,100000))),"—")</f>
        <v>25</v>
      </c>
      <c r="C271" s="66" t="str">
        <f aca="false">IFERROR(IF(J250="","",INDEX(Data_Insight!$F:$F,MOD(J250,100000))),"—")</f>
        <v>Aadi Naik</v>
      </c>
      <c r="D271" s="66" t="str">
        <f aca="false">IFERROR(IF(J250="","",INDEX(Data_Insight!$I:$I,MOD(J250,100000))),"—")</f>
        <v>DIG Vertical</v>
      </c>
      <c r="E271" s="66" t="str">
        <f aca="false">IFERROR(IF(J250="","",INDEX(Data_Insight!$X:$X,MOD(J250,100000))),"—")</f>
        <v>New Joiner Connect (90 Days)</v>
      </c>
      <c r="F271" s="67" t="str">
        <f aca="false">IFERROR(IF(J250="","",INDEX(Data_Insight!$V:$V,MOD(J250,100000))),"—")</f>
        <v>High</v>
      </c>
      <c r="G271" s="68" t="str">
        <f aca="false">IFERROR(IF(J250="","",INDEX(Data_Insight!$W:$W,MOD(J250,100000))),"—")</f>
        <v>Open</v>
      </c>
      <c r="H271" s="16" t="str">
        <f aca="false">IF(J250="","—",IFERROR(IF(INDEX(Data_Insight!$U:$U,MOD(J250,100000))="",IF(INDEX(Data_Insight!$AG:$AG,MOD(J250,100000))="","—",INDEX(Data_Insight!$AG:$AG,MOD(J250,100000))),INDEX(Data_Insight!$U:$U,MOD(J250,100000))),"—"))</f>
        <v>aNA</v>
      </c>
      <c r="AJ271" s="16" t="str">
        <f aca="false">IF(Data_Summary!Y272&lt;&gt;"Coverage","",IF(Data_Summary!AA272="","",IF(COUNTIFS(Data_Summary!$Y$2:$Y272,"Coverage",Data_Summary!$AA$2:$AA272,Data_Summary!AA272)=1,Data_Summary!AA272,"")))</f>
        <v/>
      </c>
      <c r="AK271" s="16" t="str">
        <f aca="false">IF(AJ271="","",COUNTIFS(Data_Summary!$Y$2:$Y$20001,"Coverage",Data_Summary!$AA$2:$AA$20001,AJ271))</f>
        <v/>
      </c>
    </row>
    <row r="272" customFormat="false" ht="12.75" hidden="false" customHeight="true" outlineLevel="0" collapsed="false">
      <c r="A272" s="69" t="n">
        <f aca="false">IF(J251="","",2)</f>
        <v>2</v>
      </c>
      <c r="B272" s="70" t="n">
        <f aca="false">IFERROR(IF(J251="","",INDEX(Data_Insight!$A:$A,MOD(J251,100000))),"—")</f>
        <v>63</v>
      </c>
      <c r="C272" s="71" t="str">
        <f aca="false">IFERROR(IF(J251="","",INDEX(Data_Insight!$F:$F,MOD(J251,100000))),"—")</f>
        <v>Chaitanya Aggarwal</v>
      </c>
      <c r="D272" s="71" t="str">
        <f aca="false">IFERROR(IF(J251="","",INDEX(Data_Insight!$I:$I,MOD(J251,100000))),"—")</f>
        <v>Network Services Service Line</v>
      </c>
      <c r="E272" s="71" t="str">
        <f aca="false">IFERROR(IF(J251="","",INDEX(Data_Insight!$X:$X,MOD(J251,100000))),"—")</f>
        <v>SL Induction</v>
      </c>
      <c r="F272" s="72" t="str">
        <f aca="false">IFERROR(IF(J251="","",INDEX(Data_Insight!$V:$V,MOD(J251,100000))),"—")</f>
        <v>High</v>
      </c>
      <c r="G272" s="73" t="str">
        <f aca="false">IFERROR(IF(J251="","",INDEX(Data_Insight!$W:$W,MOD(J251,100000))),"—")</f>
        <v>Open</v>
      </c>
      <c r="H272" s="71" t="str">
        <f aca="false">IF(J251="","—",IFERROR(IF(INDEX(Data_Insight!$U:$U,MOD(J251,100000))="",IF(INDEX(Data_Insight!$AG:$AG,MOD(J251,100000))="","—",INDEX(Data_Insight!$AG:$AG,MOD(J251,100000))),INDEX(Data_Insight!$U:$U,MOD(J251,100000))),"—"))</f>
        <v>NA</v>
      </c>
      <c r="AJ272" s="16" t="str">
        <f aca="false">IF(Data_Summary!Y273&lt;&gt;"Coverage","",IF(Data_Summary!AA273="","",IF(COUNTIFS(Data_Summary!$Y$2:$Y273,"Coverage",Data_Summary!$AA$2:$AA273,Data_Summary!AA273)=1,Data_Summary!AA273,"")))</f>
        <v/>
      </c>
      <c r="AK272" s="16" t="str">
        <f aca="false">IF(AJ272="","",COUNTIFS(Data_Summary!$Y$2:$Y$20001,"Coverage",Data_Summary!$AA$2:$AA$20001,AJ272))</f>
        <v/>
      </c>
    </row>
    <row r="273" customFormat="false" ht="25.5" hidden="false" customHeight="true" outlineLevel="0" collapsed="false">
      <c r="A273" s="64" t="n">
        <f aca="false">IF(J252="","",3)</f>
        <v>3</v>
      </c>
      <c r="B273" s="65" t="n">
        <f aca="false">IFERROR(IF(J252="","",INDEX(Data_Insight!$A:$A,MOD(J252,100000))),"—")</f>
        <v>4</v>
      </c>
      <c r="C273" s="66" t="str">
        <f aca="false">IFERROR(IF(J252="","",INDEX(Data_Insight!$F:$F,MOD(J252,100000))),"—")</f>
        <v>Abeer Dutta</v>
      </c>
      <c r="D273" s="66" t="str">
        <f aca="false">IFERROR(IF(J252="","",INDEX(Data_Insight!$I:$I,MOD(J252,100000))),"—")</f>
        <v>DEA Service Line</v>
      </c>
      <c r="E273" s="66" t="str">
        <f aca="false">IFERROR(IF(J252="","",INDEX(Data_Insight!$X:$X,MOD(J252,100000))),"—")</f>
        <v>ML Returnee Connect</v>
      </c>
      <c r="F273" s="67" t="str">
        <f aca="false">IFERROR(IF(J252="","",INDEX(Data_Insight!$V:$V,MOD(J252,100000))),"—")</f>
        <v>High</v>
      </c>
      <c r="G273" s="68" t="str">
        <f aca="false">IFERROR(IF(J252="","",INDEX(Data_Insight!$W:$W,MOD(J252,100000))),"—")</f>
        <v>In-progress</v>
      </c>
      <c r="H273" s="66" t="str">
        <f aca="false">IF(J252="","—",IFERROR(IF(INDEX(Data_Insight!$U:$U,MOD(J252,100000))="",IF(INDEX(Data_Insight!$AG:$AG,MOD(J252,100000))="","—",INDEX(Data_Insight!$AG:$AG,MOD(J252,100000))),INDEX(Data_Insight!$U:$U,MOD(J252,100000))),"—"))</f>
        <v>No response on IJP applied on Rapid</v>
      </c>
      <c r="AJ273" s="16" t="str">
        <f aca="false">IF(Data_Summary!Y274&lt;&gt;"Coverage","",IF(Data_Summary!AA274="","",IF(COUNTIFS(Data_Summary!$Y$2:$Y274,"Coverage",Data_Summary!$AA$2:$AA274,Data_Summary!AA274)=1,Data_Summary!AA274,"")))</f>
        <v/>
      </c>
      <c r="AK273" s="16" t="str">
        <f aca="false">IF(AJ273="","",COUNTIFS(Data_Summary!$Y$2:$Y$20001,"Coverage",Data_Summary!$AA$2:$AA$20001,AJ273))</f>
        <v/>
      </c>
    </row>
    <row r="274" customFormat="false" ht="63.75" hidden="false" customHeight="true" outlineLevel="0" collapsed="false">
      <c r="A274" s="69" t="n">
        <f aca="false">IF(J253="","",4)</f>
        <v>4</v>
      </c>
      <c r="B274" s="70" t="n">
        <f aca="false">IFERROR(IF(J253="","",INDEX(Data_Insight!$A:$A,MOD(J253,100000))),"—")</f>
        <v>26</v>
      </c>
      <c r="C274" s="71" t="str">
        <f aca="false">IFERROR(IF(J253="","",INDEX(Data_Insight!$F:$F,MOD(J253,100000))),"—")</f>
        <v>Janani Mohanty</v>
      </c>
      <c r="D274" s="71" t="str">
        <f aca="false">IFERROR(IF(J253="","",INDEX(Data_Insight!$I:$I,MOD(J253,100000))),"—")</f>
        <v>DEA Service Line</v>
      </c>
      <c r="E274" s="71" t="str">
        <f aca="false">IFERROR(IF(J253="","",INDEX(Data_Insight!$X:$X,MOD(J253,100000))),"—")</f>
        <v>Top Talent Connect</v>
      </c>
      <c r="F274" s="72" t="str">
        <f aca="false">IFERROR(IF(J253="","",INDEX(Data_Insight!$V:$V,MOD(J253,100000))),"—")</f>
        <v>High</v>
      </c>
      <c r="G274" s="73" t="str">
        <f aca="false">IFERROR(IF(J253="","",INDEX(Data_Insight!$W:$W,MOD(J253,100000))),"—")</f>
        <v>In-progress</v>
      </c>
      <c r="H274" s="71" t="str">
        <f aca="false">IF(J253="","—",IFERROR(IF(INDEX(Data_Insight!$U:$U,MOD(J253,100000))="",IF(INDEX(Data_Insight!$AG:$AG,MOD(J253,100000))="","—",INDEX(Data_Insight!$AG:$AG,MOD(J253,100000))),INDEX(Data_Insight!$U:$U,MOD(J253,100000))),"—"))</f>
        <v>NA</v>
      </c>
      <c r="AJ274" s="16" t="str">
        <f aca="false">IF(Data_Summary!Y275&lt;&gt;"Coverage","",IF(Data_Summary!AA275="","",IF(COUNTIFS(Data_Summary!$Y$2:$Y275,"Coverage",Data_Summary!$AA$2:$AA275,Data_Summary!AA275)=1,Data_Summary!AA275,"")))</f>
        <v/>
      </c>
      <c r="AK274" s="16" t="str">
        <f aca="false">IF(AJ274="","",COUNTIFS(Data_Summary!$Y$2:$Y$20001,"Coverage",Data_Summary!$AA$2:$AA$20001,AJ274))</f>
        <v/>
      </c>
    </row>
    <row r="275" customFormat="false" ht="38.25" hidden="false" customHeight="true" outlineLevel="0" collapsed="false">
      <c r="A275" s="64" t="n">
        <f aca="false">IF(J254="","",5)</f>
        <v>5</v>
      </c>
      <c r="B275" s="65" t="n">
        <f aca="false">IFERROR(IF(J254="","",INDEX(Data_Insight!$A:$A,MOD(J254,100000))),"—")</f>
        <v>67</v>
      </c>
      <c r="C275" s="66" t="str">
        <f aca="false">IFERROR(IF(J254="","",INDEX(Data_Insight!$F:$F,MOD(J254,100000))),"—")</f>
        <v>Qushi Datta</v>
      </c>
      <c r="D275" s="66" t="str">
        <f aca="false">IFERROR(IF(J254="","",INDEX(Data_Insight!$I:$I,MOD(J254,100000))),"—")</f>
        <v>DEA Service Line</v>
      </c>
      <c r="E275" s="66" t="str">
        <f aca="false">IFERROR(IF(J254="","",INDEX(Data_Insight!$X:$X,MOD(J254,100000))),"—")</f>
        <v>Wellness Session</v>
      </c>
      <c r="F275" s="67" t="str">
        <f aca="false">IFERROR(IF(J254="","",INDEX(Data_Insight!$V:$V,MOD(J254,100000))),"—")</f>
        <v>High</v>
      </c>
      <c r="G275" s="68" t="str">
        <f aca="false">IFERROR(IF(J254="","",INDEX(Data_Insight!$W:$W,MOD(J254,100000))),"—")</f>
        <v>In-progress</v>
      </c>
      <c r="H275" s="66" t="str">
        <f aca="false">IF(J254="","—",IFERROR(IF(INDEX(Data_Insight!$U:$U,MOD(J254,100000))="",IF(INDEX(Data_Insight!$AG:$AG,MOD(J254,100000))="","—",INDEX(Data_Insight!$AG:$AG,MOD(J254,100000))),INDEX(Data_Insight!$U:$U,MOD(J254,100000))),"—"))</f>
        <v>Workshops</v>
      </c>
      <c r="AJ275" s="16" t="str">
        <f aca="false">IF(Data_Summary!Y276&lt;&gt;"Coverage","",IF(Data_Summary!AA276="","",IF(COUNTIFS(Data_Summary!$Y$2:$Y276,"Coverage",Data_Summary!$AA$2:$AA276,Data_Summary!AA276)=1,Data_Summary!AA276,"")))</f>
        <v/>
      </c>
      <c r="AK275" s="16" t="str">
        <f aca="false">IF(AJ275="","",COUNTIFS(Data_Summary!$Y$2:$Y$20001,"Coverage",Data_Summary!$AA$2:$AA$20001,AJ275))</f>
        <v/>
      </c>
    </row>
    <row r="276" customFormat="false" ht="25.5" hidden="false" customHeight="true" outlineLevel="0" collapsed="false">
      <c r="A276" s="69" t="n">
        <f aca="false">IF(J255="","",6)</f>
        <v>6</v>
      </c>
      <c r="B276" s="70" t="n">
        <f aca="false">IFERROR(IF(J255="","",INDEX(Data_Insight!$A:$A,MOD(J255,100000))),"—")</f>
        <v>2</v>
      </c>
      <c r="C276" s="74" t="str">
        <f aca="false">IFERROR(IF(J255="","",INDEX(Data_Insight!$F:$F,MOD(J255,100000))),"—")</f>
        <v>Girik Kamdar</v>
      </c>
      <c r="D276" s="74" t="str">
        <f aca="false">IFERROR(IF(J255="","",INDEX(Data_Insight!$I:$I,MOD(J255,100000))),"—")</f>
        <v>CIS Service Line</v>
      </c>
      <c r="E276" s="74" t="str">
        <f aca="false">IFERROR(IF(J255="","",INDEX(Data_Insight!$X:$X,MOD(J255,100000))),"—")</f>
        <v>Townhall</v>
      </c>
      <c r="F276" s="72" t="str">
        <f aca="false">IFERROR(IF(J255="","",INDEX(Data_Insight!$V:$V,MOD(J255,100000))),"—")</f>
        <v>Moderate</v>
      </c>
      <c r="G276" s="73" t="str">
        <f aca="false">IFERROR(IF(J255="","",INDEX(Data_Insight!$W:$W,MOD(J255,100000))),"—")</f>
        <v>Open</v>
      </c>
      <c r="H276" s="75" t="str">
        <f aca="false">IF(J255="","—",IFERROR(IF(INDEX(Data_Insight!$U:$U,MOD(J255,100000))="",IF(INDEX(Data_Insight!$AG:$AG,MOD(J255,100000))="","—",INDEX(Data_Insight!$AG:$AG,MOD(J255,100000))),INDEX(Data_Insight!$U:$U,MOD(J255,100000))),"—"))</f>
        <v>Capture workload hotspots and review with delivery leads for rebalancing</v>
      </c>
      <c r="AJ276" s="16" t="str">
        <f aca="false">IF(Data_Summary!Y277&lt;&gt;"Coverage","",IF(Data_Summary!AA277="","",IF(COUNTIFS(Data_Summary!$Y$2:$Y277,"Coverage",Data_Summary!$AA$2:$AA277,Data_Summary!AA277)=1,Data_Summary!AA277,"")))</f>
        <v/>
      </c>
      <c r="AK276" s="16" t="str">
        <f aca="false">IF(AJ276="","",COUNTIFS(Data_Summary!$Y$2:$Y$20001,"Coverage",Data_Summary!$AA$2:$AA$20001,AJ276))</f>
        <v/>
      </c>
    </row>
    <row r="277" customFormat="false" ht="12.75" hidden="false" customHeight="true" outlineLevel="0" collapsed="false">
      <c r="A277" s="64" t="n">
        <f aca="false">IF(J256="","",7)</f>
        <v>7</v>
      </c>
      <c r="B277" s="65" t="n">
        <f aca="false">IFERROR(IF(J256="","",INDEX(Data_Insight!$A:$A,MOD(J256,100000))),"—")</f>
        <v>44</v>
      </c>
      <c r="C277" s="75" t="str">
        <f aca="false">IFERROR(IF(J256="","",INDEX(Data_Insight!$F:$F,MOD(J256,100000))),"—")</f>
        <v>Madhavi Lanka</v>
      </c>
      <c r="D277" s="75" t="str">
        <f aca="false">IFERROR(IF(J256="","",INDEX(Data_Insight!$I:$I,MOD(J256,100000))),"—")</f>
        <v>DEA Service Line</v>
      </c>
      <c r="E277" s="75" t="str">
        <f aca="false">IFERROR(IF(J256="","",INDEX(Data_Insight!$X:$X,MOD(J256,100000))),"—")</f>
        <v>Townhall</v>
      </c>
      <c r="F277" s="67" t="str">
        <f aca="false">IFERROR(IF(J256="","",INDEX(Data_Insight!$V:$V,MOD(J256,100000))),"—")</f>
        <v>Moderate</v>
      </c>
      <c r="G277" s="68" t="str">
        <f aca="false">IFERROR(IF(J256="","",INDEX(Data_Insight!$W:$W,MOD(J256,100000))),"—")</f>
        <v>Open</v>
      </c>
      <c r="H277" s="75" t="str">
        <f aca="false">IF(J256="","—",IFERROR(IF(INDEX(Data_Insight!$U:$U,MOD(J256,100000))="",IF(INDEX(Data_Insight!$AG:$AG,MOD(J256,100000))="","—",INDEX(Data_Insight!$AG:$AG,MOD(J256,100000))),INDEX(Data_Insight!$U:$U,MOD(J256,100000))),"—"))</f>
        <v>NA</v>
      </c>
      <c r="AJ277" s="16" t="str">
        <f aca="false">IF(Data_Summary!Y278&lt;&gt;"Coverage","",IF(Data_Summary!AA278="","",IF(COUNTIFS(Data_Summary!$Y$2:$Y278,"Coverage",Data_Summary!$AA$2:$AA278,Data_Summary!AA278)=1,Data_Summary!AA278,"")))</f>
        <v/>
      </c>
      <c r="AK277" s="16" t="str">
        <f aca="false">IF(AJ277="","",COUNTIFS(Data_Summary!$Y$2:$Y$20001,"Coverage",Data_Summary!$AA$2:$AA$20001,AJ277))</f>
        <v/>
      </c>
    </row>
    <row r="278" customFormat="false" ht="12.75" hidden="false" customHeight="true" outlineLevel="0" collapsed="false">
      <c r="A278" s="69" t="n">
        <f aca="false">IF(J257="","",8)</f>
        <v>8</v>
      </c>
      <c r="B278" s="70" t="n">
        <f aca="false">IFERROR(IF(J257="","",INDEX(Data_Insight!$A:$A,MOD(J257,100000))),"—")</f>
        <v>55</v>
      </c>
      <c r="C278" s="74" t="str">
        <f aca="false">IFERROR(IF(J257="","",INDEX(Data_Insight!$F:$F,MOD(J257,100000))),"—")</f>
        <v>Ethan Yogi</v>
      </c>
      <c r="D278" s="74" t="str">
        <f aca="false">IFERROR(IF(J257="","",INDEX(Data_Insight!$I:$I,MOD(J257,100000))),"—")</f>
        <v>DEA Service Line</v>
      </c>
      <c r="E278" s="74" t="str">
        <f aca="false">IFERROR(IF(J257="","",INDEX(Data_Insight!$X:$X,MOD(J257,100000))),"—")</f>
        <v>ML Returnee Connect</v>
      </c>
      <c r="F278" s="72" t="str">
        <f aca="false">IFERROR(IF(J257="","",INDEX(Data_Insight!$V:$V,MOD(J257,100000))),"—")</f>
        <v>Moderate</v>
      </c>
      <c r="G278" s="73" t="str">
        <f aca="false">IFERROR(IF(J257="","",INDEX(Data_Insight!$W:$W,MOD(J257,100000))),"—")</f>
        <v>Open</v>
      </c>
      <c r="H278" s="74" t="str">
        <f aca="false">IF(J257="","—",IFERROR(IF(INDEX(Data_Insight!$U:$U,MOD(J257,100000))="",IF(INDEX(Data_Insight!$AG:$AG,MOD(J257,100000))="","—",INDEX(Data_Insight!$AG:$AG,MOD(J257,100000))),INDEX(Data_Insight!$U:$U,MOD(J257,100000))),"—"))</f>
        <v>NA</v>
      </c>
      <c r="AJ278" s="16" t="str">
        <f aca="false">IF(Data_Summary!Y279&lt;&gt;"Coverage","",IF(Data_Summary!AA279="","",IF(COUNTIFS(Data_Summary!$Y$2:$Y279,"Coverage",Data_Summary!$AA$2:$AA279,Data_Summary!AA279)=1,Data_Summary!AA279,"")))</f>
        <v/>
      </c>
      <c r="AK278" s="16" t="str">
        <f aca="false">IF(AJ278="","",COUNTIFS(Data_Summary!$Y$2:$Y$20001,"Coverage",Data_Summary!$AA$2:$AA$20001,AJ278))</f>
        <v/>
      </c>
    </row>
    <row r="279" customFormat="false" ht="25.5" hidden="false" customHeight="true" outlineLevel="0" collapsed="false">
      <c r="A279" s="64" t="n">
        <f aca="false">IF(J258="","",9)</f>
        <v>9</v>
      </c>
      <c r="B279" s="65" t="n">
        <f aca="false">IFERROR(IF(J258="","",INDEX(Data_Insight!$A:$A,MOD(J258,100000))),"—")</f>
        <v>56</v>
      </c>
      <c r="C279" s="75" t="str">
        <f aca="false">IFERROR(IF(J258="","",INDEX(Data_Insight!$F:$F,MOD(J258,100000))),"—")</f>
        <v>Kevin Palla</v>
      </c>
      <c r="D279" s="75" t="str">
        <f aca="false">IFERROR(IF(J258="","",INDEX(Data_Insight!$I:$I,MOD(J258,100000))),"—")</f>
        <v>NGS Service Line</v>
      </c>
      <c r="E279" s="75" t="str">
        <f aca="false">IFERROR(IF(J258="","",INDEX(Data_Insight!$X:$X,MOD(J258,100000))),"—")</f>
        <v>ELTP Connect (12-24m)</v>
      </c>
      <c r="F279" s="67" t="str">
        <f aca="false">IFERROR(IF(J258="","",INDEX(Data_Insight!$V:$V,MOD(J258,100000))),"—")</f>
        <v>Moderate</v>
      </c>
      <c r="G279" s="68" t="str">
        <f aca="false">IFERROR(IF(J258="","",INDEX(Data_Insight!$W:$W,MOD(J258,100000))),"—")</f>
        <v>Open</v>
      </c>
      <c r="H279" s="75" t="str">
        <f aca="false">IF(J258="","—",IFERROR(IF(INDEX(Data_Insight!$U:$U,MOD(J258,100000))="",IF(INDEX(Data_Insight!$AG:$AG,MOD(J258,100000))="","—",INDEX(Data_Insight!$AG:$AG,MOD(J258,100000))),INDEX(Data_Insight!$U:$U,MOD(J258,100000))),"—"))</f>
        <v>Team will start having SAP Syniti related training shortly</v>
      </c>
      <c r="AJ279" s="16" t="str">
        <f aca="false">IF(Data_Summary!Y280&lt;&gt;"Coverage","",IF(Data_Summary!AA280="","",IF(COUNTIFS(Data_Summary!$Y$2:$Y280,"Coverage",Data_Summary!$AA$2:$AA280,Data_Summary!AA280)=1,Data_Summary!AA280,"")))</f>
        <v/>
      </c>
      <c r="AK279" s="16" t="str">
        <f aca="false">IF(AJ279="","",COUNTIFS(Data_Summary!$Y$2:$Y$20001,"Coverage",Data_Summary!$AA$2:$AA$20001,AJ279))</f>
        <v/>
      </c>
    </row>
    <row r="280" customFormat="false" ht="57" hidden="false" customHeight="true" outlineLevel="0" collapsed="false">
      <c r="A280" s="69" t="n">
        <f aca="false">IF(J259="","",10)</f>
        <v>10</v>
      </c>
      <c r="B280" s="70" t="n">
        <f aca="false">IFERROR(IF(J259="","",INDEX(Data_Insight!$A:$A,MOD(J259,100000))),"—")</f>
        <v>74</v>
      </c>
      <c r="C280" s="74" t="str">
        <f aca="false">IFERROR(IF(J259="","",INDEX(Data_Insight!$F:$F,MOD(J259,100000))),"—")</f>
        <v>Falguni Mallick</v>
      </c>
      <c r="D280" s="74" t="str">
        <f aca="false">IFERROR(IF(J259="","",INDEX(Data_Insight!$I:$I,MOD(J259,100000))),"—")</f>
        <v>DEA Service Line</v>
      </c>
      <c r="E280" s="74" t="str">
        <f aca="false">IFERROR(IF(J259="","",INDEX(Data_Insight!$X:$X,MOD(J259,100000))),"—")</f>
        <v>New Joiner Connect (90 Days)</v>
      </c>
      <c r="F280" s="72" t="str">
        <f aca="false">IFERROR(IF(J259="","",INDEX(Data_Insight!$V:$V,MOD(J259,100000))),"—")</f>
        <v>Moderate</v>
      </c>
      <c r="G280" s="73" t="str">
        <f aca="false">IFERROR(IF(J259="","",INDEX(Data_Insight!$W:$W,MOD(J259,100000))),"—")</f>
        <v>Open</v>
      </c>
      <c r="H280" s="74" t="str">
        <f aca="false">IF(J259="","—",IFERROR(IF(INDEX(Data_Insight!$U:$U,MOD(J259,100000))="",IF(INDEX(Data_Insight!$AG:$AG,MOD(J259,100000))="","—",INDEX(Data_Insight!$AG:$AG,MOD(J259,100000))),INDEX(Data_Insight!$U:$U,MOD(J259,100000))),"—"))</f>
        <v>Queries with regards with access card were raised.</v>
      </c>
      <c r="AJ280" s="16" t="str">
        <f aca="false">IF(Data_Summary!Y281&lt;&gt;"Coverage","",IF(Data_Summary!AA281="","",IF(COUNTIFS(Data_Summary!$Y$2:$Y281,"Coverage",Data_Summary!$AA$2:$AA281,Data_Summary!AA281)=1,Data_Summary!AA281,"")))</f>
        <v/>
      </c>
      <c r="AK280" s="16" t="str">
        <f aca="false">IF(AJ280="","",COUNTIFS(Data_Summary!$Y$2:$Y$20001,"Coverage",Data_Summary!$AA$2:$AA$20001,AJ280))</f>
        <v/>
      </c>
    </row>
    <row r="281" customFormat="false" ht="12.75" hidden="false" customHeight="true" outlineLevel="0" collapsed="false">
      <c r="AJ281" s="16" t="str">
        <f aca="false">IF(Data_Summary!Y282&lt;&gt;"Coverage","",IF(Data_Summary!AA282="","",IF(COUNTIFS(Data_Summary!$Y$2:$Y282,"Coverage",Data_Summary!$AA$2:$AA282,Data_Summary!AA282)=1,Data_Summary!AA282,"")))</f>
        <v/>
      </c>
      <c r="AK281" s="16" t="str">
        <f aca="false">IF(AJ281="","",COUNTIFS(Data_Summary!$Y$2:$Y$20001,"Coverage",Data_Summary!$AA$2:$AA$20001,AJ281))</f>
        <v/>
      </c>
    </row>
    <row r="282" customFormat="false" ht="12.75" hidden="false" customHeight="true" outlineLevel="0" collapsed="false">
      <c r="AJ282" s="16" t="str">
        <f aca="false">IF(Data_Summary!Y283&lt;&gt;"Coverage","",IF(Data_Summary!AA283="","",IF(COUNTIFS(Data_Summary!$Y$2:$Y283,"Coverage",Data_Summary!$AA$2:$AA283,Data_Summary!AA283)=1,Data_Summary!AA283,"")))</f>
        <v/>
      </c>
      <c r="AK282" s="16" t="str">
        <f aca="false">IF(AJ282="","",COUNTIFS(Data_Summary!$Y$2:$Y$20001,"Coverage",Data_Summary!$AA$2:$AA$20001,AJ282))</f>
        <v/>
      </c>
    </row>
    <row r="283" customFormat="false" ht="12.75" hidden="false" customHeight="true" outlineLevel="0" collapsed="false">
      <c r="AJ283" s="16" t="str">
        <f aca="false">IF(Data_Summary!Y284&lt;&gt;"Coverage","",IF(Data_Summary!AA284="","",IF(COUNTIFS(Data_Summary!$Y$2:$Y284,"Coverage",Data_Summary!$AA$2:$AA284,Data_Summary!AA284)=1,Data_Summary!AA284,"")))</f>
        <v/>
      </c>
      <c r="AK283" s="16" t="str">
        <f aca="false">IF(AJ283="","",COUNTIFS(Data_Summary!$Y$2:$Y$20001,"Coverage",Data_Summary!$AA$2:$AA$20001,AJ283))</f>
        <v/>
      </c>
    </row>
    <row r="284" customFormat="false" ht="12.75" hidden="false" customHeight="true" outlineLevel="0" collapsed="false">
      <c r="AJ284" s="16" t="str">
        <f aca="false">IF(Data_Summary!Y285&lt;&gt;"Coverage","",IF(Data_Summary!AA285="","",IF(COUNTIFS(Data_Summary!$Y$2:$Y285,"Coverage",Data_Summary!$AA$2:$AA285,Data_Summary!AA285)=1,Data_Summary!AA285,"")))</f>
        <v/>
      </c>
      <c r="AK284" s="16" t="str">
        <f aca="false">IF(AJ284="","",COUNTIFS(Data_Summary!$Y$2:$Y$20001,"Coverage",Data_Summary!$AA$2:$AA$20001,AJ284))</f>
        <v/>
      </c>
    </row>
    <row r="285" customFormat="false" ht="12.75" hidden="false" customHeight="true" outlineLevel="0" collapsed="false">
      <c r="AJ285" s="16" t="str">
        <f aca="false">IF(Data_Summary!Y286&lt;&gt;"Coverage","",IF(Data_Summary!AA286="","",IF(COUNTIFS(Data_Summary!$Y$2:$Y286,"Coverage",Data_Summary!$AA$2:$AA286,Data_Summary!AA286)=1,Data_Summary!AA286,"")))</f>
        <v/>
      </c>
      <c r="AK285" s="16" t="str">
        <f aca="false">IF(AJ285="","",COUNTIFS(Data_Summary!$Y$2:$Y$20001,"Coverage",Data_Summary!$AA$2:$AA$20001,AJ285))</f>
        <v/>
      </c>
    </row>
    <row r="286" customFormat="false" ht="12.75" hidden="false" customHeight="true" outlineLevel="0" collapsed="false">
      <c r="AJ286" s="16" t="str">
        <f aca="false">IF(Data_Summary!Y287&lt;&gt;"Coverage","",IF(Data_Summary!AA287="","",IF(COUNTIFS(Data_Summary!$Y$2:$Y287,"Coverage",Data_Summary!$AA$2:$AA287,Data_Summary!AA287)=1,Data_Summary!AA287,"")))</f>
        <v/>
      </c>
      <c r="AK286" s="16" t="str">
        <f aca="false">IF(AJ286="","",COUNTIFS(Data_Summary!$Y$2:$Y$20001,"Coverage",Data_Summary!$AA$2:$AA$20001,AJ286))</f>
        <v/>
      </c>
    </row>
    <row r="287" customFormat="false" ht="12.75" hidden="false" customHeight="true" outlineLevel="0" collapsed="false">
      <c r="AJ287" s="16" t="str">
        <f aca="false">IF(Data_Summary!Y288&lt;&gt;"Coverage","",IF(Data_Summary!AA288="","",IF(COUNTIFS(Data_Summary!$Y$2:$Y288,"Coverage",Data_Summary!$AA$2:$AA288,Data_Summary!AA288)=1,Data_Summary!AA288,"")))</f>
        <v/>
      </c>
      <c r="AK287" s="16" t="str">
        <f aca="false">IF(AJ287="","",COUNTIFS(Data_Summary!$Y$2:$Y$20001,"Coverage",Data_Summary!$AA$2:$AA$20001,AJ287))</f>
        <v/>
      </c>
    </row>
    <row r="288" customFormat="false" ht="12.75" hidden="false" customHeight="true" outlineLevel="0" collapsed="false">
      <c r="AJ288" s="16" t="str">
        <f aca="false">IF(Data_Summary!Y289&lt;&gt;"Coverage","",IF(Data_Summary!AA289="","",IF(COUNTIFS(Data_Summary!$Y$2:$Y289,"Coverage",Data_Summary!$AA$2:$AA289,Data_Summary!AA289)=1,Data_Summary!AA289,"")))</f>
        <v/>
      </c>
      <c r="AK288" s="16" t="str">
        <f aca="false">IF(AJ288="","",COUNTIFS(Data_Summary!$Y$2:$Y$20001,"Coverage",Data_Summary!$AA$2:$AA$20001,AJ288))</f>
        <v/>
      </c>
    </row>
    <row r="289" customFormat="false" ht="12.75" hidden="false" customHeight="true" outlineLevel="0" collapsed="false">
      <c r="AJ289" s="16" t="str">
        <f aca="false">IF(Data_Summary!Y290&lt;&gt;"Coverage","",IF(Data_Summary!AA290="","",IF(COUNTIFS(Data_Summary!$Y$2:$Y290,"Coverage",Data_Summary!$AA$2:$AA290,Data_Summary!AA290)=1,Data_Summary!AA290,"")))</f>
        <v/>
      </c>
      <c r="AK289" s="16" t="str">
        <f aca="false">IF(AJ289="","",COUNTIFS(Data_Summary!$Y$2:$Y$20001,"Coverage",Data_Summary!$AA$2:$AA$20001,AJ289))</f>
        <v/>
      </c>
    </row>
    <row r="290" customFormat="false" ht="12.75" hidden="false" customHeight="true" outlineLevel="0" collapsed="false">
      <c r="AJ290" s="16" t="str">
        <f aca="false">IF(Data_Summary!Y291&lt;&gt;"Coverage","",IF(Data_Summary!AA291="","",IF(COUNTIFS(Data_Summary!$Y$2:$Y291,"Coverage",Data_Summary!$AA$2:$AA291,Data_Summary!AA291)=1,Data_Summary!AA291,"")))</f>
        <v/>
      </c>
      <c r="AK290" s="16" t="str">
        <f aca="false">IF(AJ290="","",COUNTIFS(Data_Summary!$Y$2:$Y$20001,"Coverage",Data_Summary!$AA$2:$AA$20001,AJ290))</f>
        <v/>
      </c>
    </row>
    <row r="291" customFormat="false" ht="12.75" hidden="false" customHeight="true" outlineLevel="0" collapsed="false">
      <c r="AJ291" s="16" t="str">
        <f aca="false">IF(Data_Summary!Y292&lt;&gt;"Coverage","",IF(Data_Summary!AA292="","",IF(COUNTIFS(Data_Summary!$Y$2:$Y292,"Coverage",Data_Summary!$AA$2:$AA292,Data_Summary!AA292)=1,Data_Summary!AA292,"")))</f>
        <v/>
      </c>
      <c r="AK291" s="16" t="str">
        <f aca="false">IF(AJ291="","",COUNTIFS(Data_Summary!$Y$2:$Y$20001,"Coverage",Data_Summary!$AA$2:$AA$20001,AJ291))</f>
        <v/>
      </c>
    </row>
    <row r="292" customFormat="false" ht="12.75" hidden="false" customHeight="true" outlineLevel="0" collapsed="false">
      <c r="AJ292" s="16" t="str">
        <f aca="false">IF(Data_Summary!Y293&lt;&gt;"Coverage","",IF(Data_Summary!AA293="","",IF(COUNTIFS(Data_Summary!$Y$2:$Y293,"Coverage",Data_Summary!$AA$2:$AA293,Data_Summary!AA293)=1,Data_Summary!AA293,"")))</f>
        <v/>
      </c>
      <c r="AK292" s="16" t="str">
        <f aca="false">IF(AJ292="","",COUNTIFS(Data_Summary!$Y$2:$Y$20001,"Coverage",Data_Summary!$AA$2:$AA$20001,AJ292))</f>
        <v/>
      </c>
    </row>
    <row r="293" customFormat="false" ht="12.75" hidden="false" customHeight="true" outlineLevel="0" collapsed="false">
      <c r="AJ293" s="16" t="str">
        <f aca="false">IF(Data_Summary!Y294&lt;&gt;"Coverage","",IF(Data_Summary!AA294="","",IF(COUNTIFS(Data_Summary!$Y$2:$Y294,"Coverage",Data_Summary!$AA$2:$AA294,Data_Summary!AA294)=1,Data_Summary!AA294,"")))</f>
        <v/>
      </c>
      <c r="AK293" s="16" t="str">
        <f aca="false">IF(AJ293="","",COUNTIFS(Data_Summary!$Y$2:$Y$20001,"Coverage",Data_Summary!$AA$2:$AA$20001,AJ293))</f>
        <v/>
      </c>
    </row>
    <row r="294" customFormat="false" ht="12.75" hidden="false" customHeight="true" outlineLevel="0" collapsed="false">
      <c r="AJ294" s="16" t="str">
        <f aca="false">IF(Data_Summary!Y295&lt;&gt;"Coverage","",IF(Data_Summary!AA295="","",IF(COUNTIFS(Data_Summary!$Y$2:$Y295,"Coverage",Data_Summary!$AA$2:$AA295,Data_Summary!AA295)=1,Data_Summary!AA295,"")))</f>
        <v/>
      </c>
      <c r="AK294" s="16" t="str">
        <f aca="false">IF(AJ294="","",COUNTIFS(Data_Summary!$Y$2:$Y$20001,"Coverage",Data_Summary!$AA$2:$AA$20001,AJ294))</f>
        <v/>
      </c>
    </row>
    <row r="295" customFormat="false" ht="12.75" hidden="false" customHeight="true" outlineLevel="0" collapsed="false">
      <c r="AJ295" s="16" t="str">
        <f aca="false">IF(Data_Summary!Y296&lt;&gt;"Coverage","",IF(Data_Summary!AA296="","",IF(COUNTIFS(Data_Summary!$Y$2:$Y296,"Coverage",Data_Summary!$AA$2:$AA296,Data_Summary!AA296)=1,Data_Summary!AA296,"")))</f>
        <v/>
      </c>
      <c r="AK295" s="16" t="str">
        <f aca="false">IF(AJ295="","",COUNTIFS(Data_Summary!$Y$2:$Y$20001,"Coverage",Data_Summary!$AA$2:$AA$20001,AJ295))</f>
        <v/>
      </c>
    </row>
    <row r="296" customFormat="false" ht="12.75" hidden="false" customHeight="true" outlineLevel="0" collapsed="false">
      <c r="AJ296" s="16" t="str">
        <f aca="false">IF(Data_Summary!Y297&lt;&gt;"Coverage","",IF(Data_Summary!AA297="","",IF(COUNTIFS(Data_Summary!$Y$2:$Y297,"Coverage",Data_Summary!$AA$2:$AA297,Data_Summary!AA297)=1,Data_Summary!AA297,"")))</f>
        <v/>
      </c>
      <c r="AK296" s="16" t="str">
        <f aca="false">IF(AJ296="","",COUNTIFS(Data_Summary!$Y$2:$Y$20001,"Coverage",Data_Summary!$AA$2:$AA$20001,AJ296))</f>
        <v/>
      </c>
    </row>
    <row r="297" customFormat="false" ht="12.75" hidden="false" customHeight="true" outlineLevel="0" collapsed="false">
      <c r="AJ297" s="16" t="str">
        <f aca="false">IF(Data_Summary!Y298&lt;&gt;"Coverage","",IF(Data_Summary!AA298="","",IF(COUNTIFS(Data_Summary!$Y$2:$Y298,"Coverage",Data_Summary!$AA$2:$AA298,Data_Summary!AA298)=1,Data_Summary!AA298,"")))</f>
        <v/>
      </c>
      <c r="AK297" s="16" t="str">
        <f aca="false">IF(AJ297="","",COUNTIFS(Data_Summary!$Y$2:$Y$20001,"Coverage",Data_Summary!$AA$2:$AA$20001,AJ297))</f>
        <v/>
      </c>
    </row>
    <row r="298" customFormat="false" ht="12.75" hidden="false" customHeight="true" outlineLevel="0" collapsed="false">
      <c r="AJ298" s="16" t="str">
        <f aca="false">IF(Data_Summary!Y299&lt;&gt;"Coverage","",IF(Data_Summary!AA299="","",IF(COUNTIFS(Data_Summary!$Y$2:$Y299,"Coverage",Data_Summary!$AA$2:$AA299,Data_Summary!AA299)=1,Data_Summary!AA299,"")))</f>
        <v/>
      </c>
      <c r="AK298" s="16" t="str">
        <f aca="false">IF(AJ298="","",COUNTIFS(Data_Summary!$Y$2:$Y$20001,"Coverage",Data_Summary!$AA$2:$AA$20001,AJ298))</f>
        <v/>
      </c>
    </row>
    <row r="299" customFormat="false" ht="12.75" hidden="false" customHeight="true" outlineLevel="0" collapsed="false">
      <c r="AJ299" s="16" t="str">
        <f aca="false">IF(Data_Summary!Y300&lt;&gt;"Coverage","",IF(Data_Summary!AA300="","",IF(COUNTIFS(Data_Summary!$Y$2:$Y300,"Coverage",Data_Summary!$AA$2:$AA300,Data_Summary!AA300)=1,Data_Summary!AA300,"")))</f>
        <v/>
      </c>
      <c r="AK299" s="16" t="str">
        <f aca="false">IF(AJ299="","",COUNTIFS(Data_Summary!$Y$2:$Y$20001,"Coverage",Data_Summary!$AA$2:$AA$20001,AJ299))</f>
        <v/>
      </c>
    </row>
    <row r="300" customFormat="false" ht="12.75" hidden="false" customHeight="true" outlineLevel="0" collapsed="false">
      <c r="AJ300" s="16" t="str">
        <f aca="false">IF(Data_Summary!Y301&lt;&gt;"Coverage","",IF(Data_Summary!AA301="","",IF(COUNTIFS(Data_Summary!$Y$2:$Y301,"Coverage",Data_Summary!$AA$2:$AA301,Data_Summary!AA301)=1,Data_Summary!AA301,"")))</f>
        <v/>
      </c>
      <c r="AK300" s="16" t="str">
        <f aca="false">IF(AJ300="","",COUNTIFS(Data_Summary!$Y$2:$Y$20001,"Coverage",Data_Summary!$AA$2:$AA$20001,AJ300))</f>
        <v/>
      </c>
    </row>
    <row r="301" customFormat="false" ht="12.75" hidden="false" customHeight="true" outlineLevel="0" collapsed="false">
      <c r="AJ301" s="16" t="str">
        <f aca="false">IF(Data_Summary!Y302&lt;&gt;"Coverage","",IF(Data_Summary!AA302="","",IF(COUNTIFS(Data_Summary!$Y$2:$Y302,"Coverage",Data_Summary!$AA$2:$AA302,Data_Summary!AA302)=1,Data_Summary!AA302,"")))</f>
        <v/>
      </c>
      <c r="AK301" s="16" t="str">
        <f aca="false">IF(AJ301="","",COUNTIFS(Data_Summary!$Y$2:$Y$20001,"Coverage",Data_Summary!$AA$2:$AA$20001,AJ301))</f>
        <v/>
      </c>
    </row>
    <row r="302" customFormat="false" ht="12.75" hidden="false" customHeight="true" outlineLevel="0" collapsed="false">
      <c r="AJ302" s="16" t="str">
        <f aca="false">IF(Data_Summary!Y303&lt;&gt;"Coverage","",IF(Data_Summary!AA303="","",IF(COUNTIFS(Data_Summary!$Y$2:$Y303,"Coverage",Data_Summary!$AA$2:$AA303,Data_Summary!AA303)=1,Data_Summary!AA303,"")))</f>
        <v/>
      </c>
      <c r="AK302" s="16" t="str">
        <f aca="false">IF(AJ302="","",COUNTIFS(Data_Summary!$Y$2:$Y$20001,"Coverage",Data_Summary!$AA$2:$AA$20001,AJ302))</f>
        <v/>
      </c>
    </row>
    <row r="303" customFormat="false" ht="12.75" hidden="false" customHeight="true" outlineLevel="0" collapsed="false">
      <c r="AJ303" s="16" t="str">
        <f aca="false">IF(Data_Summary!Y304&lt;&gt;"Coverage","",IF(Data_Summary!AA304="","",IF(COUNTIFS(Data_Summary!$Y$2:$Y304,"Coverage",Data_Summary!$AA$2:$AA304,Data_Summary!AA304)=1,Data_Summary!AA304,"")))</f>
        <v/>
      </c>
      <c r="AK303" s="16" t="str">
        <f aca="false">IF(AJ303="","",COUNTIFS(Data_Summary!$Y$2:$Y$20001,"Coverage",Data_Summary!$AA$2:$AA$20001,AJ303))</f>
        <v/>
      </c>
    </row>
    <row r="304" customFormat="false" ht="12.75" hidden="false" customHeight="true" outlineLevel="0" collapsed="false">
      <c r="AJ304" s="16" t="str">
        <f aca="false">IF(Data_Summary!Y305&lt;&gt;"Coverage","",IF(Data_Summary!AA305="","",IF(COUNTIFS(Data_Summary!$Y$2:$Y305,"Coverage",Data_Summary!$AA$2:$AA305,Data_Summary!AA305)=1,Data_Summary!AA305,"")))</f>
        <v/>
      </c>
      <c r="AK304" s="16" t="str">
        <f aca="false">IF(AJ304="","",COUNTIFS(Data_Summary!$Y$2:$Y$20001,"Coverage",Data_Summary!$AA$2:$AA$20001,AJ304))</f>
        <v/>
      </c>
    </row>
    <row r="305" customFormat="false" ht="12.75" hidden="false" customHeight="true" outlineLevel="0" collapsed="false">
      <c r="AJ305" s="16" t="str">
        <f aca="false">IF(Data_Summary!Y306&lt;&gt;"Coverage","",IF(Data_Summary!AA306="","",IF(COUNTIFS(Data_Summary!$Y$2:$Y306,"Coverage",Data_Summary!$AA$2:$AA306,Data_Summary!AA306)=1,Data_Summary!AA306,"")))</f>
        <v/>
      </c>
      <c r="AK305" s="16" t="str">
        <f aca="false">IF(AJ305="","",COUNTIFS(Data_Summary!$Y$2:$Y$20001,"Coverage",Data_Summary!$AA$2:$AA$20001,AJ305))</f>
        <v/>
      </c>
    </row>
    <row r="306" customFormat="false" ht="12.75" hidden="false" customHeight="true" outlineLevel="0" collapsed="false">
      <c r="AJ306" s="16" t="str">
        <f aca="false">IF(Data_Summary!Y307&lt;&gt;"Coverage","",IF(Data_Summary!AA307="","",IF(COUNTIFS(Data_Summary!$Y$2:$Y307,"Coverage",Data_Summary!$AA$2:$AA307,Data_Summary!AA307)=1,Data_Summary!AA307,"")))</f>
        <v/>
      </c>
      <c r="AK306" s="16" t="str">
        <f aca="false">IF(AJ306="","",COUNTIFS(Data_Summary!$Y$2:$Y$20001,"Coverage",Data_Summary!$AA$2:$AA$20001,AJ306))</f>
        <v/>
      </c>
    </row>
    <row r="307" customFormat="false" ht="12.75" hidden="false" customHeight="true" outlineLevel="0" collapsed="false">
      <c r="AJ307" s="16" t="str">
        <f aca="false">IF(Data_Summary!Y308&lt;&gt;"Coverage","",IF(Data_Summary!AA308="","",IF(COUNTIFS(Data_Summary!$Y$2:$Y308,"Coverage",Data_Summary!$AA$2:$AA308,Data_Summary!AA308)=1,Data_Summary!AA308,"")))</f>
        <v/>
      </c>
      <c r="AK307" s="16" t="str">
        <f aca="false">IF(AJ307="","",COUNTIFS(Data_Summary!$Y$2:$Y$20001,"Coverage",Data_Summary!$AA$2:$AA$20001,AJ307))</f>
        <v/>
      </c>
    </row>
    <row r="308" customFormat="false" ht="12.75" hidden="false" customHeight="true" outlineLevel="0" collapsed="false">
      <c r="AJ308" s="16" t="str">
        <f aca="false">IF(Data_Summary!Y309&lt;&gt;"Coverage","",IF(Data_Summary!AA309="","",IF(COUNTIFS(Data_Summary!$Y$2:$Y309,"Coverage",Data_Summary!$AA$2:$AA309,Data_Summary!AA309)=1,Data_Summary!AA309,"")))</f>
        <v/>
      </c>
      <c r="AK308" s="16" t="str">
        <f aca="false">IF(AJ308="","",COUNTIFS(Data_Summary!$Y$2:$Y$20001,"Coverage",Data_Summary!$AA$2:$AA$20001,AJ308))</f>
        <v/>
      </c>
    </row>
    <row r="309" customFormat="false" ht="12.75" hidden="false" customHeight="true" outlineLevel="0" collapsed="false">
      <c r="AJ309" s="16" t="str">
        <f aca="false">IF(Data_Summary!Y310&lt;&gt;"Coverage","",IF(Data_Summary!AA310="","",IF(COUNTIFS(Data_Summary!$Y$2:$Y310,"Coverage",Data_Summary!$AA$2:$AA310,Data_Summary!AA310)=1,Data_Summary!AA310,"")))</f>
        <v/>
      </c>
      <c r="AK309" s="16" t="str">
        <f aca="false">IF(AJ309="","",COUNTIFS(Data_Summary!$Y$2:$Y$20001,"Coverage",Data_Summary!$AA$2:$AA$20001,AJ309))</f>
        <v/>
      </c>
    </row>
    <row r="310" customFormat="false" ht="12.75" hidden="false" customHeight="true" outlineLevel="0" collapsed="false">
      <c r="AJ310" s="16" t="str">
        <f aca="false">IF(Data_Summary!Y311&lt;&gt;"Coverage","",IF(Data_Summary!AA311="","",IF(COUNTIFS(Data_Summary!$Y$2:$Y311,"Coverage",Data_Summary!$AA$2:$AA311,Data_Summary!AA311)=1,Data_Summary!AA311,"")))</f>
        <v/>
      </c>
      <c r="AK310" s="16" t="str">
        <f aca="false">IF(AJ310="","",COUNTIFS(Data_Summary!$Y$2:$Y$20001,"Coverage",Data_Summary!$AA$2:$AA$20001,AJ310))</f>
        <v/>
      </c>
    </row>
    <row r="311" customFormat="false" ht="12.75" hidden="false" customHeight="true" outlineLevel="0" collapsed="false">
      <c r="AJ311" s="16" t="str">
        <f aca="false">IF(Data_Summary!Y312&lt;&gt;"Coverage","",IF(Data_Summary!AA312="","",IF(COUNTIFS(Data_Summary!$Y$2:$Y312,"Coverage",Data_Summary!$AA$2:$AA312,Data_Summary!AA312)=1,Data_Summary!AA312,"")))</f>
        <v/>
      </c>
      <c r="AK311" s="16" t="str">
        <f aca="false">IF(AJ311="","",COUNTIFS(Data_Summary!$Y$2:$Y$20001,"Coverage",Data_Summary!$AA$2:$AA$20001,AJ311))</f>
        <v/>
      </c>
    </row>
    <row r="312" customFormat="false" ht="12.75" hidden="false" customHeight="true" outlineLevel="0" collapsed="false">
      <c r="AJ312" s="16" t="str">
        <f aca="false">IF(Data_Summary!Y313&lt;&gt;"Coverage","",IF(Data_Summary!AA313="","",IF(COUNTIFS(Data_Summary!$Y$2:$Y313,"Coverage",Data_Summary!$AA$2:$AA313,Data_Summary!AA313)=1,Data_Summary!AA313,"")))</f>
        <v/>
      </c>
      <c r="AK312" s="16" t="str">
        <f aca="false">IF(AJ312="","",COUNTIFS(Data_Summary!$Y$2:$Y$20001,"Coverage",Data_Summary!$AA$2:$AA$20001,AJ312))</f>
        <v/>
      </c>
    </row>
    <row r="313" customFormat="false" ht="12.75" hidden="false" customHeight="true" outlineLevel="0" collapsed="false">
      <c r="AJ313" s="16" t="str">
        <f aca="false">IF(Data_Summary!Y314&lt;&gt;"Coverage","",IF(Data_Summary!AA314="","",IF(COUNTIFS(Data_Summary!$Y$2:$Y314,"Coverage",Data_Summary!$AA$2:$AA314,Data_Summary!AA314)=1,Data_Summary!AA314,"")))</f>
        <v/>
      </c>
      <c r="AK313" s="16" t="str">
        <f aca="false">IF(AJ313="","",COUNTIFS(Data_Summary!$Y$2:$Y$20001,"Coverage",Data_Summary!$AA$2:$AA$20001,AJ313))</f>
        <v/>
      </c>
    </row>
    <row r="314" customFormat="false" ht="12.75" hidden="false" customHeight="true" outlineLevel="0" collapsed="false">
      <c r="AJ314" s="16" t="str">
        <f aca="false">IF(Data_Summary!Y315&lt;&gt;"Coverage","",IF(Data_Summary!AA315="","",IF(COUNTIFS(Data_Summary!$Y$2:$Y315,"Coverage",Data_Summary!$AA$2:$AA315,Data_Summary!AA315)=1,Data_Summary!AA315,"")))</f>
        <v/>
      </c>
      <c r="AK314" s="16" t="str">
        <f aca="false">IF(AJ314="","",COUNTIFS(Data_Summary!$Y$2:$Y$20001,"Coverage",Data_Summary!$AA$2:$AA$20001,AJ314))</f>
        <v/>
      </c>
    </row>
    <row r="315" customFormat="false" ht="12.75" hidden="false" customHeight="true" outlineLevel="0" collapsed="false">
      <c r="AJ315" s="16" t="str">
        <f aca="false">IF(Data_Summary!Y316&lt;&gt;"Coverage","",IF(Data_Summary!AA316="","",IF(COUNTIFS(Data_Summary!$Y$2:$Y316,"Coverage",Data_Summary!$AA$2:$AA316,Data_Summary!AA316)=1,Data_Summary!AA316,"")))</f>
        <v>BGV queries</v>
      </c>
      <c r="AK315" s="16" t="n">
        <f aca="false">IF(AJ315="","",COUNTIFS(Data_Summary!$Y$2:$Y$20001,"Coverage",Data_Summary!$AA$2:$AA$20001,AJ315))</f>
        <v>3</v>
      </c>
    </row>
    <row r="316" customFormat="false" ht="12.75" hidden="false" customHeight="true" outlineLevel="0" collapsed="false">
      <c r="AJ316" s="16" t="str">
        <f aca="false">IF(Data_Summary!Y317&lt;&gt;"Coverage","",IF(Data_Summary!AA317="","",IF(COUNTIFS(Data_Summary!$Y$2:$Y317,"Coverage",Data_Summary!$AA$2:$AA317,Data_Summary!AA317)=1,Data_Summary!AA317,"")))</f>
        <v/>
      </c>
      <c r="AK316" s="16" t="str">
        <f aca="false">IF(AJ316="","",COUNTIFS(Data_Summary!$Y$2:$Y$20001,"Coverage",Data_Summary!$AA$2:$AA$20001,AJ316))</f>
        <v/>
      </c>
    </row>
    <row r="317" customFormat="false" ht="12.75" hidden="false" customHeight="true" outlineLevel="0" collapsed="false">
      <c r="AJ317" s="16" t="str">
        <f aca="false">IF(Data_Summary!Y318&lt;&gt;"Coverage","",IF(Data_Summary!AA318="","",IF(COUNTIFS(Data_Summary!$Y$2:$Y318,"Coverage",Data_Summary!$AA$2:$AA318,Data_Summary!AA318)=1,Data_Summary!AA318,"")))</f>
        <v/>
      </c>
      <c r="AK317" s="16" t="str">
        <f aca="false">IF(AJ317="","",COUNTIFS(Data_Summary!$Y$2:$Y$20001,"Coverage",Data_Summary!$AA$2:$AA$20001,AJ317))</f>
        <v/>
      </c>
    </row>
    <row r="318" customFormat="false" ht="12.75" hidden="false" customHeight="true" outlineLevel="0" collapsed="false">
      <c r="AJ318" s="16" t="str">
        <f aca="false">IF(Data_Summary!Y319&lt;&gt;"Coverage","",IF(Data_Summary!AA319="","",IF(COUNTIFS(Data_Summary!$Y$2:$Y319,"Coverage",Data_Summary!$AA$2:$AA319,Data_Summary!AA319)=1,Data_Summary!AA319,"")))</f>
        <v/>
      </c>
      <c r="AK318" s="16" t="str">
        <f aca="false">IF(AJ318="","",COUNTIFS(Data_Summary!$Y$2:$Y$20001,"Coverage",Data_Summary!$AA$2:$AA$20001,AJ318))</f>
        <v/>
      </c>
    </row>
    <row r="319" customFormat="false" ht="12.75" hidden="false" customHeight="true" outlineLevel="0" collapsed="false">
      <c r="AJ319" s="16" t="str">
        <f aca="false">IF(Data_Summary!Y320&lt;&gt;"Coverage","",IF(Data_Summary!AA320="","",IF(COUNTIFS(Data_Summary!$Y$2:$Y320,"Coverage",Data_Summary!$AA$2:$AA320,Data_Summary!AA320)=1,Data_Summary!AA320,"")))</f>
        <v/>
      </c>
      <c r="AK319" s="16" t="str">
        <f aca="false">IF(AJ319="","",COUNTIFS(Data_Summary!$Y$2:$Y$20001,"Coverage",Data_Summary!$AA$2:$AA$20001,AJ319))</f>
        <v/>
      </c>
    </row>
    <row r="320" customFormat="false" ht="12.75" hidden="false" customHeight="true" outlineLevel="0" collapsed="false">
      <c r="AJ320" s="16" t="str">
        <f aca="false">IF(Data_Summary!Y321&lt;&gt;"Coverage","",IF(Data_Summary!AA321="","",IF(COUNTIFS(Data_Summary!$Y$2:$Y321,"Coverage",Data_Summary!$AA$2:$AA321,Data_Summary!AA321)=1,Data_Summary!AA321,"")))</f>
        <v/>
      </c>
      <c r="AK320" s="16" t="str">
        <f aca="false">IF(AJ320="","",COUNTIFS(Data_Summary!$Y$2:$Y$20001,"Coverage",Data_Summary!$AA$2:$AA$20001,AJ320))</f>
        <v/>
      </c>
    </row>
    <row r="321" customFormat="false" ht="12.75" hidden="false" customHeight="true" outlineLevel="0" collapsed="false">
      <c r="AJ321" s="16" t="str">
        <f aca="false">IF(Data_Summary!Y322&lt;&gt;"Coverage","",IF(Data_Summary!AA322="","",IF(COUNTIFS(Data_Summary!$Y$2:$Y322,"Coverage",Data_Summary!$AA$2:$AA322,Data_Summary!AA322)=1,Data_Summary!AA322,"")))</f>
        <v/>
      </c>
      <c r="AK321" s="16" t="str">
        <f aca="false">IF(AJ321="","",COUNTIFS(Data_Summary!$Y$2:$Y$20001,"Coverage",Data_Summary!$AA$2:$AA$20001,AJ321))</f>
        <v/>
      </c>
    </row>
    <row r="322" customFormat="false" ht="12.75" hidden="false" customHeight="true" outlineLevel="0" collapsed="false">
      <c r="AJ322" s="16" t="str">
        <f aca="false">IF(Data_Summary!Y323&lt;&gt;"Coverage","",IF(Data_Summary!AA323="","",IF(COUNTIFS(Data_Summary!$Y$2:$Y323,"Coverage",Data_Summary!$AA$2:$AA323,Data_Summary!AA323)=1,Data_Summary!AA323,"")))</f>
        <v/>
      </c>
      <c r="AK322" s="16" t="str">
        <f aca="false">IF(AJ322="","",COUNTIFS(Data_Summary!$Y$2:$Y$20001,"Coverage",Data_Summary!$AA$2:$AA$20001,AJ322))</f>
        <v/>
      </c>
    </row>
    <row r="323" customFormat="false" ht="12.75" hidden="false" customHeight="true" outlineLevel="0" collapsed="false">
      <c r="AJ323" s="16" t="str">
        <f aca="false">IF(Data_Summary!Y324&lt;&gt;"Coverage","",IF(Data_Summary!AA324="","",IF(COUNTIFS(Data_Summary!$Y$2:$Y324,"Coverage",Data_Summary!$AA$2:$AA324,Data_Summary!AA324)=1,Data_Summary!AA324,"")))</f>
        <v>Stress &amp; Burnout Management</v>
      </c>
      <c r="AK323" s="16" t="n">
        <f aca="false">IF(AJ323="","",COUNTIFS(Data_Summary!$Y$2:$Y$20001,"Coverage",Data_Summary!$AA$2:$AA$20001,AJ323))</f>
        <v>1</v>
      </c>
    </row>
    <row r="324" customFormat="false" ht="12.75" hidden="false" customHeight="true" outlineLevel="0" collapsed="false">
      <c r="AJ324" s="16" t="str">
        <f aca="false">IF(Data_Summary!Y325&lt;&gt;"Coverage","",IF(Data_Summary!AA325="","",IF(COUNTIFS(Data_Summary!$Y$2:$Y325,"Coverage",Data_Summary!$AA$2:$AA325,Data_Summary!AA325)=1,Data_Summary!AA325,"")))</f>
        <v/>
      </c>
      <c r="AK324" s="16" t="str">
        <f aca="false">IF(AJ324="","",COUNTIFS(Data_Summary!$Y$2:$Y$20001,"Coverage",Data_Summary!$AA$2:$AA$20001,AJ324))</f>
        <v/>
      </c>
    </row>
    <row r="325" customFormat="false" ht="12.75" hidden="false" customHeight="true" outlineLevel="0" collapsed="false">
      <c r="AJ325" s="16" t="str">
        <f aca="false">IF(Data_Summary!Y326&lt;&gt;"Coverage","",IF(Data_Summary!AA326="","",IF(COUNTIFS(Data_Summary!$Y$2:$Y326,"Coverage",Data_Summary!$AA$2:$AA326,Data_Summary!AA326)=1,Data_Summary!AA326,"")))</f>
        <v/>
      </c>
      <c r="AK325" s="16" t="str">
        <f aca="false">IF(AJ325="","",COUNTIFS(Data_Summary!$Y$2:$Y$20001,"Coverage",Data_Summary!$AA$2:$AA$20001,AJ325))</f>
        <v/>
      </c>
    </row>
    <row r="326" customFormat="false" ht="12.75" hidden="false" customHeight="true" outlineLevel="0" collapsed="false">
      <c r="AJ326" s="16" t="str">
        <f aca="false">IF(Data_Summary!Y327&lt;&gt;"Coverage","",IF(Data_Summary!AA327="","",IF(COUNTIFS(Data_Summary!$Y$2:$Y327,"Coverage",Data_Summary!$AA$2:$AA327,Data_Summary!AA327)=1,Data_Summary!AA327,"")))</f>
        <v/>
      </c>
      <c r="AK326" s="16" t="str">
        <f aca="false">IF(AJ326="","",COUNTIFS(Data_Summary!$Y$2:$Y$20001,"Coverage",Data_Summary!$AA$2:$AA$20001,AJ326))</f>
        <v/>
      </c>
    </row>
    <row r="327" customFormat="false" ht="12.75" hidden="false" customHeight="true" outlineLevel="0" collapsed="false">
      <c r="AJ327" s="16" t="str">
        <f aca="false">IF(Data_Summary!Y328&lt;&gt;"Coverage","",IF(Data_Summary!AA328="","",IF(COUNTIFS(Data_Summary!$Y$2:$Y328,"Coverage",Data_Summary!$AA$2:$AA328,Data_Summary!AA328)=1,Data_Summary!AA328,"")))</f>
        <v/>
      </c>
      <c r="AK327" s="16" t="str">
        <f aca="false">IF(AJ327="","",COUNTIFS(Data_Summary!$Y$2:$Y$20001,"Coverage",Data_Summary!$AA$2:$AA$20001,AJ327))</f>
        <v/>
      </c>
    </row>
    <row r="328" customFormat="false" ht="12.75" hidden="false" customHeight="true" outlineLevel="0" collapsed="false">
      <c r="AJ328" s="16" t="str">
        <f aca="false">IF(Data_Summary!Y329&lt;&gt;"Coverage","",IF(Data_Summary!AA329="","",IF(COUNTIFS(Data_Summary!$Y$2:$Y329,"Coverage",Data_Summary!$AA$2:$AA329,Data_Summary!AA329)=1,Data_Summary!AA329,"")))</f>
        <v/>
      </c>
      <c r="AK328" s="16" t="str">
        <f aca="false">IF(AJ328="","",COUNTIFS(Data_Summary!$Y$2:$Y$20001,"Coverage",Data_Summary!$AA$2:$AA$20001,AJ328))</f>
        <v/>
      </c>
    </row>
    <row r="329" customFormat="false" ht="12.75" hidden="false" customHeight="true" outlineLevel="0" collapsed="false">
      <c r="AJ329" s="16" t="str">
        <f aca="false">IF(Data_Summary!Y330&lt;&gt;"Coverage","",IF(Data_Summary!AA330="","",IF(COUNTIFS(Data_Summary!$Y$2:$Y330,"Coverage",Data_Summary!$AA$2:$AA330,Data_Summary!AA330)=1,Data_Summary!AA330,"")))</f>
        <v/>
      </c>
      <c r="AK329" s="16" t="str">
        <f aca="false">IF(AJ329="","",COUNTIFS(Data_Summary!$Y$2:$Y$20001,"Coverage",Data_Summary!$AA$2:$AA$20001,AJ329))</f>
        <v/>
      </c>
    </row>
    <row r="330" customFormat="false" ht="12.75" hidden="false" customHeight="true" outlineLevel="0" collapsed="false">
      <c r="AJ330" s="16" t="str">
        <f aca="false">IF(Data_Summary!Y331&lt;&gt;"Coverage","",IF(Data_Summary!AA331="","",IF(COUNTIFS(Data_Summary!$Y$2:$Y331,"Coverage",Data_Summary!$AA$2:$AA331,Data_Summary!AA331)=1,Data_Summary!AA331,"")))</f>
        <v/>
      </c>
      <c r="AK330" s="16" t="str">
        <f aca="false">IF(AJ330="","",COUNTIFS(Data_Summary!$Y$2:$Y$20001,"Coverage",Data_Summary!$AA$2:$AA$20001,AJ330))</f>
        <v/>
      </c>
    </row>
    <row r="331" customFormat="false" ht="12.75" hidden="false" customHeight="true" outlineLevel="0" collapsed="false">
      <c r="AJ331" s="16" t="str">
        <f aca="false">IF(Data_Summary!Y332&lt;&gt;"Coverage","",IF(Data_Summary!AA332="","",IF(COUNTIFS(Data_Summary!$Y$2:$Y332,"Coverage",Data_Summary!$AA$2:$AA332,Data_Summary!AA332)=1,Data_Summary!AA332,"")))</f>
        <v/>
      </c>
      <c r="AK331" s="16" t="str">
        <f aca="false">IF(AJ331="","",COUNTIFS(Data_Summary!$Y$2:$Y$20001,"Coverage",Data_Summary!$AA$2:$AA$20001,AJ331))</f>
        <v/>
      </c>
    </row>
    <row r="332" customFormat="false" ht="12.75" hidden="false" customHeight="true" outlineLevel="0" collapsed="false">
      <c r="AJ332" s="16" t="str">
        <f aca="false">IF(Data_Summary!Y333&lt;&gt;"Coverage","",IF(Data_Summary!AA333="","",IF(COUNTIFS(Data_Summary!$Y$2:$Y333,"Coverage",Data_Summary!$AA$2:$AA333,Data_Summary!AA333)=1,Data_Summary!AA333,"")))</f>
        <v/>
      </c>
      <c r="AK332" s="16" t="str">
        <f aca="false">IF(AJ332="","",COUNTIFS(Data_Summary!$Y$2:$Y$20001,"Coverage",Data_Summary!$AA$2:$AA$20001,AJ332))</f>
        <v/>
      </c>
    </row>
    <row r="333" customFormat="false" ht="12.75" hidden="false" customHeight="true" outlineLevel="0" collapsed="false">
      <c r="AJ333" s="16" t="str">
        <f aca="false">IF(Data_Summary!Y334&lt;&gt;"Coverage","",IF(Data_Summary!AA334="","",IF(COUNTIFS(Data_Summary!$Y$2:$Y334,"Coverage",Data_Summary!$AA$2:$AA334,Data_Summary!AA334)=1,Data_Summary!AA334,"")))</f>
        <v/>
      </c>
      <c r="AK333" s="16" t="str">
        <f aca="false">IF(AJ333="","",COUNTIFS(Data_Summary!$Y$2:$Y$20001,"Coverage",Data_Summary!$AA$2:$AA$20001,AJ333))</f>
        <v/>
      </c>
    </row>
    <row r="334" customFormat="false" ht="12.75" hidden="false" customHeight="true" outlineLevel="0" collapsed="false">
      <c r="AJ334" s="16" t="str">
        <f aca="false">IF(Data_Summary!Y335&lt;&gt;"Coverage","",IF(Data_Summary!AA335="","",IF(COUNTIFS(Data_Summary!$Y$2:$Y335,"Coverage",Data_Summary!$AA$2:$AA335,Data_Summary!AA335)=1,Data_Summary!AA335,"")))</f>
        <v/>
      </c>
      <c r="AK334" s="16" t="str">
        <f aca="false">IF(AJ334="","",COUNTIFS(Data_Summary!$Y$2:$Y$20001,"Coverage",Data_Summary!$AA$2:$AA$20001,AJ334))</f>
        <v/>
      </c>
    </row>
    <row r="335" customFormat="false" ht="12.75" hidden="false" customHeight="true" outlineLevel="0" collapsed="false">
      <c r="AJ335" s="16" t="str">
        <f aca="false">IF(Data_Summary!Y336&lt;&gt;"Coverage","",IF(Data_Summary!AA336="","",IF(COUNTIFS(Data_Summary!$Y$2:$Y336,"Coverage",Data_Summary!$AA$2:$AA336,Data_Summary!AA336)=1,Data_Summary!AA336,"")))</f>
        <v/>
      </c>
      <c r="AK335" s="16" t="str">
        <f aca="false">IF(AJ335="","",COUNTIFS(Data_Summary!$Y$2:$Y$20001,"Coverage",Data_Summary!$AA$2:$AA$20001,AJ335))</f>
        <v/>
      </c>
    </row>
    <row r="336" customFormat="false" ht="12.75" hidden="false" customHeight="true" outlineLevel="0" collapsed="false">
      <c r="AJ336" s="16" t="str">
        <f aca="false">IF(Data_Summary!Y337&lt;&gt;"Coverage","",IF(Data_Summary!AA337="","",IF(COUNTIFS(Data_Summary!$Y$2:$Y337,"Coverage",Data_Summary!$AA$2:$AA337,Data_Summary!AA337)=1,Data_Summary!AA337,"")))</f>
        <v/>
      </c>
      <c r="AK336" s="16" t="str">
        <f aca="false">IF(AJ336="","",COUNTIFS(Data_Summary!$Y$2:$Y$20001,"Coverage",Data_Summary!$AA$2:$AA$20001,AJ336))</f>
        <v/>
      </c>
    </row>
    <row r="337" customFormat="false" ht="12.75" hidden="false" customHeight="true" outlineLevel="0" collapsed="false">
      <c r="AJ337" s="16" t="str">
        <f aca="false">IF(Data_Summary!Y338&lt;&gt;"Coverage","",IF(Data_Summary!AA338="","",IF(COUNTIFS(Data_Summary!$Y$2:$Y338,"Coverage",Data_Summary!$AA$2:$AA338,Data_Summary!AA338)=1,Data_Summary!AA338,"")))</f>
        <v/>
      </c>
      <c r="AK337" s="16" t="str">
        <f aca="false">IF(AJ337="","",COUNTIFS(Data_Summary!$Y$2:$Y$20001,"Coverage",Data_Summary!$AA$2:$AA$20001,AJ337))</f>
        <v/>
      </c>
    </row>
    <row r="338" customFormat="false" ht="12.75" hidden="false" customHeight="true" outlineLevel="0" collapsed="false">
      <c r="AJ338" s="16" t="str">
        <f aca="false">IF(Data_Summary!Y339&lt;&gt;"Coverage","",IF(Data_Summary!AA339="","",IF(COUNTIFS(Data_Summary!$Y$2:$Y339,"Coverage",Data_Summary!$AA$2:$AA339,Data_Summary!AA339)=1,Data_Summary!AA339,"")))</f>
        <v/>
      </c>
      <c r="AK338" s="16" t="str">
        <f aca="false">IF(AJ338="","",COUNTIFS(Data_Summary!$Y$2:$Y$20001,"Coverage",Data_Summary!$AA$2:$AA$20001,AJ338))</f>
        <v/>
      </c>
    </row>
    <row r="339" customFormat="false" ht="12.75" hidden="false" customHeight="true" outlineLevel="0" collapsed="false">
      <c r="AJ339" s="16" t="str">
        <f aca="false">IF(Data_Summary!Y340&lt;&gt;"Coverage","",IF(Data_Summary!AA340="","",IF(COUNTIFS(Data_Summary!$Y$2:$Y340,"Coverage",Data_Summary!$AA$2:$AA340,Data_Summary!AA340)=1,Data_Summary!AA340,"")))</f>
        <v/>
      </c>
      <c r="AK339" s="16" t="str">
        <f aca="false">IF(AJ339="","",COUNTIFS(Data_Summary!$Y$2:$Y$20001,"Coverage",Data_Summary!$AA$2:$AA$20001,AJ339))</f>
        <v/>
      </c>
    </row>
    <row r="340" customFormat="false" ht="12.75" hidden="false" customHeight="true" outlineLevel="0" collapsed="false">
      <c r="AJ340" s="16" t="str">
        <f aca="false">IF(Data_Summary!Y341&lt;&gt;"Coverage","",IF(Data_Summary!AA341="","",IF(COUNTIFS(Data_Summary!$Y$2:$Y341,"Coverage",Data_Summary!$AA$2:$AA341,Data_Summary!AA341)=1,Data_Summary!AA341,"")))</f>
        <v/>
      </c>
      <c r="AK340" s="16" t="str">
        <f aca="false">IF(AJ340="","",COUNTIFS(Data_Summary!$Y$2:$Y$20001,"Coverage",Data_Summary!$AA$2:$AA$20001,AJ340))</f>
        <v/>
      </c>
    </row>
    <row r="341" customFormat="false" ht="12.75" hidden="false" customHeight="true" outlineLevel="0" collapsed="false">
      <c r="AJ341" s="16" t="str">
        <f aca="false">IF(Data_Summary!Y342&lt;&gt;"Coverage","",IF(Data_Summary!AA342="","",IF(COUNTIFS(Data_Summary!$Y$2:$Y342,"Coverage",Data_Summary!$AA$2:$AA342,Data_Summary!AA342)=1,Data_Summary!AA342,"")))</f>
        <v/>
      </c>
      <c r="AK341" s="16" t="str">
        <f aca="false">IF(AJ341="","",COUNTIFS(Data_Summary!$Y$2:$Y$20001,"Coverage",Data_Summary!$AA$2:$AA$20001,AJ341))</f>
        <v/>
      </c>
    </row>
    <row r="342" customFormat="false" ht="12.75" hidden="false" customHeight="true" outlineLevel="0" collapsed="false">
      <c r="AJ342" s="16" t="str">
        <f aca="false">IF(Data_Summary!Y343&lt;&gt;"Coverage","",IF(Data_Summary!AA343="","",IF(COUNTIFS(Data_Summary!$Y$2:$Y343,"Coverage",Data_Summary!$AA$2:$AA343,Data_Summary!AA343)=1,Data_Summary!AA343,"")))</f>
        <v>Tool &amp; System Access</v>
      </c>
      <c r="AK342" s="16" t="n">
        <f aca="false">IF(AJ342="","",COUNTIFS(Data_Summary!$Y$2:$Y$20001,"Coverage",Data_Summary!$AA$2:$AA$20001,AJ342))</f>
        <v>3</v>
      </c>
    </row>
    <row r="343" customFormat="false" ht="12.75" hidden="false" customHeight="true" outlineLevel="0" collapsed="false">
      <c r="AJ343" s="16" t="str">
        <f aca="false">IF(Data_Summary!Y344&lt;&gt;"Coverage","",IF(Data_Summary!AA344="","",IF(COUNTIFS(Data_Summary!$Y$2:$Y344,"Coverage",Data_Summary!$AA$2:$AA344,Data_Summary!AA344)=1,Data_Summary!AA344,"")))</f>
        <v>Initial Organization Understanding</v>
      </c>
      <c r="AK343" s="16" t="n">
        <f aca="false">IF(AJ343="","",COUNTIFS(Data_Summary!$Y$2:$Y$20001,"Coverage",Data_Summary!$AA$2:$AA$20001,AJ343))</f>
        <v>2</v>
      </c>
    </row>
    <row r="344" customFormat="false" ht="12.75" hidden="false" customHeight="true" outlineLevel="0" collapsed="false">
      <c r="AJ344" s="16" t="str">
        <f aca="false">IF(Data_Summary!Y345&lt;&gt;"Coverage","",IF(Data_Summary!AA345="","",IF(COUNTIFS(Data_Summary!$Y$2:$Y345,"Coverage",Data_Summary!$AA$2:$AA345,Data_Summary!AA345)=1,Data_Summary!AA345,"")))</f>
        <v/>
      </c>
      <c r="AK344" s="16" t="str">
        <f aca="false">IF(AJ344="","",COUNTIFS(Data_Summary!$Y$2:$Y$20001,"Coverage",Data_Summary!$AA$2:$AA$20001,AJ344))</f>
        <v/>
      </c>
    </row>
    <row r="345" customFormat="false" ht="12.75" hidden="false" customHeight="true" outlineLevel="0" collapsed="false">
      <c r="AJ345" s="16" t="str">
        <f aca="false">IF(Data_Summary!Y346&lt;&gt;"Coverage","",IF(Data_Summary!AA346="","",IF(COUNTIFS(Data_Summary!$Y$2:$Y346,"Coverage",Data_Summary!$AA$2:$AA346,Data_Summary!AA346)=1,Data_Summary!AA346,"")))</f>
        <v/>
      </c>
      <c r="AK345" s="16" t="str">
        <f aca="false">IF(AJ345="","",COUNTIFS(Data_Summary!$Y$2:$Y$20001,"Coverage",Data_Summary!$AA$2:$AA$20001,AJ345))</f>
        <v/>
      </c>
    </row>
    <row r="346" customFormat="false" ht="12.75" hidden="false" customHeight="true" outlineLevel="0" collapsed="false">
      <c r="AJ346" s="16" t="str">
        <f aca="false">IF(Data_Summary!Y347&lt;&gt;"Coverage","",IF(Data_Summary!AA347="","",IF(COUNTIFS(Data_Summary!$Y$2:$Y347,"Coverage",Data_Summary!$AA$2:$AA347,Data_Summary!AA347)=1,Data_Summary!AA347,"")))</f>
        <v/>
      </c>
      <c r="AK346" s="16" t="str">
        <f aca="false">IF(AJ346="","",COUNTIFS(Data_Summary!$Y$2:$Y$20001,"Coverage",Data_Summary!$AA$2:$AA$20001,AJ346))</f>
        <v/>
      </c>
    </row>
    <row r="347" customFormat="false" ht="12.75" hidden="false" customHeight="true" outlineLevel="0" collapsed="false">
      <c r="AJ347" s="16" t="str">
        <f aca="false">IF(Data_Summary!Y348&lt;&gt;"Coverage","",IF(Data_Summary!AA348="","",IF(COUNTIFS(Data_Summary!$Y$2:$Y348,"Coverage",Data_Summary!$AA$2:$AA348,Data_Summary!AA348)=1,Data_Summary!AA348,"")))</f>
        <v/>
      </c>
      <c r="AK347" s="16" t="str">
        <f aca="false">IF(AJ347="","",COUNTIFS(Data_Summary!$Y$2:$Y$20001,"Coverage",Data_Summary!$AA$2:$AA$20001,AJ347))</f>
        <v/>
      </c>
    </row>
    <row r="348" customFormat="false" ht="12.75" hidden="false" customHeight="true" outlineLevel="0" collapsed="false">
      <c r="AJ348" s="16" t="str">
        <f aca="false">IF(Data_Summary!Y349&lt;&gt;"Coverage","",IF(Data_Summary!AA349="","",IF(COUNTIFS(Data_Summary!$Y$2:$Y349,"Coverage",Data_Summary!$AA$2:$AA349,Data_Summary!AA349)=1,Data_Summary!AA349,"")))</f>
        <v>Learning Curve Support</v>
      </c>
      <c r="AK348" s="16" t="n">
        <f aca="false">IF(AJ348="","",COUNTIFS(Data_Summary!$Y$2:$Y$20001,"Coverage",Data_Summary!$AA$2:$AA$20001,AJ348))</f>
        <v>1</v>
      </c>
    </row>
    <row r="349" customFormat="false" ht="12.75" hidden="false" customHeight="true" outlineLevel="0" collapsed="false">
      <c r="AJ349" s="16" t="str">
        <f aca="false">IF(Data_Summary!Y350&lt;&gt;"Coverage","",IF(Data_Summary!AA350="","",IF(COUNTIFS(Data_Summary!$Y$2:$Y350,"Coverage",Data_Summary!$AA$2:$AA350,Data_Summary!AA350)=1,Data_Summary!AA350,"")))</f>
        <v/>
      </c>
      <c r="AK349" s="16" t="str">
        <f aca="false">IF(AJ349="","",COUNTIFS(Data_Summary!$Y$2:$Y$20001,"Coverage",Data_Summary!$AA$2:$AA$20001,AJ349))</f>
        <v/>
      </c>
    </row>
    <row r="350" customFormat="false" ht="12.75" hidden="false" customHeight="true" outlineLevel="0" collapsed="false">
      <c r="AJ350" s="16" t="str">
        <f aca="false">IF(Data_Summary!Y351&lt;&gt;"Coverage","",IF(Data_Summary!AA351="","",IF(COUNTIFS(Data_Summary!$Y$2:$Y351,"Coverage",Data_Summary!$AA$2:$AA351,Data_Summary!AA351)=1,Data_Summary!AA351,"")))</f>
        <v/>
      </c>
      <c r="AK350" s="16" t="str">
        <f aca="false">IF(AJ350="","",COUNTIFS(Data_Summary!$Y$2:$Y$20001,"Coverage",Data_Summary!$AA$2:$AA$20001,AJ350))</f>
        <v/>
      </c>
    </row>
    <row r="351" customFormat="false" ht="12.75" hidden="false" customHeight="true" outlineLevel="0" collapsed="false">
      <c r="AJ351" s="16" t="str">
        <f aca="false">IF(Data_Summary!Y352&lt;&gt;"Coverage","",IF(Data_Summary!AA352="","",IF(COUNTIFS(Data_Summary!$Y$2:$Y352,"Coverage",Data_Summary!$AA$2:$AA352,Data_Summary!AA352)=1,Data_Summary!AA352,"")))</f>
        <v/>
      </c>
      <c r="AK351" s="16" t="str">
        <f aca="false">IF(AJ351="","",COUNTIFS(Data_Summary!$Y$2:$Y$20001,"Coverage",Data_Summary!$AA$2:$AA$20001,AJ351))</f>
        <v/>
      </c>
    </row>
    <row r="352" customFormat="false" ht="12.75" hidden="false" customHeight="true" outlineLevel="0" collapsed="false">
      <c r="AJ352" s="16" t="str">
        <f aca="false">IF(Data_Summary!Y353&lt;&gt;"Coverage","",IF(Data_Summary!AA353="","",IF(COUNTIFS(Data_Summary!$Y$2:$Y353,"Coverage",Data_Summary!$AA$2:$AA353,Data_Summary!AA353)=1,Data_Summary!AA353,"")))</f>
        <v/>
      </c>
      <c r="AK352" s="16" t="str">
        <f aca="false">IF(AJ352="","",COUNTIFS(Data_Summary!$Y$2:$Y$20001,"Coverage",Data_Summary!$AA$2:$AA$20001,AJ352))</f>
        <v/>
      </c>
    </row>
    <row r="353" customFormat="false" ht="12.75" hidden="false" customHeight="true" outlineLevel="0" collapsed="false">
      <c r="AJ353" s="16" t="str">
        <f aca="false">IF(Data_Summary!Y354&lt;&gt;"Coverage","",IF(Data_Summary!AA354="","",IF(COUNTIFS(Data_Summary!$Y$2:$Y354,"Coverage",Data_Summary!$AA$2:$AA354,Data_Summary!AA354)=1,Data_Summary!AA354,"")))</f>
        <v/>
      </c>
      <c r="AK353" s="16" t="str">
        <f aca="false">IF(AJ353="","",COUNTIFS(Data_Summary!$Y$2:$Y$20001,"Coverage",Data_Summary!$AA$2:$AA$20001,AJ353))</f>
        <v/>
      </c>
    </row>
    <row r="354" customFormat="false" ht="12.75" hidden="false" customHeight="true" outlineLevel="0" collapsed="false">
      <c r="AJ354" s="16" t="str">
        <f aca="false">IF(Data_Summary!Y355&lt;&gt;"Coverage","",IF(Data_Summary!AA355="","",IF(COUNTIFS(Data_Summary!$Y$2:$Y355,"Coverage",Data_Summary!$AA$2:$AA355,Data_Summary!AA355)=1,Data_Summary!AA355,"")))</f>
        <v/>
      </c>
      <c r="AK354" s="16" t="str">
        <f aca="false">IF(AJ354="","",COUNTIFS(Data_Summary!$Y$2:$Y$20001,"Coverage",Data_Summary!$AA$2:$AA$20001,AJ354))</f>
        <v/>
      </c>
    </row>
    <row r="355" customFormat="false" ht="12.75" hidden="false" customHeight="true" outlineLevel="0" collapsed="false">
      <c r="AJ355" s="16" t="str">
        <f aca="false">IF(Data_Summary!Y356&lt;&gt;"Coverage","",IF(Data_Summary!AA356="","",IF(COUNTIFS(Data_Summary!$Y$2:$Y356,"Coverage",Data_Summary!$AA$2:$AA356,Data_Summary!AA356)=1,Data_Summary!AA356,"")))</f>
        <v/>
      </c>
      <c r="AK355" s="16" t="str">
        <f aca="false">IF(AJ355="","",COUNTIFS(Data_Summary!$Y$2:$Y$20001,"Coverage",Data_Summary!$AA$2:$AA$20001,AJ355))</f>
        <v/>
      </c>
    </row>
    <row r="356" customFormat="false" ht="12.75" hidden="false" customHeight="true" outlineLevel="0" collapsed="false">
      <c r="AJ356" s="16" t="str">
        <f aca="false">IF(Data_Summary!Y357&lt;&gt;"Coverage","",IF(Data_Summary!AA357="","",IF(COUNTIFS(Data_Summary!$Y$2:$Y357,"Coverage",Data_Summary!$AA$2:$AA357,Data_Summary!AA357)=1,Data_Summary!AA357,"")))</f>
        <v/>
      </c>
      <c r="AK356" s="16" t="str">
        <f aca="false">IF(AJ356="","",COUNTIFS(Data_Summary!$Y$2:$Y$20001,"Coverage",Data_Summary!$AA$2:$AA$20001,AJ356))</f>
        <v/>
      </c>
    </row>
    <row r="357" customFormat="false" ht="12.75" hidden="false" customHeight="true" outlineLevel="0" collapsed="false">
      <c r="AJ357" s="16" t="str">
        <f aca="false">IF(Data_Summary!Y358&lt;&gt;"Coverage","",IF(Data_Summary!AA358="","",IF(COUNTIFS(Data_Summary!$Y$2:$Y358,"Coverage",Data_Summary!$AA$2:$AA358,Data_Summary!AA358)=1,Data_Summary!AA358,"")))</f>
        <v>Long-Term Role Alignment</v>
      </c>
      <c r="AK357" s="16" t="n">
        <f aca="false">IF(AJ357="","",COUNTIFS(Data_Summary!$Y$2:$Y$20001,"Coverage",Data_Summary!$AA$2:$AA$20001,AJ357))</f>
        <v>1</v>
      </c>
    </row>
    <row r="358" customFormat="false" ht="12.75" hidden="false" customHeight="true" outlineLevel="0" collapsed="false">
      <c r="AJ358" s="16" t="str">
        <f aca="false">IF(Data_Summary!Y359&lt;&gt;"Coverage","",IF(Data_Summary!AA359="","",IF(COUNTIFS(Data_Summary!$Y$2:$Y359,"Coverage",Data_Summary!$AA$2:$AA359,Data_Summary!AA359)=1,Data_Summary!AA359,"")))</f>
        <v/>
      </c>
      <c r="AK358" s="16" t="str">
        <f aca="false">IF(AJ358="","",COUNTIFS(Data_Summary!$Y$2:$Y$20001,"Coverage",Data_Summary!$AA$2:$AA$20001,AJ358))</f>
        <v/>
      </c>
    </row>
    <row r="359" customFormat="false" ht="12.75" hidden="false" customHeight="true" outlineLevel="0" collapsed="false">
      <c r="AJ359" s="16" t="str">
        <f aca="false">IF(Data_Summary!Y360&lt;&gt;"Coverage","",IF(Data_Summary!AA360="","",IF(COUNTIFS(Data_Summary!$Y$2:$Y360,"Coverage",Data_Summary!$AA$2:$AA360,Data_Summary!AA360)=1,Data_Summary!AA360,"")))</f>
        <v/>
      </c>
      <c r="AK359" s="16" t="str">
        <f aca="false">IF(AJ359="","",COUNTIFS(Data_Summary!$Y$2:$Y$20001,"Coverage",Data_Summary!$AA$2:$AA$20001,AJ359))</f>
        <v/>
      </c>
    </row>
    <row r="360" customFormat="false" ht="12.75" hidden="false" customHeight="true" outlineLevel="0" collapsed="false">
      <c r="AJ360" s="16" t="str">
        <f aca="false">IF(Data_Summary!Y361&lt;&gt;"Coverage","",IF(Data_Summary!AA361="","",IF(COUNTIFS(Data_Summary!$Y$2:$Y361,"Coverage",Data_Summary!$AA$2:$AA361,Data_Summary!AA361)=1,Data_Summary!AA361,"")))</f>
        <v/>
      </c>
      <c r="AK360" s="16" t="str">
        <f aca="false">IF(AJ360="","",COUNTIFS(Data_Summary!$Y$2:$Y$20001,"Coverage",Data_Summary!$AA$2:$AA$20001,AJ360))</f>
        <v/>
      </c>
    </row>
    <row r="361" customFormat="false" ht="12.75" hidden="false" customHeight="true" outlineLevel="0" collapsed="false">
      <c r="AJ361" s="16" t="str">
        <f aca="false">IF(Data_Summary!Y362&lt;&gt;"Coverage","",IF(Data_Summary!AA362="","",IF(COUNTIFS(Data_Summary!$Y$2:$Y362,"Coverage",Data_Summary!$AA$2:$AA362,Data_Summary!AA362)=1,Data_Summary!AA362,"")))</f>
        <v/>
      </c>
      <c r="AK361" s="16" t="str">
        <f aca="false">IF(AJ361="","",COUNTIFS(Data_Summary!$Y$2:$Y$20001,"Coverage",Data_Summary!$AA$2:$AA$20001,AJ361))</f>
        <v/>
      </c>
    </row>
    <row r="362" customFormat="false" ht="12.75" hidden="false" customHeight="true" outlineLevel="0" collapsed="false">
      <c r="AJ362" s="16" t="str">
        <f aca="false">IF(Data_Summary!Y363&lt;&gt;"Coverage","",IF(Data_Summary!AA363="","",IF(COUNTIFS(Data_Summary!$Y$2:$Y363,"Coverage",Data_Summary!$AA$2:$AA363,Data_Summary!AA363)=1,Data_Summary!AA363,"")))</f>
        <v/>
      </c>
      <c r="AK362" s="16" t="str">
        <f aca="false">IF(AJ362="","",COUNTIFS(Data_Summary!$Y$2:$Y$20001,"Coverage",Data_Summary!$AA$2:$AA$20001,AJ362))</f>
        <v/>
      </c>
    </row>
    <row r="363" customFormat="false" ht="12.75" hidden="false" customHeight="true" outlineLevel="0" collapsed="false">
      <c r="AJ363" s="16" t="str">
        <f aca="false">IF(Data_Summary!Y364&lt;&gt;"Coverage","",IF(Data_Summary!AA364="","",IF(COUNTIFS(Data_Summary!$Y$2:$Y364,"Coverage",Data_Summary!$AA$2:$AA364,Data_Summary!AA364)=1,Data_Summary!AA364,"")))</f>
        <v/>
      </c>
      <c r="AK363" s="16" t="str">
        <f aca="false">IF(AJ363="","",COUNTIFS(Data_Summary!$Y$2:$Y$20001,"Coverage",Data_Summary!$AA$2:$AA$20001,AJ363))</f>
        <v/>
      </c>
    </row>
    <row r="364" customFormat="false" ht="12.75" hidden="false" customHeight="true" outlineLevel="0" collapsed="false">
      <c r="AJ364" s="16" t="str">
        <f aca="false">IF(Data_Summary!Y365&lt;&gt;"Coverage","",IF(Data_Summary!AA365="","",IF(COUNTIFS(Data_Summary!$Y$2:$Y365,"Coverage",Data_Summary!$AA$2:$AA365,Data_Summary!AA365)=1,Data_Summary!AA365,"")))</f>
        <v/>
      </c>
      <c r="AK364" s="16" t="str">
        <f aca="false">IF(AJ364="","",COUNTIFS(Data_Summary!$Y$2:$Y$20001,"Coverage",Data_Summary!$AA$2:$AA$20001,AJ364))</f>
        <v/>
      </c>
    </row>
    <row r="365" customFormat="false" ht="12.75" hidden="false" customHeight="true" outlineLevel="0" collapsed="false">
      <c r="AJ365" s="16" t="str">
        <f aca="false">IF(Data_Summary!Y366&lt;&gt;"Coverage","",IF(Data_Summary!AA366="","",IF(COUNTIFS(Data_Summary!$Y$2:$Y366,"Coverage",Data_Summary!$AA$2:$AA366,Data_Summary!AA366)=1,Data_Summary!AA366,"")))</f>
        <v/>
      </c>
      <c r="AK365" s="16" t="str">
        <f aca="false">IF(AJ365="","",COUNTIFS(Data_Summary!$Y$2:$Y$20001,"Coverage",Data_Summary!$AA$2:$AA$20001,AJ365))</f>
        <v/>
      </c>
    </row>
    <row r="366" customFormat="false" ht="12.75" hidden="false" customHeight="true" outlineLevel="0" collapsed="false">
      <c r="AJ366" s="16" t="str">
        <f aca="false">IF(Data_Summary!Y367&lt;&gt;"Coverage","",IF(Data_Summary!AA367="","",IF(COUNTIFS(Data_Summary!$Y$2:$Y367,"Coverage",Data_Summary!$AA$2:$AA367,Data_Summary!AA367)=1,Data_Summary!AA367,"")))</f>
        <v/>
      </c>
      <c r="AK366" s="16" t="str">
        <f aca="false">IF(AJ366="","",COUNTIFS(Data_Summary!$Y$2:$Y$20001,"Coverage",Data_Summary!$AA$2:$AA$20001,AJ366))</f>
        <v/>
      </c>
    </row>
    <row r="367" customFormat="false" ht="12.75" hidden="false" customHeight="true" outlineLevel="0" collapsed="false">
      <c r="AJ367" s="16" t="str">
        <f aca="false">IF(Data_Summary!Y368&lt;&gt;"Coverage","",IF(Data_Summary!AA368="","",IF(COUNTIFS(Data_Summary!$Y$2:$Y368,"Coverage",Data_Summary!$AA$2:$AA368,Data_Summary!AA368)=1,Data_Summary!AA368,"")))</f>
        <v/>
      </c>
      <c r="AK367" s="16" t="str">
        <f aca="false">IF(AJ367="","",COUNTIFS(Data_Summary!$Y$2:$Y$20001,"Coverage",Data_Summary!$AA$2:$AA$20001,AJ367))</f>
        <v/>
      </c>
    </row>
    <row r="368" customFormat="false" ht="12.75" hidden="false" customHeight="true" outlineLevel="0" collapsed="false">
      <c r="AJ368" s="16" t="str">
        <f aca="false">IF(Data_Summary!Y369&lt;&gt;"Coverage","",IF(Data_Summary!AA369="","",IF(COUNTIFS(Data_Summary!$Y$2:$Y369,"Coverage",Data_Summary!$AA$2:$AA369,Data_Summary!AA369)=1,Data_Summary!AA369,"")))</f>
        <v/>
      </c>
      <c r="AK368" s="16" t="str">
        <f aca="false">IF(AJ368="","",COUNTIFS(Data_Summary!$Y$2:$Y$20001,"Coverage",Data_Summary!$AA$2:$AA$20001,AJ368))</f>
        <v/>
      </c>
    </row>
    <row r="369" customFormat="false" ht="12.75" hidden="false" customHeight="true" outlineLevel="0" collapsed="false">
      <c r="AJ369" s="16" t="str">
        <f aca="false">IF(Data_Summary!Y370&lt;&gt;"Coverage","",IF(Data_Summary!AA370="","",IF(COUNTIFS(Data_Summary!$Y$2:$Y370,"Coverage",Data_Summary!$AA$2:$AA370,Data_Summary!AA370)=1,Data_Summary!AA370,"")))</f>
        <v/>
      </c>
      <c r="AK369" s="16" t="str">
        <f aca="false">IF(AJ369="","",COUNTIFS(Data_Summary!$Y$2:$Y$20001,"Coverage",Data_Summary!$AA$2:$AA$20001,AJ369))</f>
        <v/>
      </c>
    </row>
    <row r="370" customFormat="false" ht="12.75" hidden="false" customHeight="true" outlineLevel="0" collapsed="false">
      <c r="AJ370" s="16" t="str">
        <f aca="false">IF(Data_Summary!Y371&lt;&gt;"Coverage","",IF(Data_Summary!AA371="","",IF(COUNTIFS(Data_Summary!$Y$2:$Y371,"Coverage",Data_Summary!$AA$2:$AA371,Data_Summary!AA371)=1,Data_Summary!AA371,"")))</f>
        <v/>
      </c>
      <c r="AK370" s="16" t="str">
        <f aca="false">IF(AJ370="","",COUNTIFS(Data_Summary!$Y$2:$Y$20001,"Coverage",Data_Summary!$AA$2:$AA$20001,AJ370))</f>
        <v/>
      </c>
    </row>
    <row r="371" customFormat="false" ht="12.75" hidden="false" customHeight="true" outlineLevel="0" collapsed="false">
      <c r="AJ371" s="16" t="str">
        <f aca="false">IF(Data_Summary!Y372&lt;&gt;"Coverage","",IF(Data_Summary!AA372="","",IF(COUNTIFS(Data_Summary!$Y$2:$Y372,"Coverage",Data_Summary!$AA$2:$AA372,Data_Summary!AA372)=1,Data_Summary!AA372,"")))</f>
        <v/>
      </c>
      <c r="AK371" s="16" t="str">
        <f aca="false">IF(AJ371="","",COUNTIFS(Data_Summary!$Y$2:$Y$20001,"Coverage",Data_Summary!$AA$2:$AA$20001,AJ371))</f>
        <v/>
      </c>
    </row>
    <row r="372" customFormat="false" ht="12.75" hidden="false" customHeight="true" outlineLevel="0" collapsed="false">
      <c r="AJ372" s="16" t="str">
        <f aca="false">IF(Data_Summary!Y373&lt;&gt;"Coverage","",IF(Data_Summary!AA373="","",IF(COUNTIFS(Data_Summary!$Y$2:$Y373,"Coverage",Data_Summary!$AA$2:$AA373,Data_Summary!AA373)=1,Data_Summary!AA373,"")))</f>
        <v/>
      </c>
      <c r="AK372" s="16" t="str">
        <f aca="false">IF(AJ372="","",COUNTIFS(Data_Summary!$Y$2:$Y$20001,"Coverage",Data_Summary!$AA$2:$AA$20001,AJ372))</f>
        <v/>
      </c>
    </row>
    <row r="373" customFormat="false" ht="12.75" hidden="false" customHeight="true" outlineLevel="0" collapsed="false">
      <c r="AJ373" s="16" t="str">
        <f aca="false">IF(Data_Summary!Y374&lt;&gt;"Coverage","",IF(Data_Summary!AA374="","",IF(COUNTIFS(Data_Summary!$Y$2:$Y374,"Coverage",Data_Summary!$AA$2:$AA374,Data_Summary!AA374)=1,Data_Summary!AA374,"")))</f>
        <v>Infrastructure / Workplace Enablement</v>
      </c>
      <c r="AK373" s="16" t="n">
        <f aca="false">IF(AJ373="","",COUNTIFS(Data_Summary!$Y$2:$Y$20001,"Coverage",Data_Summary!$AA$2:$AA$20001,AJ373))</f>
        <v>1</v>
      </c>
    </row>
    <row r="374" customFormat="false" ht="12.75" hidden="false" customHeight="true" outlineLevel="0" collapsed="false">
      <c r="AJ374" s="16" t="str">
        <f aca="false">IF(Data_Summary!Y375&lt;&gt;"Coverage","",IF(Data_Summary!AA375="","",IF(COUNTIFS(Data_Summary!$Y$2:$Y375,"Coverage",Data_Summary!$AA$2:$AA375,Data_Summary!AA375)=1,Data_Summary!AA375,"")))</f>
        <v/>
      </c>
      <c r="AK374" s="16" t="str">
        <f aca="false">IF(AJ374="","",COUNTIFS(Data_Summary!$Y$2:$Y$20001,"Coverage",Data_Summary!$AA$2:$AA$20001,AJ374))</f>
        <v/>
      </c>
    </row>
    <row r="375" customFormat="false" ht="12.75" hidden="false" customHeight="true" outlineLevel="0" collapsed="false">
      <c r="AJ375" s="16" t="str">
        <f aca="false">IF(Data_Summary!Y376&lt;&gt;"Coverage","",IF(Data_Summary!AA376="","",IF(COUNTIFS(Data_Summary!$Y$2:$Y376,"Coverage",Data_Summary!$AA$2:$AA376,Data_Summary!AA376)=1,Data_Summary!AA376,"")))</f>
        <v/>
      </c>
      <c r="AK375" s="16" t="str">
        <f aca="false">IF(AJ375="","",COUNTIFS(Data_Summary!$Y$2:$Y$20001,"Coverage",Data_Summary!$AA$2:$AA$20001,AJ375))</f>
        <v/>
      </c>
    </row>
    <row r="376" customFormat="false" ht="12.75" hidden="false" customHeight="true" outlineLevel="0" collapsed="false">
      <c r="AJ376" s="16" t="str">
        <f aca="false">IF(Data_Summary!Y377&lt;&gt;"Coverage","",IF(Data_Summary!AA377="","",IF(COUNTIFS(Data_Summary!$Y$2:$Y377,"Coverage",Data_Summary!$AA$2:$AA377,Data_Summary!AA377)=1,Data_Summary!AA377,"")))</f>
        <v/>
      </c>
      <c r="AK376" s="16" t="str">
        <f aca="false">IF(AJ376="","",COUNTIFS(Data_Summary!$Y$2:$Y$20001,"Coverage",Data_Summary!$AA$2:$AA$20001,AJ376))</f>
        <v/>
      </c>
    </row>
    <row r="377" customFormat="false" ht="12.75" hidden="false" customHeight="true" outlineLevel="0" collapsed="false">
      <c r="AJ377" s="16" t="str">
        <f aca="false">IF(Data_Summary!Y378&lt;&gt;"Coverage","",IF(Data_Summary!AA378="","",IF(COUNTIFS(Data_Summary!$Y$2:$Y378,"Coverage",Data_Summary!$AA$2:$AA378,Data_Summary!AA378)=1,Data_Summary!AA378,"")))</f>
        <v/>
      </c>
      <c r="AK377" s="16" t="str">
        <f aca="false">IF(AJ377="","",COUNTIFS(Data_Summary!$Y$2:$Y$20001,"Coverage",Data_Summary!$AA$2:$AA$20001,AJ377))</f>
        <v/>
      </c>
    </row>
    <row r="378" customFormat="false" ht="12.75" hidden="false" customHeight="true" outlineLevel="0" collapsed="false">
      <c r="AJ378" s="16" t="str">
        <f aca="false">IF(Data_Summary!Y379&lt;&gt;"Coverage","",IF(Data_Summary!AA379="","",IF(COUNTIFS(Data_Summary!$Y$2:$Y379,"Coverage",Data_Summary!$AA$2:$AA379,Data_Summary!AA379)=1,Data_Summary!AA379,"")))</f>
        <v>Monthly Cadence IBU Head coverage on HC, Attrition, eltp and Bench</v>
      </c>
      <c r="AK378" s="16" t="n">
        <f aca="false">IF(AJ378="","",COUNTIFS(Data_Summary!$Y$2:$Y$20001,"Coverage",Data_Summary!$AA$2:$AA$20001,AJ378))</f>
        <v>1</v>
      </c>
    </row>
    <row r="379" customFormat="false" ht="12.75" hidden="false" customHeight="true" outlineLevel="0" collapsed="false">
      <c r="AJ379" s="16" t="str">
        <f aca="false">IF(Data_Summary!Y380&lt;&gt;"Coverage","",IF(Data_Summary!AA380="","",IF(COUNTIFS(Data_Summary!$Y$2:$Y380,"Coverage",Data_Summary!$AA$2:$AA380,Data_Summary!AA380)=1,Data_Summary!AA380,"")))</f>
        <v/>
      </c>
      <c r="AK379" s="16" t="str">
        <f aca="false">IF(AJ379="","",COUNTIFS(Data_Summary!$Y$2:$Y$20001,"Coverage",Data_Summary!$AA$2:$AA$20001,AJ379))</f>
        <v/>
      </c>
    </row>
    <row r="380" customFormat="false" ht="12.75" hidden="false" customHeight="true" outlineLevel="0" collapsed="false">
      <c r="AJ380" s="16" t="str">
        <f aca="false">IF(Data_Summary!Y381&lt;&gt;"Coverage","",IF(Data_Summary!AA381="","",IF(COUNTIFS(Data_Summary!$Y$2:$Y381,"Coverage",Data_Summary!$AA$2:$AA381,Data_Summary!AA381)=1,Data_Summary!AA381,"")))</f>
        <v/>
      </c>
      <c r="AK380" s="16" t="str">
        <f aca="false">IF(AJ380="","",COUNTIFS(Data_Summary!$Y$2:$Y$20001,"Coverage",Data_Summary!$AA$2:$AA$20001,AJ380))</f>
        <v/>
      </c>
    </row>
    <row r="381" customFormat="false" ht="12.75" hidden="false" customHeight="true" outlineLevel="0" collapsed="false">
      <c r="AJ381" s="16" t="str">
        <f aca="false">IF(Data_Summary!Y382&lt;&gt;"Coverage","",IF(Data_Summary!AA382="","",IF(COUNTIFS(Data_Summary!$Y$2:$Y382,"Coverage",Data_Summary!$AA$2:$AA382,Data_Summary!AA382)=1,Data_Summary!AA382,"")))</f>
        <v/>
      </c>
      <c r="AK381" s="16" t="str">
        <f aca="false">IF(AJ381="","",COUNTIFS(Data_Summary!$Y$2:$Y$20001,"Coverage",Data_Summary!$AA$2:$AA$20001,AJ381))</f>
        <v/>
      </c>
    </row>
    <row r="382" customFormat="false" ht="12.75" hidden="false" customHeight="true" outlineLevel="0" collapsed="false">
      <c r="AJ382" s="16" t="str">
        <f aca="false">IF(Data_Summary!Y383&lt;&gt;"Coverage","",IF(Data_Summary!AA383="","",IF(COUNTIFS(Data_Summary!$Y$2:$Y383,"Coverage",Data_Summary!$AA$2:$AA383,Data_Summary!AA383)=1,Data_Summary!AA383,"")))</f>
        <v/>
      </c>
      <c r="AK382" s="16" t="str">
        <f aca="false">IF(AJ382="","",COUNTIFS(Data_Summary!$Y$2:$Y$20001,"Coverage",Data_Summary!$AA$2:$AA$20001,AJ382))</f>
        <v/>
      </c>
    </row>
    <row r="383" customFormat="false" ht="12.75" hidden="false" customHeight="true" outlineLevel="0" collapsed="false">
      <c r="AJ383" s="16" t="str">
        <f aca="false">IF(Data_Summary!Y384&lt;&gt;"Coverage","",IF(Data_Summary!AA384="","",IF(COUNTIFS(Data_Summary!$Y$2:$Y384,"Coverage",Data_Summary!$AA$2:$AA384,Data_Summary!AA384)=1,Data_Summary!AA384,"")))</f>
        <v/>
      </c>
      <c r="AK383" s="16" t="str">
        <f aca="false">IF(AJ383="","",COUNTIFS(Data_Summary!$Y$2:$Y$20001,"Coverage",Data_Summary!$AA$2:$AA$20001,AJ383))</f>
        <v/>
      </c>
    </row>
    <row r="384" customFormat="false" ht="12.75" hidden="false" customHeight="true" outlineLevel="0" collapsed="false">
      <c r="AJ384" s="16" t="str">
        <f aca="false">IF(Data_Summary!Y385&lt;&gt;"Coverage","",IF(Data_Summary!AA385="","",IF(COUNTIFS(Data_Summary!$Y$2:$Y385,"Coverage",Data_Summary!$AA$2:$AA385,Data_Summary!AA385)=1,Data_Summary!AA385,"")))</f>
        <v/>
      </c>
      <c r="AK384" s="16" t="str">
        <f aca="false">IF(AJ384="","",COUNTIFS(Data_Summary!$Y$2:$Y$20001,"Coverage",Data_Summary!$AA$2:$AA$20001,AJ384))</f>
        <v/>
      </c>
    </row>
    <row r="385" customFormat="false" ht="12.75" hidden="false" customHeight="true" outlineLevel="0" collapsed="false">
      <c r="AJ385" s="16" t="str">
        <f aca="false">IF(Data_Summary!Y386&lt;&gt;"Coverage","",IF(Data_Summary!AA386="","",IF(COUNTIFS(Data_Summary!$Y$2:$Y386,"Coverage",Data_Summary!$AA$2:$AA386,Data_Summary!AA386)=1,Data_Summary!AA386,"")))</f>
        <v/>
      </c>
      <c r="AK385" s="16" t="str">
        <f aca="false">IF(AJ385="","",COUNTIFS(Data_Summary!$Y$2:$Y$20001,"Coverage",Data_Summary!$AA$2:$AA$20001,AJ385))</f>
        <v/>
      </c>
    </row>
    <row r="386" customFormat="false" ht="12.75" hidden="false" customHeight="true" outlineLevel="0" collapsed="false">
      <c r="AJ386" s="16" t="str">
        <f aca="false">IF(Data_Summary!Y387&lt;&gt;"Coverage","",IF(Data_Summary!AA387="","",IF(COUNTIFS(Data_Summary!$Y$2:$Y387,"Coverage",Data_Summary!$AA$2:$AA387,Data_Summary!AA387)=1,Data_Summary!AA387,"")))</f>
        <v/>
      </c>
      <c r="AK386" s="16" t="str">
        <f aca="false">IF(AJ386="","",COUNTIFS(Data_Summary!$Y$2:$Y$20001,"Coverage",Data_Summary!$AA$2:$AA$20001,AJ386))</f>
        <v/>
      </c>
    </row>
    <row r="387" customFormat="false" ht="12.75" hidden="false" customHeight="true" outlineLevel="0" collapsed="false">
      <c r="AJ387" s="16" t="str">
        <f aca="false">IF(Data_Summary!Y388&lt;&gt;"Coverage","",IF(Data_Summary!AA388="","",IF(COUNTIFS(Data_Summary!$Y$2:$Y388,"Coverage",Data_Summary!$AA$2:$AA388,Data_Summary!AA388)=1,Data_Summary!AA388,"")))</f>
        <v/>
      </c>
      <c r="AK387" s="16" t="str">
        <f aca="false">IF(AJ387="","",COUNTIFS(Data_Summary!$Y$2:$Y$20001,"Coverage",Data_Summary!$AA$2:$AA$20001,AJ387))</f>
        <v/>
      </c>
    </row>
    <row r="388" customFormat="false" ht="12.75" hidden="false" customHeight="true" outlineLevel="0" collapsed="false">
      <c r="AJ388" s="16" t="str">
        <f aca="false">IF(Data_Summary!Y389&lt;&gt;"Coverage","",IF(Data_Summary!AA389="","",IF(COUNTIFS(Data_Summary!$Y$2:$Y389,"Coverage",Data_Summary!$AA$2:$AA389,Data_Summary!AA389)=1,Data_Summary!AA389,"")))</f>
        <v/>
      </c>
      <c r="AK388" s="16" t="str">
        <f aca="false">IF(AJ388="","",COUNTIFS(Data_Summary!$Y$2:$Y$20001,"Coverage",Data_Summary!$AA$2:$AA$20001,AJ388))</f>
        <v/>
      </c>
    </row>
    <row r="389" customFormat="false" ht="12.75" hidden="false" customHeight="true" outlineLevel="0" collapsed="false">
      <c r="AJ389" s="16" t="str">
        <f aca="false">IF(Data_Summary!Y390&lt;&gt;"Coverage","",IF(Data_Summary!AA390="","",IF(COUNTIFS(Data_Summary!$Y$2:$Y390,"Coverage",Data_Summary!$AA$2:$AA390,Data_Summary!AA390)=1,Data_Summary!AA390,"")))</f>
        <v/>
      </c>
      <c r="AK389" s="16" t="str">
        <f aca="false">IF(AJ389="","",COUNTIFS(Data_Summary!$Y$2:$Y$20001,"Coverage",Data_Summary!$AA$2:$AA$20001,AJ389))</f>
        <v/>
      </c>
    </row>
    <row r="390" customFormat="false" ht="12.75" hidden="false" customHeight="true" outlineLevel="0" collapsed="false">
      <c r="AJ390" s="16" t="str">
        <f aca="false">IF(Data_Summary!Y391&lt;&gt;"Coverage","",IF(Data_Summary!AA391="","",IF(COUNTIFS(Data_Summary!$Y$2:$Y391,"Coverage",Data_Summary!$AA$2:$AA391,Data_Summary!AA391)=1,Data_Summary!AA391,"")))</f>
        <v/>
      </c>
      <c r="AK390" s="16" t="str">
        <f aca="false">IF(AJ390="","",COUNTIFS(Data_Summary!$Y$2:$Y$20001,"Coverage",Data_Summary!$AA$2:$AA$20001,AJ390))</f>
        <v/>
      </c>
    </row>
    <row r="391" customFormat="false" ht="12.75" hidden="false" customHeight="true" outlineLevel="0" collapsed="false">
      <c r="AJ391" s="16" t="str">
        <f aca="false">IF(Data_Summary!Y392&lt;&gt;"Coverage","",IF(Data_Summary!AA392="","",IF(COUNTIFS(Data_Summary!$Y$2:$Y392,"Coverage",Data_Summary!$AA$2:$AA392,Data_Summary!AA392)=1,Data_Summary!AA392,"")))</f>
        <v>Guidance On Leave, Travel, And Exception Approvals</v>
      </c>
      <c r="AK391" s="16" t="n">
        <f aca="false">IF(AJ391="","",COUNTIFS(Data_Summary!$Y$2:$Y$20001,"Coverage",Data_Summary!$AA$2:$AA$20001,AJ391))</f>
        <v>1</v>
      </c>
    </row>
    <row r="392" customFormat="false" ht="12.75" hidden="false" customHeight="true" outlineLevel="0" collapsed="false">
      <c r="AJ392" s="16" t="str">
        <f aca="false">IF(Data_Summary!Y393&lt;&gt;"Coverage","",IF(Data_Summary!AA393="","",IF(COUNTIFS(Data_Summary!$Y$2:$Y393,"Coverage",Data_Summary!$AA$2:$AA393,Data_Summary!AA393)=1,Data_Summary!AA393,"")))</f>
        <v/>
      </c>
      <c r="AK392" s="16" t="str">
        <f aca="false">IF(AJ392="","",COUNTIFS(Data_Summary!$Y$2:$Y$20001,"Coverage",Data_Summary!$AA$2:$AA$20001,AJ392))</f>
        <v/>
      </c>
    </row>
    <row r="393" customFormat="false" ht="12.75" hidden="false" customHeight="true" outlineLevel="0" collapsed="false">
      <c r="AJ393" s="16" t="str">
        <f aca="false">IF(Data_Summary!Y394&lt;&gt;"Coverage","",IF(Data_Summary!AA394="","",IF(COUNTIFS(Data_Summary!$Y$2:$Y394,"Coverage",Data_Summary!$AA$2:$AA394,Data_Summary!AA394)=1,Data_Summary!AA394,"")))</f>
        <v/>
      </c>
      <c r="AK393" s="16" t="str">
        <f aca="false">IF(AJ393="","",COUNTIFS(Data_Summary!$Y$2:$Y$20001,"Coverage",Data_Summary!$AA$2:$AA$20001,AJ393))</f>
        <v/>
      </c>
    </row>
    <row r="394" customFormat="false" ht="12.75" hidden="false" customHeight="true" outlineLevel="0" collapsed="false">
      <c r="AJ394" s="16" t="str">
        <f aca="false">IF(Data_Summary!Y395&lt;&gt;"Coverage","",IF(Data_Summary!AA395="","",IF(COUNTIFS(Data_Summary!$Y$2:$Y395,"Coverage",Data_Summary!$AA$2:$AA395,Data_Summary!AA395)=1,Data_Summary!AA395,"")))</f>
        <v/>
      </c>
      <c r="AK394" s="16" t="str">
        <f aca="false">IF(AJ394="","",COUNTIFS(Data_Summary!$Y$2:$Y$20001,"Coverage",Data_Summary!$AA$2:$AA$20001,AJ394))</f>
        <v/>
      </c>
    </row>
    <row r="395" customFormat="false" ht="12.75" hidden="false" customHeight="true" outlineLevel="0" collapsed="false">
      <c r="AJ395" s="16" t="str">
        <f aca="false">IF(Data_Summary!Y396&lt;&gt;"Coverage","",IF(Data_Summary!AA396="","",IF(COUNTIFS(Data_Summary!$Y$2:$Y396,"Coverage",Data_Summary!$AA$2:$AA396,Data_Summary!AA396)=1,Data_Summary!AA396,"")))</f>
        <v/>
      </c>
      <c r="AK395" s="16" t="str">
        <f aca="false">IF(AJ395="","",COUNTIFS(Data_Summary!$Y$2:$Y$20001,"Coverage",Data_Summary!$AA$2:$AA$20001,AJ395))</f>
        <v/>
      </c>
    </row>
    <row r="396" customFormat="false" ht="12.75" hidden="false" customHeight="true" outlineLevel="0" collapsed="false">
      <c r="AJ396" s="16" t="str">
        <f aca="false">IF(Data_Summary!Y397&lt;&gt;"Coverage","",IF(Data_Summary!AA397="","",IF(COUNTIFS(Data_Summary!$Y$2:$Y397,"Coverage",Data_Summary!$AA$2:$AA397,Data_Summary!AA397)=1,Data_Summary!AA397,"")))</f>
        <v/>
      </c>
      <c r="AK396" s="16" t="str">
        <f aca="false">IF(AJ396="","",COUNTIFS(Data_Summary!$Y$2:$Y$20001,"Coverage",Data_Summary!$AA$2:$AA$20001,AJ396))</f>
        <v/>
      </c>
    </row>
    <row r="397" customFormat="false" ht="12.75" hidden="false" customHeight="true" outlineLevel="0" collapsed="false">
      <c r="AJ397" s="16" t="str">
        <f aca="false">IF(Data_Summary!Y398&lt;&gt;"Coverage","",IF(Data_Summary!AA398="","",IF(COUNTIFS(Data_Summary!$Y$2:$Y398,"Coverage",Data_Summary!$AA$2:$AA398,Data_Summary!AA398)=1,Data_Summary!AA398,"")))</f>
        <v/>
      </c>
      <c r="AK397" s="16" t="str">
        <f aca="false">IF(AJ397="","",COUNTIFS(Data_Summary!$Y$2:$Y$20001,"Coverage",Data_Summary!$AA$2:$AA$20001,AJ397))</f>
        <v/>
      </c>
    </row>
    <row r="398" customFormat="false" ht="12.75" hidden="false" customHeight="true" outlineLevel="0" collapsed="false">
      <c r="AJ398" s="16" t="str">
        <f aca="false">IF(Data_Summary!Y399&lt;&gt;"Coverage","",IF(Data_Summary!AA399="","",IF(COUNTIFS(Data_Summary!$Y$2:$Y399,"Coverage",Data_Summary!$AA$2:$AA399,Data_Summary!AA399)=1,Data_Summary!AA399,"")))</f>
        <v/>
      </c>
      <c r="AK398" s="16" t="str">
        <f aca="false">IF(AJ398="","",COUNTIFS(Data_Summary!$Y$2:$Y$20001,"Coverage",Data_Summary!$AA$2:$AA$20001,AJ398))</f>
        <v/>
      </c>
    </row>
    <row r="399" customFormat="false" ht="12.75" hidden="false" customHeight="true" outlineLevel="0" collapsed="false">
      <c r="AJ399" s="16" t="str">
        <f aca="false">IF(Data_Summary!Y400&lt;&gt;"Coverage","",IF(Data_Summary!AA400="","",IF(COUNTIFS(Data_Summary!$Y$2:$Y400,"Coverage",Data_Summary!$AA$2:$AA400,Data_Summary!AA400)=1,Data_Summary!AA400,"")))</f>
        <v/>
      </c>
      <c r="AK399" s="16" t="str">
        <f aca="false">IF(AJ399="","",COUNTIFS(Data_Summary!$Y$2:$Y$20001,"Coverage",Data_Summary!$AA$2:$AA$20001,AJ399))</f>
        <v/>
      </c>
    </row>
    <row r="400" customFormat="false" ht="12.75" hidden="false" customHeight="true" outlineLevel="0" collapsed="false">
      <c r="AJ400" s="16" t="str">
        <f aca="false">IF(Data_Summary!Y401&lt;&gt;"Coverage","",IF(Data_Summary!AA401="","",IF(COUNTIFS(Data_Summary!$Y$2:$Y401,"Coverage",Data_Summary!$AA$2:$AA401,Data_Summary!AA401)=1,Data_Summary!AA401,"")))</f>
        <v/>
      </c>
      <c r="AK400" s="16" t="str">
        <f aca="false">IF(AJ400="","",COUNTIFS(Data_Summary!$Y$2:$Y$20001,"Coverage",Data_Summary!$AA$2:$AA$20001,AJ400))</f>
        <v/>
      </c>
    </row>
    <row r="401" customFormat="false" ht="12.75" hidden="false" customHeight="true" outlineLevel="0" collapsed="false">
      <c r="AJ401" s="16" t="str">
        <f aca="false">IF(Data_Summary!Y402&lt;&gt;"Coverage","",IF(Data_Summary!AA402="","",IF(COUNTIFS(Data_Summary!$Y$2:$Y402,"Coverage",Data_Summary!$AA$2:$AA402,Data_Summary!AA402)=1,Data_Summary!AA402,"")))</f>
        <v/>
      </c>
      <c r="AK401" s="16" t="str">
        <f aca="false">IF(AJ401="","",COUNTIFS(Data_Summary!$Y$2:$Y$20001,"Coverage",Data_Summary!$AA$2:$AA$20001,AJ401))</f>
        <v/>
      </c>
    </row>
    <row r="402" customFormat="false" ht="12.75" hidden="false" customHeight="true" outlineLevel="0" collapsed="false">
      <c r="AJ402" s="16" t="str">
        <f aca="false">IF(Data_Summary!Y403&lt;&gt;"Coverage","",IF(Data_Summary!AA403="","",IF(COUNTIFS(Data_Summary!$Y$2:$Y403,"Coverage",Data_Summary!$AA$2:$AA403,Data_Summary!AA403)=1,Data_Summary!AA403,"")))</f>
        <v/>
      </c>
      <c r="AK402" s="16" t="str">
        <f aca="false">IF(AJ402="","",COUNTIFS(Data_Summary!$Y$2:$Y$20001,"Coverage",Data_Summary!$AA$2:$AA$20001,AJ402))</f>
        <v/>
      </c>
    </row>
    <row r="403" customFormat="false" ht="12.75" hidden="false" customHeight="true" outlineLevel="0" collapsed="false">
      <c r="AJ403" s="16" t="str">
        <f aca="false">IF(Data_Summary!Y404&lt;&gt;"Coverage","",IF(Data_Summary!AA404="","",IF(COUNTIFS(Data_Summary!$Y$2:$Y404,"Coverage",Data_Summary!$AA$2:$AA404,Data_Summary!AA404)=1,Data_Summary!AA404,"")))</f>
        <v/>
      </c>
      <c r="AK403" s="16" t="str">
        <f aca="false">IF(AJ403="","",COUNTIFS(Data_Summary!$Y$2:$Y$20001,"Coverage",Data_Summary!$AA$2:$AA$20001,AJ403))</f>
        <v/>
      </c>
    </row>
    <row r="404" customFormat="false" ht="12.75" hidden="false" customHeight="true" outlineLevel="0" collapsed="false">
      <c r="AJ404" s="16" t="str">
        <f aca="false">IF(Data_Summary!Y405&lt;&gt;"Coverage","",IF(Data_Summary!AA405="","",IF(COUNTIFS(Data_Summary!$Y$2:$Y405,"Coverage",Data_Summary!$AA$2:$AA405,Data_Summary!AA405)=1,Data_Summary!AA405,"")))</f>
        <v/>
      </c>
      <c r="AK404" s="16" t="str">
        <f aca="false">IF(AJ404="","",COUNTIFS(Data_Summary!$Y$2:$Y$20001,"Coverage",Data_Summary!$AA$2:$AA$20001,AJ404))</f>
        <v/>
      </c>
    </row>
    <row r="405" customFormat="false" ht="12.75" hidden="false" customHeight="true" outlineLevel="0" collapsed="false">
      <c r="AJ405" s="16" t="str">
        <f aca="false">IF(Data_Summary!Y406&lt;&gt;"Coverage","",IF(Data_Summary!AA406="","",IF(COUNTIFS(Data_Summary!$Y$2:$Y406,"Coverage",Data_Summary!$AA$2:$AA406,Data_Summary!AA406)=1,Data_Summary!AA406,"")))</f>
        <v/>
      </c>
      <c r="AK405" s="16" t="str">
        <f aca="false">IF(AJ405="","",COUNTIFS(Data_Summary!$Y$2:$Y$20001,"Coverage",Data_Summary!$AA$2:$AA$20001,AJ405))</f>
        <v/>
      </c>
    </row>
    <row r="406" customFormat="false" ht="12.75" hidden="false" customHeight="true" outlineLevel="0" collapsed="false">
      <c r="AJ406" s="16" t="str">
        <f aca="false">IF(Data_Summary!Y407&lt;&gt;"Coverage","",IF(Data_Summary!AA407="","",IF(COUNTIFS(Data_Summary!$Y$2:$Y407,"Coverage",Data_Summary!$AA$2:$AA407,Data_Summary!AA407)=1,Data_Summary!AA407,"")))</f>
        <v>Engagement &amp; Belonging</v>
      </c>
      <c r="AK406" s="16" t="n">
        <f aca="false">IF(AJ406="","",COUNTIFS(Data_Summary!$Y$2:$Y$20001,"Coverage",Data_Summary!$AA$2:$AA$20001,AJ406))</f>
        <v>3</v>
      </c>
    </row>
    <row r="407" customFormat="false" ht="12.75" hidden="false" customHeight="true" outlineLevel="0" collapsed="false">
      <c r="AJ407" s="16" t="str">
        <f aca="false">IF(Data_Summary!Y408&lt;&gt;"Coverage","",IF(Data_Summary!AA408="","",IF(COUNTIFS(Data_Summary!$Y$2:$Y408,"Coverage",Data_Summary!$AA$2:$AA408,Data_Summary!AA408)=1,Data_Summary!AA408,"")))</f>
        <v/>
      </c>
      <c r="AK407" s="16" t="str">
        <f aca="false">IF(AJ407="","",COUNTIFS(Data_Summary!$Y$2:$Y$20001,"Coverage",Data_Summary!$AA$2:$AA$20001,AJ407))</f>
        <v/>
      </c>
    </row>
    <row r="408" customFormat="false" ht="12.75" hidden="false" customHeight="true" outlineLevel="0" collapsed="false">
      <c r="AJ408" s="16" t="str">
        <f aca="false">IF(Data_Summary!Y409&lt;&gt;"Coverage","",IF(Data_Summary!AA409="","",IF(COUNTIFS(Data_Summary!$Y$2:$Y409,"Coverage",Data_Summary!$AA$2:$AA409,Data_Summary!AA409)=1,Data_Summary!AA409,"")))</f>
        <v/>
      </c>
      <c r="AK408" s="16" t="str">
        <f aca="false">IF(AJ408="","",COUNTIFS(Data_Summary!$Y$2:$Y$20001,"Coverage",Data_Summary!$AA$2:$AA$20001,AJ408))</f>
        <v/>
      </c>
    </row>
    <row r="409" customFormat="false" ht="12.75" hidden="false" customHeight="true" outlineLevel="0" collapsed="false">
      <c r="AJ409" s="16" t="str">
        <f aca="false">IF(Data_Summary!Y410&lt;&gt;"Coverage","",IF(Data_Summary!AA410="","",IF(COUNTIFS(Data_Summary!$Y$2:$Y410,"Coverage",Data_Summary!$AA$2:$AA410,Data_Summary!AA410)=1,Data_Summary!AA410,"")))</f>
        <v/>
      </c>
      <c r="AK409" s="16" t="str">
        <f aca="false">IF(AJ409="","",COUNTIFS(Data_Summary!$Y$2:$Y$20001,"Coverage",Data_Summary!$AA$2:$AA$20001,AJ409))</f>
        <v/>
      </c>
    </row>
    <row r="410" customFormat="false" ht="12.75" hidden="false" customHeight="true" outlineLevel="0" collapsed="false">
      <c r="AJ410" s="16" t="str">
        <f aca="false">IF(Data_Summary!Y411&lt;&gt;"Coverage","",IF(Data_Summary!AA411="","",IF(COUNTIFS(Data_Summary!$Y$2:$Y411,"Coverage",Data_Summary!$AA$2:$AA411,Data_Summary!AA411)=1,Data_Summary!AA411,"")))</f>
        <v/>
      </c>
      <c r="AK410" s="16" t="str">
        <f aca="false">IF(AJ410="","",COUNTIFS(Data_Summary!$Y$2:$Y$20001,"Coverage",Data_Summary!$AA$2:$AA$20001,AJ410))</f>
        <v/>
      </c>
    </row>
    <row r="411" customFormat="false" ht="12.75" hidden="false" customHeight="true" outlineLevel="0" collapsed="false">
      <c r="AJ411" s="16" t="str">
        <f aca="false">IF(Data_Summary!Y412&lt;&gt;"Coverage","",IF(Data_Summary!AA412="","",IF(COUNTIFS(Data_Summary!$Y$2:$Y412,"Coverage",Data_Summary!$AA$2:$AA412,Data_Summary!AA412)=1,Data_Summary!AA412,"")))</f>
        <v/>
      </c>
      <c r="AK411" s="16" t="str">
        <f aca="false">IF(AJ411="","",COUNTIFS(Data_Summary!$Y$2:$Y$20001,"Coverage",Data_Summary!$AA$2:$AA$20001,AJ411))</f>
        <v/>
      </c>
    </row>
    <row r="412" customFormat="false" ht="12.75" hidden="false" customHeight="true" outlineLevel="0" collapsed="false">
      <c r="AJ412" s="16" t="str">
        <f aca="false">IF(Data_Summary!Y413&lt;&gt;"Coverage","",IF(Data_Summary!AA413="","",IF(COUNTIFS(Data_Summary!$Y$2:$Y413,"Coverage",Data_Summary!$AA$2:$AA413,Data_Summary!AA413)=1,Data_Summary!AA413,"")))</f>
        <v>Induction Effectiveness</v>
      </c>
      <c r="AK412" s="16" t="n">
        <f aca="false">IF(AJ412="","",COUNTIFS(Data_Summary!$Y$2:$Y$20001,"Coverage",Data_Summary!$AA$2:$AA$20001,AJ412))</f>
        <v>2</v>
      </c>
    </row>
    <row r="413" customFormat="false" ht="12.75" hidden="false" customHeight="true" outlineLevel="0" collapsed="false">
      <c r="AJ413" s="16" t="str">
        <f aca="false">IF(Data_Summary!Y414&lt;&gt;"Coverage","",IF(Data_Summary!AA414="","",IF(COUNTIFS(Data_Summary!$Y$2:$Y414,"Coverage",Data_Summary!$AA$2:$AA414,Data_Summary!AA414)=1,Data_Summary!AA414,"")))</f>
        <v>Buddy / Support System</v>
      </c>
      <c r="AK413" s="16" t="n">
        <f aca="false">IF(AJ413="","",COUNTIFS(Data_Summary!$Y$2:$Y$20001,"Coverage",Data_Summary!$AA$2:$AA$20001,AJ413))</f>
        <v>1</v>
      </c>
    </row>
    <row r="414" customFormat="false" ht="12.75" hidden="false" customHeight="true" outlineLevel="0" collapsed="false">
      <c r="AJ414" s="16" t="str">
        <f aca="false">IF(Data_Summary!Y415&lt;&gt;"Coverage","",IF(Data_Summary!AA415="","",IF(COUNTIFS(Data_Summary!$Y$2:$Y415,"Coverage",Data_Summary!$AA$2:$AA415,Data_Summary!AA415)=1,Data_Summary!AA415,"")))</f>
        <v/>
      </c>
      <c r="AK414" s="16" t="str">
        <f aca="false">IF(AJ414="","",COUNTIFS(Data_Summary!$Y$2:$Y$20001,"Coverage",Data_Summary!$AA$2:$AA$20001,AJ414))</f>
        <v/>
      </c>
    </row>
    <row r="415" customFormat="false" ht="12.75" hidden="false" customHeight="true" outlineLevel="0" collapsed="false">
      <c r="AJ415" s="16" t="str">
        <f aca="false">IF(Data_Summary!Y416&lt;&gt;"Coverage","",IF(Data_Summary!AA416="","",IF(COUNTIFS(Data_Summary!$Y$2:$Y416,"Coverage",Data_Summary!$AA$2:$AA416,Data_Summary!AA416)=1,Data_Summary!AA416,"")))</f>
        <v/>
      </c>
      <c r="AK415" s="16" t="str">
        <f aca="false">IF(AJ415="","",COUNTIFS(Data_Summary!$Y$2:$Y$20001,"Coverage",Data_Summary!$AA$2:$AA$20001,AJ415))</f>
        <v/>
      </c>
    </row>
    <row r="416" customFormat="false" ht="12.75" hidden="false" customHeight="true" outlineLevel="0" collapsed="false">
      <c r="AJ416" s="16" t="str">
        <f aca="false">IF(Data_Summary!Y417&lt;&gt;"Coverage","",IF(Data_Summary!AA417="","",IF(COUNTIFS(Data_Summary!$Y$2:$Y417,"Coverage",Data_Summary!$AA$2:$AA417,Data_Summary!AA417)=1,Data_Summary!AA417,"")))</f>
        <v/>
      </c>
      <c r="AK416" s="16" t="str">
        <f aca="false">IF(AJ416="","",COUNTIFS(Data_Summary!$Y$2:$Y$20001,"Coverage",Data_Summary!$AA$2:$AA$20001,AJ416))</f>
        <v/>
      </c>
    </row>
    <row r="417" customFormat="false" ht="12.75" hidden="false" customHeight="true" outlineLevel="0" collapsed="false">
      <c r="AJ417" s="16" t="str">
        <f aca="false">IF(Data_Summary!Y418&lt;&gt;"Coverage","",IF(Data_Summary!AA418="","",IF(COUNTIFS(Data_Summary!$Y$2:$Y418,"Coverage",Data_Summary!$AA$2:$AA418,Data_Summary!AA418)=1,Data_Summary!AA418,"")))</f>
        <v/>
      </c>
      <c r="AK417" s="16" t="str">
        <f aca="false">IF(AJ417="","",COUNTIFS(Data_Summary!$Y$2:$Y$20001,"Coverage",Data_Summary!$AA$2:$AA$20001,AJ417))</f>
        <v/>
      </c>
    </row>
    <row r="418" customFormat="false" ht="12.75" hidden="false" customHeight="true" outlineLevel="0" collapsed="false">
      <c r="AJ418" s="16" t="str">
        <f aca="false">IF(Data_Summary!Y419&lt;&gt;"Coverage","",IF(Data_Summary!AA419="","",IF(COUNTIFS(Data_Summary!$Y$2:$Y419,"Coverage",Data_Summary!$AA$2:$AA419,Data_Summary!AA419)=1,Data_Summary!AA419,"")))</f>
        <v/>
      </c>
      <c r="AK418" s="16" t="str">
        <f aca="false">IF(AJ418="","",COUNTIFS(Data_Summary!$Y$2:$Y$20001,"Coverage",Data_Summary!$AA$2:$AA$20001,AJ418))</f>
        <v/>
      </c>
    </row>
    <row r="419" customFormat="false" ht="12.75" hidden="false" customHeight="true" outlineLevel="0" collapsed="false">
      <c r="AJ419" s="16" t="str">
        <f aca="false">IF(Data_Summary!Y420&lt;&gt;"Coverage","",IF(Data_Summary!AA420="","",IF(COUNTIFS(Data_Summary!$Y$2:$Y420,"Coverage",Data_Summary!$AA$2:$AA420,Data_Summary!AA420)=1,Data_Summary!AA420,"")))</f>
        <v/>
      </c>
      <c r="AK419" s="16" t="str">
        <f aca="false">IF(AJ419="","",COUNTIFS(Data_Summary!$Y$2:$Y$20001,"Coverage",Data_Summary!$AA$2:$AA$20001,AJ419))</f>
        <v/>
      </c>
    </row>
    <row r="420" customFormat="false" ht="12.75" hidden="false" customHeight="true" outlineLevel="0" collapsed="false">
      <c r="AJ420" s="16" t="str">
        <f aca="false">IF(Data_Summary!Y421&lt;&gt;"Coverage","",IF(Data_Summary!AA421="","",IF(COUNTIFS(Data_Summary!$Y$2:$Y421,"Coverage",Data_Summary!$AA$2:$AA421,Data_Summary!AA421)=1,Data_Summary!AA421,"")))</f>
        <v/>
      </c>
      <c r="AK420" s="16" t="str">
        <f aca="false">IF(AJ420="","",COUNTIFS(Data_Summary!$Y$2:$Y$20001,"Coverage",Data_Summary!$AA$2:$AA$20001,AJ420))</f>
        <v/>
      </c>
    </row>
    <row r="421" customFormat="false" ht="12.75" hidden="false" customHeight="true" outlineLevel="0" collapsed="false">
      <c r="AJ421" s="16" t="str">
        <f aca="false">IF(Data_Summary!Y422&lt;&gt;"Coverage","",IF(Data_Summary!AA422="","",IF(COUNTIFS(Data_Summary!$Y$2:$Y422,"Coverage",Data_Summary!$AA$2:$AA422,Data_Summary!AA422)=1,Data_Summary!AA422,"")))</f>
        <v/>
      </c>
      <c r="AK421" s="16" t="str">
        <f aca="false">IF(AJ421="","",COUNTIFS(Data_Summary!$Y$2:$Y$20001,"Coverage",Data_Summary!$AA$2:$AA$20001,AJ421))</f>
        <v/>
      </c>
    </row>
    <row r="422" customFormat="false" ht="12.75" hidden="false" customHeight="true" outlineLevel="0" collapsed="false">
      <c r="AJ422" s="16" t="str">
        <f aca="false">IF(Data_Summary!Y423&lt;&gt;"Coverage","",IF(Data_Summary!AA423="","",IF(COUNTIFS(Data_Summary!$Y$2:$Y423,"Coverage",Data_Summary!$AA$2:$AA423,Data_Summary!AA423)=1,Data_Summary!AA423,"")))</f>
        <v/>
      </c>
      <c r="AK422" s="16" t="str">
        <f aca="false">IF(AJ422="","",COUNTIFS(Data_Summary!$Y$2:$Y$20001,"Coverage",Data_Summary!$AA$2:$AA$20001,AJ422))</f>
        <v/>
      </c>
    </row>
    <row r="423" customFormat="false" ht="12.75" hidden="false" customHeight="true" outlineLevel="0" collapsed="false">
      <c r="AJ423" s="16" t="str">
        <f aca="false">IF(Data_Summary!Y424&lt;&gt;"Coverage","",IF(Data_Summary!AA424="","",IF(COUNTIFS(Data_Summary!$Y$2:$Y424,"Coverage",Data_Summary!$AA$2:$AA424,Data_Summary!AA424)=1,Data_Summary!AA424,"")))</f>
        <v/>
      </c>
      <c r="AK423" s="16" t="str">
        <f aca="false">IF(AJ423="","",COUNTIFS(Data_Summary!$Y$2:$Y$20001,"Coverage",Data_Summary!$AA$2:$AA$20001,AJ423))</f>
        <v/>
      </c>
    </row>
    <row r="424" customFormat="false" ht="12.75" hidden="false" customHeight="true" outlineLevel="0" collapsed="false">
      <c r="AJ424" s="16" t="str">
        <f aca="false">IF(Data_Summary!Y425&lt;&gt;"Coverage","",IF(Data_Summary!AA425="","",IF(COUNTIFS(Data_Summary!$Y$2:$Y425,"Coverage",Data_Summary!$AA$2:$AA425,Data_Summary!AA425)=1,Data_Summary!AA425,"")))</f>
        <v/>
      </c>
      <c r="AK424" s="16" t="str">
        <f aca="false">IF(AJ424="","",COUNTIFS(Data_Summary!$Y$2:$Y$20001,"Coverage",Data_Summary!$AA$2:$AA$20001,AJ424))</f>
        <v/>
      </c>
    </row>
    <row r="425" customFormat="false" ht="12.75" hidden="false" customHeight="true" outlineLevel="0" collapsed="false">
      <c r="AJ425" s="16" t="str">
        <f aca="false">IF(Data_Summary!Y426&lt;&gt;"Coverage","",IF(Data_Summary!AA426="","",IF(COUNTIFS(Data_Summary!$Y$2:$Y426,"Coverage",Data_Summary!$AA$2:$AA426,Data_Summary!AA426)=1,Data_Summary!AA426,"")))</f>
        <v/>
      </c>
      <c r="AK425" s="16" t="str">
        <f aca="false">IF(AJ425="","",COUNTIFS(Data_Summary!$Y$2:$Y$20001,"Coverage",Data_Summary!$AA$2:$AA$20001,AJ425))</f>
        <v/>
      </c>
    </row>
    <row r="426" customFormat="false" ht="12.75" hidden="false" customHeight="true" outlineLevel="0" collapsed="false">
      <c r="AJ426" s="16" t="str">
        <f aca="false">IF(Data_Summary!Y427&lt;&gt;"Coverage","",IF(Data_Summary!AA427="","",IF(COUNTIFS(Data_Summary!$Y$2:$Y427,"Coverage",Data_Summary!$AA$2:$AA427,Data_Summary!AA427)=1,Data_Summary!AA427,"")))</f>
        <v>HR Process Clarity</v>
      </c>
      <c r="AK426" s="16" t="n">
        <f aca="false">IF(AJ426="","",COUNTIFS(Data_Summary!$Y$2:$Y$20001,"Coverage",Data_Summary!$AA$2:$AA$20001,AJ426))</f>
        <v>1</v>
      </c>
    </row>
    <row r="427" customFormat="false" ht="12.75" hidden="false" customHeight="true" outlineLevel="0" collapsed="false">
      <c r="AJ427" s="16" t="str">
        <f aca="false">IF(Data_Summary!Y428&lt;&gt;"Coverage","",IF(Data_Summary!AA428="","",IF(COUNTIFS(Data_Summary!$Y$2:$Y428,"Coverage",Data_Summary!$AA$2:$AA428,Data_Summary!AA428)=1,Data_Summary!AA428,"")))</f>
        <v/>
      </c>
      <c r="AK427" s="16" t="str">
        <f aca="false">IF(AJ427="","",COUNTIFS(Data_Summary!$Y$2:$Y$20001,"Coverage",Data_Summary!$AA$2:$AA$20001,AJ427))</f>
        <v/>
      </c>
    </row>
    <row r="428" customFormat="false" ht="12.75" hidden="false" customHeight="true" outlineLevel="0" collapsed="false">
      <c r="AJ428" s="16" t="str">
        <f aca="false">IF(Data_Summary!Y429&lt;&gt;"Coverage","",IF(Data_Summary!AA429="","",IF(COUNTIFS(Data_Summary!$Y$2:$Y429,"Coverage",Data_Summary!$AA$2:$AA429,Data_Summary!AA429)=1,Data_Summary!AA429,"")))</f>
        <v/>
      </c>
      <c r="AK428" s="16" t="str">
        <f aca="false">IF(AJ428="","",COUNTIFS(Data_Summary!$Y$2:$Y$20001,"Coverage",Data_Summary!$AA$2:$AA$20001,AJ428))</f>
        <v/>
      </c>
    </row>
    <row r="429" customFormat="false" ht="12.75" hidden="false" customHeight="true" outlineLevel="0" collapsed="false">
      <c r="AJ429" s="16" t="str">
        <f aca="false">IF(Data_Summary!Y430&lt;&gt;"Coverage","",IF(Data_Summary!AA430="","",IF(COUNTIFS(Data_Summary!$Y$2:$Y430,"Coverage",Data_Summary!$AA$2:$AA430,Data_Summary!AA430)=1,Data_Summary!AA430,"")))</f>
        <v/>
      </c>
      <c r="AK429" s="16" t="str">
        <f aca="false">IF(AJ429="","",COUNTIFS(Data_Summary!$Y$2:$Y$20001,"Coverage",Data_Summary!$AA$2:$AA$20001,AJ429))</f>
        <v/>
      </c>
    </row>
    <row r="430" customFormat="false" ht="12.75" hidden="false" customHeight="true" outlineLevel="0" collapsed="false">
      <c r="AJ430" s="16" t="str">
        <f aca="false">IF(Data_Summary!Y431&lt;&gt;"Coverage","",IF(Data_Summary!AA431="","",IF(COUNTIFS(Data_Summary!$Y$2:$Y431,"Coverage",Data_Summary!$AA$2:$AA431,Data_Summary!AA431)=1,Data_Summary!AA431,"")))</f>
        <v/>
      </c>
      <c r="AK430" s="16" t="str">
        <f aca="false">IF(AJ430="","",COUNTIFS(Data_Summary!$Y$2:$Y$20001,"Coverage",Data_Summary!$AA$2:$AA$20001,AJ430))</f>
        <v/>
      </c>
    </row>
    <row r="431" customFormat="false" ht="12.75" hidden="false" customHeight="true" outlineLevel="0" collapsed="false">
      <c r="AJ431" s="16" t="str">
        <f aca="false">IF(Data_Summary!Y432&lt;&gt;"Coverage","",IF(Data_Summary!AA432="","",IF(COUNTIFS(Data_Summary!$Y$2:$Y432,"Coverage",Data_Summary!$AA$2:$AA432,Data_Summary!AA432)=1,Data_Summary!AA432,"")))</f>
        <v/>
      </c>
      <c r="AK431" s="16" t="str">
        <f aca="false">IF(AJ431="","",COUNTIFS(Data_Summary!$Y$2:$Y$20001,"Coverage",Data_Summary!$AA$2:$AA$20001,AJ431))</f>
        <v/>
      </c>
    </row>
    <row r="432" customFormat="false" ht="12.75" hidden="false" customHeight="true" outlineLevel="0" collapsed="false">
      <c r="AJ432" s="16" t="str">
        <f aca="false">IF(Data_Summary!Y433&lt;&gt;"Coverage","",IF(Data_Summary!AA433="","",IF(COUNTIFS(Data_Summary!$Y$2:$Y433,"Coverage",Data_Summary!$AA$2:$AA433,Data_Summary!AA433)=1,Data_Summary!AA433,"")))</f>
        <v/>
      </c>
      <c r="AK432" s="16" t="str">
        <f aca="false">IF(AJ432="","",COUNTIFS(Data_Summary!$Y$2:$Y$20001,"Coverage",Data_Summary!$AA$2:$AA$20001,AJ432))</f>
        <v/>
      </c>
    </row>
    <row r="433" customFormat="false" ht="12.75" hidden="false" customHeight="true" outlineLevel="0" collapsed="false">
      <c r="AJ433" s="16" t="str">
        <f aca="false">IF(Data_Summary!Y434&lt;&gt;"Coverage","",IF(Data_Summary!AA434="","",IF(COUNTIFS(Data_Summary!$Y$2:$Y434,"Coverage",Data_Summary!$AA$2:$AA434,Data_Summary!AA434)=1,Data_Summary!AA434,"")))</f>
        <v/>
      </c>
      <c r="AK433" s="16" t="str">
        <f aca="false">IF(AJ433="","",COUNTIFS(Data_Summary!$Y$2:$Y$20001,"Coverage",Data_Summary!$AA$2:$AA$20001,AJ433))</f>
        <v/>
      </c>
    </row>
    <row r="434" customFormat="false" ht="12.75" hidden="false" customHeight="true" outlineLevel="0" collapsed="false">
      <c r="AJ434" s="16" t="str">
        <f aca="false">IF(Data_Summary!Y435&lt;&gt;"Coverage","",IF(Data_Summary!AA435="","",IF(COUNTIFS(Data_Summary!$Y$2:$Y435,"Coverage",Data_Summary!$AA$2:$AA435,Data_Summary!AA435)=1,Data_Summary!AA435,"")))</f>
        <v/>
      </c>
      <c r="AK434" s="16" t="str">
        <f aca="false">IF(AJ434="","",COUNTIFS(Data_Summary!$Y$2:$Y$20001,"Coverage",Data_Summary!$AA$2:$AA$20001,AJ434))</f>
        <v/>
      </c>
    </row>
    <row r="435" customFormat="false" ht="12.75" hidden="false" customHeight="true" outlineLevel="0" collapsed="false">
      <c r="AJ435" s="16" t="str">
        <f aca="false">IF(Data_Summary!Y436&lt;&gt;"Coverage","",IF(Data_Summary!AA436="","",IF(COUNTIFS(Data_Summary!$Y$2:$Y436,"Coverage",Data_Summary!$AA$2:$AA436,Data_Summary!AA436)=1,Data_Summary!AA436,"")))</f>
        <v/>
      </c>
      <c r="AK435" s="16" t="str">
        <f aca="false">IF(AJ435="","",COUNTIFS(Data_Summary!$Y$2:$Y$20001,"Coverage",Data_Summary!$AA$2:$AA$20001,AJ435))</f>
        <v/>
      </c>
    </row>
    <row r="436" customFormat="false" ht="12.75" hidden="false" customHeight="true" outlineLevel="0" collapsed="false">
      <c r="AJ436" s="16" t="str">
        <f aca="false">IF(Data_Summary!Y437&lt;&gt;"Coverage","",IF(Data_Summary!AA437="","",IF(COUNTIFS(Data_Summary!$Y$2:$Y437,"Coverage",Data_Summary!$AA$2:$AA437,Data_Summary!AA437)=1,Data_Summary!AA437,"")))</f>
        <v/>
      </c>
      <c r="AK436" s="16" t="str">
        <f aca="false">IF(AJ436="","",COUNTIFS(Data_Summary!$Y$2:$Y$20001,"Coverage",Data_Summary!$AA$2:$AA$20001,AJ436))</f>
        <v/>
      </c>
    </row>
    <row r="437" customFormat="false" ht="12.75" hidden="false" customHeight="true" outlineLevel="0" collapsed="false">
      <c r="AJ437" s="16" t="str">
        <f aca="false">IF(Data_Summary!Y438&lt;&gt;"Coverage","",IF(Data_Summary!AA438="","",IF(COUNTIFS(Data_Summary!$Y$2:$Y438,"Coverage",Data_Summary!$AA$2:$AA438,Data_Summary!AA438)=1,Data_Summary!AA438,"")))</f>
        <v/>
      </c>
      <c r="AK437" s="16" t="str">
        <f aca="false">IF(AJ437="","",COUNTIFS(Data_Summary!$Y$2:$Y$20001,"Coverage",Data_Summary!$AA$2:$AA$20001,AJ437))</f>
        <v/>
      </c>
    </row>
    <row r="438" customFormat="false" ht="12.75" hidden="false" customHeight="true" outlineLevel="0" collapsed="false">
      <c r="AJ438" s="16" t="str">
        <f aca="false">IF(Data_Summary!Y439&lt;&gt;"Coverage","",IF(Data_Summary!AA439="","",IF(COUNTIFS(Data_Summary!$Y$2:$Y439,"Coverage",Data_Summary!$AA$2:$AA439,Data_Summary!AA439)=1,Data_Summary!AA439,"")))</f>
        <v/>
      </c>
      <c r="AK438" s="16" t="str">
        <f aca="false">IF(AJ438="","",COUNTIFS(Data_Summary!$Y$2:$Y$20001,"Coverage",Data_Summary!$AA$2:$AA$20001,AJ438))</f>
        <v/>
      </c>
    </row>
    <row r="439" customFormat="false" ht="12.75" hidden="false" customHeight="true" outlineLevel="0" collapsed="false">
      <c r="AJ439" s="16" t="str">
        <f aca="false">IF(Data_Summary!Y440&lt;&gt;"Coverage","",IF(Data_Summary!AA440="","",IF(COUNTIFS(Data_Summary!$Y$2:$Y440,"Coverage",Data_Summary!$AA$2:$AA440,Data_Summary!AA440)=1,Data_Summary!AA440,"")))</f>
        <v/>
      </c>
      <c r="AK439" s="16" t="str">
        <f aca="false">IF(AJ439="","",COUNTIFS(Data_Summary!$Y$2:$Y$20001,"Coverage",Data_Summary!$AA$2:$AA$20001,AJ439))</f>
        <v/>
      </c>
    </row>
    <row r="440" customFormat="false" ht="12.75" hidden="false" customHeight="true" outlineLevel="0" collapsed="false">
      <c r="AJ440" s="16" t="str">
        <f aca="false">IF(Data_Summary!Y441&lt;&gt;"Coverage","",IF(Data_Summary!AA441="","",IF(COUNTIFS(Data_Summary!$Y$2:$Y441,"Coverage",Data_Summary!$AA$2:$AA441,Data_Summary!AA441)=1,Data_Summary!AA441,"")))</f>
        <v/>
      </c>
      <c r="AK440" s="16" t="str">
        <f aca="false">IF(AJ440="","",COUNTIFS(Data_Summary!$Y$2:$Y$20001,"Coverage",Data_Summary!$AA$2:$AA$20001,AJ440))</f>
        <v/>
      </c>
    </row>
    <row r="441" customFormat="false" ht="12.75" hidden="false" customHeight="true" outlineLevel="0" collapsed="false">
      <c r="AJ441" s="16" t="str">
        <f aca="false">IF(Data_Summary!Y442&lt;&gt;"Coverage","",IF(Data_Summary!AA442="","",IF(COUNTIFS(Data_Summary!$Y$2:$Y442,"Coverage",Data_Summary!$AA$2:$AA442,Data_Summary!AA442)=1,Data_Summary!AA442,"")))</f>
        <v/>
      </c>
      <c r="AK441" s="16" t="str">
        <f aca="false">IF(AJ441="","",COUNTIFS(Data_Summary!$Y$2:$Y$20001,"Coverage",Data_Summary!$AA$2:$AA$20001,AJ441))</f>
        <v/>
      </c>
    </row>
    <row r="442" customFormat="false" ht="12.75" hidden="false" customHeight="true" outlineLevel="0" collapsed="false">
      <c r="AJ442" s="16" t="str">
        <f aca="false">IF(Data_Summary!Y443&lt;&gt;"Coverage","",IF(Data_Summary!AA443="","",IF(COUNTIFS(Data_Summary!$Y$2:$Y443,"Coverage",Data_Summary!$AA$2:$AA443,Data_Summary!AA443)=1,Data_Summary!AA443,"")))</f>
        <v/>
      </c>
      <c r="AK442" s="16" t="str">
        <f aca="false">IF(AJ442="","",COUNTIFS(Data_Summary!$Y$2:$Y$20001,"Coverage",Data_Summary!$AA$2:$AA$20001,AJ442))</f>
        <v/>
      </c>
    </row>
    <row r="443" customFormat="false" ht="12.75" hidden="false" customHeight="true" outlineLevel="0" collapsed="false">
      <c r="AJ443" s="16" t="str">
        <f aca="false">IF(Data_Summary!Y444&lt;&gt;"Coverage","",IF(Data_Summary!AA444="","",IF(COUNTIFS(Data_Summary!$Y$2:$Y444,"Coverage",Data_Summary!$AA$2:$AA444,Data_Summary!AA444)=1,Data_Summary!AA444,"")))</f>
        <v/>
      </c>
      <c r="AK443" s="16" t="str">
        <f aca="false">IF(AJ443="","",COUNTIFS(Data_Summary!$Y$2:$Y$20001,"Coverage",Data_Summary!$AA$2:$AA$20001,AJ443))</f>
        <v/>
      </c>
    </row>
    <row r="444" customFormat="false" ht="12.75" hidden="false" customHeight="true" outlineLevel="0" collapsed="false">
      <c r="AJ444" s="16" t="str">
        <f aca="false">IF(Data_Summary!Y445&lt;&gt;"Coverage","",IF(Data_Summary!AA445="","",IF(COUNTIFS(Data_Summary!$Y$2:$Y445,"Coverage",Data_Summary!$AA$2:$AA445,Data_Summary!AA445)=1,Data_Summary!AA445,"")))</f>
        <v/>
      </c>
      <c r="AK444" s="16" t="str">
        <f aca="false">IF(AJ444="","",COUNTIFS(Data_Summary!$Y$2:$Y$20001,"Coverage",Data_Summary!$AA$2:$AA$20001,AJ444))</f>
        <v/>
      </c>
    </row>
    <row r="445" customFormat="false" ht="12.75" hidden="false" customHeight="true" outlineLevel="0" collapsed="false">
      <c r="AJ445" s="16" t="str">
        <f aca="false">IF(Data_Summary!Y446&lt;&gt;"Coverage","",IF(Data_Summary!AA446="","",IF(COUNTIFS(Data_Summary!$Y$2:$Y446,"Coverage",Data_Summary!$AA$2:$AA446,Data_Summary!AA446)=1,Data_Summary!AA446,"")))</f>
        <v/>
      </c>
      <c r="AK445" s="16" t="str">
        <f aca="false">IF(AJ445="","",COUNTIFS(Data_Summary!$Y$2:$Y$20001,"Coverage",Data_Summary!$AA$2:$AA$20001,AJ445))</f>
        <v/>
      </c>
    </row>
    <row r="446" customFormat="false" ht="12.75" hidden="false" customHeight="true" outlineLevel="0" collapsed="false">
      <c r="AJ446" s="16" t="str">
        <f aca="false">IF(Data_Summary!Y447&lt;&gt;"Coverage","",IF(Data_Summary!AA447="","",IF(COUNTIFS(Data_Summary!$Y$2:$Y447,"Coverage",Data_Summary!$AA$2:$AA447,Data_Summary!AA447)=1,Data_Summary!AA447,"")))</f>
        <v/>
      </c>
      <c r="AK446" s="16" t="str">
        <f aca="false">IF(AJ446="","",COUNTIFS(Data_Summary!$Y$2:$Y$20001,"Coverage",Data_Summary!$AA$2:$AA$20001,AJ446))</f>
        <v/>
      </c>
    </row>
    <row r="447" customFormat="false" ht="12.75" hidden="false" customHeight="true" outlineLevel="0" collapsed="false">
      <c r="AJ447" s="16" t="str">
        <f aca="false">IF(Data_Summary!Y448&lt;&gt;"Coverage","",IF(Data_Summary!AA448="","",IF(COUNTIFS(Data_Summary!$Y$2:$Y448,"Coverage",Data_Summary!$AA$2:$AA448,Data_Summary!AA448)=1,Data_Summary!AA448,"")))</f>
        <v>NA</v>
      </c>
      <c r="AK447" s="16" t="n">
        <f aca="false">IF(AJ447="","",COUNTIFS(Data_Summary!$Y$2:$Y$20001,"Coverage",Data_Summary!$AA$2:$AA$20001,AJ447))</f>
        <v>1</v>
      </c>
    </row>
    <row r="448" customFormat="false" ht="12.75" hidden="false" customHeight="true" outlineLevel="0" collapsed="false">
      <c r="AJ448" s="16" t="str">
        <f aca="false">IF(Data_Summary!Y449&lt;&gt;"Coverage","",IF(Data_Summary!AA449="","",IF(COUNTIFS(Data_Summary!$Y$2:$Y449,"Coverage",Data_Summary!$AA$2:$AA449,Data_Summary!AA449)=1,Data_Summary!AA449,"")))</f>
        <v>Action Closure Discipline</v>
      </c>
      <c r="AK448" s="16" t="n">
        <f aca="false">IF(AJ448="","",COUNTIFS(Data_Summary!$Y$2:$Y$20001,"Coverage",Data_Summary!$AA$2:$AA$20001,AJ448))</f>
        <v>1</v>
      </c>
    </row>
    <row r="449" customFormat="false" ht="12.75" hidden="false" customHeight="true" outlineLevel="0" collapsed="false">
      <c r="AJ449" s="16" t="str">
        <f aca="false">IF(Data_Summary!Y450&lt;&gt;"Coverage","",IF(Data_Summary!AA450="","",IF(COUNTIFS(Data_Summary!$Y$2:$Y450,"Coverage",Data_Summary!$AA$2:$AA450,Data_Summary!AA450)=1,Data_Summary!AA450,"")))</f>
        <v/>
      </c>
      <c r="AK449" s="16" t="str">
        <f aca="false">IF(AJ449="","",COUNTIFS(Data_Summary!$Y$2:$Y$20001,"Coverage",Data_Summary!$AA$2:$AA$20001,AJ449))</f>
        <v/>
      </c>
    </row>
    <row r="450" customFormat="false" ht="12.75" hidden="false" customHeight="true" outlineLevel="0" collapsed="false">
      <c r="AJ450" s="16" t="str">
        <f aca="false">IF(Data_Summary!Y451&lt;&gt;"Coverage","",IF(Data_Summary!AA451="","",IF(COUNTIFS(Data_Summary!$Y$2:$Y451,"Coverage",Data_Summary!$AA$2:$AA451,Data_Summary!AA451)=1,Data_Summary!AA451,"")))</f>
        <v/>
      </c>
      <c r="AK450" s="16" t="str">
        <f aca="false">IF(AJ450="","",COUNTIFS(Data_Summary!$Y$2:$Y$20001,"Coverage",Data_Summary!$AA$2:$AA$20001,AJ450))</f>
        <v/>
      </c>
    </row>
    <row r="451" customFormat="false" ht="12.75" hidden="false" customHeight="true" outlineLevel="0" collapsed="false">
      <c r="AJ451" s="16" t="str">
        <f aca="false">IF(Data_Summary!Y452&lt;&gt;"Coverage","",IF(Data_Summary!AA452="","",IF(COUNTIFS(Data_Summary!$Y$2:$Y452,"Coverage",Data_Summary!$AA$2:$AA452,Data_Summary!AA452)=1,Data_Summary!AA452,"")))</f>
        <v/>
      </c>
      <c r="AK451" s="16" t="str">
        <f aca="false">IF(AJ451="","",COUNTIFS(Data_Summary!$Y$2:$Y$20001,"Coverage",Data_Summary!$AA$2:$AA$20001,AJ451))</f>
        <v/>
      </c>
    </row>
    <row r="452" customFormat="false" ht="12.75" hidden="false" customHeight="true" outlineLevel="0" collapsed="false">
      <c r="AJ452" s="16" t="str">
        <f aca="false">IF(Data_Summary!Y453&lt;&gt;"Coverage","",IF(Data_Summary!AA453="","",IF(COUNTIFS(Data_Summary!$Y$2:$Y453,"Coverage",Data_Summary!$AA$2:$AA453,Data_Summary!AA453)=1,Data_Summary!AA453,"")))</f>
        <v/>
      </c>
      <c r="AK452" s="16" t="str">
        <f aca="false">IF(AJ452="","",COUNTIFS(Data_Summary!$Y$2:$Y$20001,"Coverage",Data_Summary!$AA$2:$AA$20001,AJ452))</f>
        <v/>
      </c>
    </row>
    <row r="453" customFormat="false" ht="12.75" hidden="false" customHeight="true" outlineLevel="0" collapsed="false">
      <c r="AJ453" s="16" t="str">
        <f aca="false">IF(Data_Summary!Y454&lt;&gt;"Coverage","",IF(Data_Summary!AA454="","",IF(COUNTIFS(Data_Summary!$Y$2:$Y454,"Coverage",Data_Summary!$AA$2:$AA454,Data_Summary!AA454)=1,Data_Summary!AA454,"")))</f>
        <v/>
      </c>
      <c r="AK453" s="16" t="str">
        <f aca="false">IF(AJ453="","",COUNTIFS(Data_Summary!$Y$2:$Y$20001,"Coverage",Data_Summary!$AA$2:$AA$20001,AJ453))</f>
        <v/>
      </c>
    </row>
    <row r="454" customFormat="false" ht="12.75" hidden="false" customHeight="true" outlineLevel="0" collapsed="false">
      <c r="AJ454" s="16" t="str">
        <f aca="false">IF(Data_Summary!Y455&lt;&gt;"Coverage","",IF(Data_Summary!AA455="","",IF(COUNTIFS(Data_Summary!$Y$2:$Y455,"Coverage",Data_Summary!$AA$2:$AA455,Data_Summary!AA455)=1,Data_Summary!AA455,"")))</f>
        <v/>
      </c>
      <c r="AK454" s="16" t="str">
        <f aca="false">IF(AJ454="","",COUNTIFS(Data_Summary!$Y$2:$Y$20001,"Coverage",Data_Summary!$AA$2:$AA$20001,AJ454))</f>
        <v/>
      </c>
    </row>
    <row r="455" customFormat="false" ht="12.75" hidden="false" customHeight="true" outlineLevel="0" collapsed="false">
      <c r="AJ455" s="16" t="str">
        <f aca="false">IF(Data_Summary!Y456&lt;&gt;"Coverage","",IF(Data_Summary!AA456="","",IF(COUNTIFS(Data_Summary!$Y$2:$Y456,"Coverage",Data_Summary!$AA$2:$AA456,Data_Summary!AA456)=1,Data_Summary!AA456,"")))</f>
        <v/>
      </c>
      <c r="AK455" s="16" t="str">
        <f aca="false">IF(AJ455="","",COUNTIFS(Data_Summary!$Y$2:$Y$20001,"Coverage",Data_Summary!$AA$2:$AA$20001,AJ455))</f>
        <v/>
      </c>
    </row>
    <row r="456" customFormat="false" ht="12.75" hidden="false" customHeight="true" outlineLevel="0" collapsed="false">
      <c r="AJ456" s="16" t="str">
        <f aca="false">IF(Data_Summary!Y457&lt;&gt;"Coverage","",IF(Data_Summary!AA457="","",IF(COUNTIFS(Data_Summary!$Y$2:$Y457,"Coverage",Data_Summary!$AA$2:$AA457,Data_Summary!AA457)=1,Data_Summary!AA457,"")))</f>
        <v/>
      </c>
      <c r="AK456" s="16" t="str">
        <f aca="false">IF(AJ456="","",COUNTIFS(Data_Summary!$Y$2:$Y$20001,"Coverage",Data_Summary!$AA$2:$AA$20001,AJ456))</f>
        <v/>
      </c>
    </row>
    <row r="457" customFormat="false" ht="12.75" hidden="false" customHeight="true" outlineLevel="0" collapsed="false">
      <c r="AJ457" s="16" t="str">
        <f aca="false">IF(Data_Summary!Y458&lt;&gt;"Coverage","",IF(Data_Summary!AA458="","",IF(COUNTIFS(Data_Summary!$Y$2:$Y458,"Coverage",Data_Summary!$AA$2:$AA458,Data_Summary!AA458)=1,Data_Summary!AA458,"")))</f>
        <v/>
      </c>
      <c r="AK457" s="16" t="str">
        <f aca="false">IF(AJ457="","",COUNTIFS(Data_Summary!$Y$2:$Y$20001,"Coverage",Data_Summary!$AA$2:$AA$20001,AJ457))</f>
        <v/>
      </c>
    </row>
    <row r="458" customFormat="false" ht="12.75" hidden="false" customHeight="true" outlineLevel="0" collapsed="false">
      <c r="AJ458" s="16" t="str">
        <f aca="false">IF(Data_Summary!Y459&lt;&gt;"Coverage","",IF(Data_Summary!AA459="","",IF(COUNTIFS(Data_Summary!$Y$2:$Y459,"Coverage",Data_Summary!$AA$2:$AA459,Data_Summary!AA459)=1,Data_Summary!AA459,"")))</f>
        <v/>
      </c>
      <c r="AK458" s="16" t="str">
        <f aca="false">IF(AJ458="","",COUNTIFS(Data_Summary!$Y$2:$Y$20001,"Coverage",Data_Summary!$AA$2:$AA$20001,AJ458))</f>
        <v/>
      </c>
    </row>
    <row r="459" customFormat="false" ht="12.75" hidden="false" customHeight="true" outlineLevel="0" collapsed="false">
      <c r="AJ459" s="16" t="str">
        <f aca="false">IF(Data_Summary!Y460&lt;&gt;"Coverage","",IF(Data_Summary!AA460="","",IF(COUNTIFS(Data_Summary!$Y$2:$Y460,"Coverage",Data_Summary!$AA$2:$AA460,Data_Summary!AA460)=1,Data_Summary!AA460,"")))</f>
        <v/>
      </c>
      <c r="AK459" s="16" t="str">
        <f aca="false">IF(AJ459="","",COUNTIFS(Data_Summary!$Y$2:$Y$20001,"Coverage",Data_Summary!$AA$2:$AA$20001,AJ459))</f>
        <v/>
      </c>
    </row>
    <row r="460" customFormat="false" ht="12.75" hidden="false" customHeight="true" outlineLevel="0" collapsed="false">
      <c r="AJ460" s="16" t="str">
        <f aca="false">IF(Data_Summary!Y461&lt;&gt;"Coverage","",IF(Data_Summary!AA461="","",IF(COUNTIFS(Data_Summary!$Y$2:$Y461,"Coverage",Data_Summary!$AA$2:$AA461,Data_Summary!AA461)=1,Data_Summary!AA461,"")))</f>
        <v/>
      </c>
      <c r="AK460" s="16" t="str">
        <f aca="false">IF(AJ460="","",COUNTIFS(Data_Summary!$Y$2:$Y$20001,"Coverage",Data_Summary!$AA$2:$AA$20001,AJ460))</f>
        <v/>
      </c>
    </row>
    <row r="461" customFormat="false" ht="12.75" hidden="false" customHeight="true" outlineLevel="0" collapsed="false">
      <c r="AJ461" s="16" t="str">
        <f aca="false">IF(Data_Summary!Y462&lt;&gt;"Coverage","",IF(Data_Summary!AA462="","",IF(COUNTIFS(Data_Summary!$Y$2:$Y462,"Coverage",Data_Summary!$AA$2:$AA462,Data_Summary!AA462)=1,Data_Summary!AA462,"")))</f>
        <v/>
      </c>
      <c r="AK461" s="16" t="str">
        <f aca="false">IF(AJ461="","",COUNTIFS(Data_Summary!$Y$2:$Y$20001,"Coverage",Data_Summary!$AA$2:$AA$20001,AJ461))</f>
        <v/>
      </c>
    </row>
    <row r="462" customFormat="false" ht="12.75" hidden="false" customHeight="true" outlineLevel="0" collapsed="false">
      <c r="AJ462" s="16" t="str">
        <f aca="false">IF(Data_Summary!Y463&lt;&gt;"Coverage","",IF(Data_Summary!AA463="","",IF(COUNTIFS(Data_Summary!$Y$2:$Y463,"Coverage",Data_Summary!$AA$2:$AA463,Data_Summary!AA463)=1,Data_Summary!AA463,"")))</f>
        <v/>
      </c>
      <c r="AK462" s="16" t="str">
        <f aca="false">IF(AJ462="","",COUNTIFS(Data_Summary!$Y$2:$Y$20001,"Coverage",Data_Summary!$AA$2:$AA$20001,AJ462))</f>
        <v/>
      </c>
    </row>
    <row r="463" customFormat="false" ht="12.75" hidden="false" customHeight="true" outlineLevel="0" collapsed="false">
      <c r="AJ463" s="16" t="str">
        <f aca="false">IF(Data_Summary!Y464&lt;&gt;"Coverage","",IF(Data_Summary!AA464="","",IF(COUNTIFS(Data_Summary!$Y$2:$Y464,"Coverage",Data_Summary!$AA$2:$AA464,Data_Summary!AA464)=1,Data_Summary!AA464,"")))</f>
        <v/>
      </c>
      <c r="AK463" s="16" t="str">
        <f aca="false">IF(AJ463="","",COUNTIFS(Data_Summary!$Y$2:$Y$20001,"Coverage",Data_Summary!$AA$2:$AA$20001,AJ463))</f>
        <v/>
      </c>
    </row>
    <row r="464" customFormat="false" ht="12.75" hidden="false" customHeight="true" outlineLevel="0" collapsed="false">
      <c r="AJ464" s="16" t="str">
        <f aca="false">IF(Data_Summary!Y465&lt;&gt;"Coverage","",IF(Data_Summary!AA465="","",IF(COUNTIFS(Data_Summary!$Y$2:$Y465,"Coverage",Data_Summary!$AA$2:$AA465,Data_Summary!AA465)=1,Data_Summary!AA465,"")))</f>
        <v/>
      </c>
      <c r="AK464" s="16" t="str">
        <f aca="false">IF(AJ464="","",COUNTIFS(Data_Summary!$Y$2:$Y$20001,"Coverage",Data_Summary!$AA$2:$AA$20001,AJ464))</f>
        <v/>
      </c>
    </row>
    <row r="465" customFormat="false" ht="12.75" hidden="false" customHeight="true" outlineLevel="0" collapsed="false">
      <c r="AJ465" s="16" t="str">
        <f aca="false">IF(Data_Summary!Y466&lt;&gt;"Coverage","",IF(Data_Summary!AA466="","",IF(COUNTIFS(Data_Summary!$Y$2:$Y466,"Coverage",Data_Summary!$AA$2:$AA466,Data_Summary!AA466)=1,Data_Summary!AA466,"")))</f>
        <v/>
      </c>
      <c r="AK465" s="16" t="str">
        <f aca="false">IF(AJ465="","",COUNTIFS(Data_Summary!$Y$2:$Y$20001,"Coverage",Data_Summary!$AA$2:$AA$20001,AJ465))</f>
        <v/>
      </c>
    </row>
    <row r="466" customFormat="false" ht="12.75" hidden="false" customHeight="true" outlineLevel="0" collapsed="false">
      <c r="AJ466" s="16" t="str">
        <f aca="false">IF(Data_Summary!Y467&lt;&gt;"Coverage","",IF(Data_Summary!AA467="","",IF(COUNTIFS(Data_Summary!$Y$2:$Y467,"Coverage",Data_Summary!$AA$2:$AA467,Data_Summary!AA467)=1,Data_Summary!AA467,"")))</f>
        <v/>
      </c>
      <c r="AK466" s="16" t="str">
        <f aca="false">IF(AJ466="","",COUNTIFS(Data_Summary!$Y$2:$Y$20001,"Coverage",Data_Summary!$AA$2:$AA$20001,AJ466))</f>
        <v/>
      </c>
    </row>
    <row r="467" customFormat="false" ht="12.75" hidden="false" customHeight="true" outlineLevel="0" collapsed="false">
      <c r="AJ467" s="16" t="str">
        <f aca="false">IF(Data_Summary!Y468&lt;&gt;"Coverage","",IF(Data_Summary!AA468="","",IF(COUNTIFS(Data_Summary!$Y$2:$Y468,"Coverage",Data_Summary!$AA$2:$AA468,Data_Summary!AA468)=1,Data_Summary!AA468,"")))</f>
        <v/>
      </c>
      <c r="AK467" s="16" t="str">
        <f aca="false">IF(AJ467="","",COUNTIFS(Data_Summary!$Y$2:$Y$20001,"Coverage",Data_Summary!$AA$2:$AA$20001,AJ467))</f>
        <v/>
      </c>
    </row>
    <row r="468" customFormat="false" ht="12.75" hidden="false" customHeight="true" outlineLevel="0" collapsed="false">
      <c r="AJ468" s="16" t="str">
        <f aca="false">IF(Data_Summary!Y469&lt;&gt;"Coverage","",IF(Data_Summary!AA469="","",IF(COUNTIFS(Data_Summary!$Y$2:$Y469,"Coverage",Data_Summary!$AA$2:$AA469,Data_Summary!AA469)=1,Data_Summary!AA469,"")))</f>
        <v/>
      </c>
      <c r="AK468" s="16" t="str">
        <f aca="false">IF(AJ468="","",COUNTIFS(Data_Summary!$Y$2:$Y$20001,"Coverage",Data_Summary!$AA$2:$AA$20001,AJ468))</f>
        <v/>
      </c>
    </row>
    <row r="469" customFormat="false" ht="12.75" hidden="false" customHeight="true" outlineLevel="0" collapsed="false">
      <c r="AJ469" s="16" t="str">
        <f aca="false">IF(Data_Summary!Y470&lt;&gt;"Coverage","",IF(Data_Summary!AA470="","",IF(COUNTIFS(Data_Summary!$Y$2:$Y470,"Coverage",Data_Summary!$AA$2:$AA470,Data_Summary!AA470)=1,Data_Summary!AA470,"")))</f>
        <v/>
      </c>
      <c r="AK469" s="16" t="str">
        <f aca="false">IF(AJ469="","",COUNTIFS(Data_Summary!$Y$2:$Y$20001,"Coverage",Data_Summary!$AA$2:$AA$20001,AJ469))</f>
        <v/>
      </c>
    </row>
    <row r="470" customFormat="false" ht="12.75" hidden="false" customHeight="true" outlineLevel="0" collapsed="false">
      <c r="AJ470" s="16" t="str">
        <f aca="false">IF(Data_Summary!Y471&lt;&gt;"Coverage","",IF(Data_Summary!AA471="","",IF(COUNTIFS(Data_Summary!$Y$2:$Y471,"Coverage",Data_Summary!$AA$2:$AA471,Data_Summary!AA471)=1,Data_Summary!AA471,"")))</f>
        <v/>
      </c>
      <c r="AK470" s="16" t="str">
        <f aca="false">IF(AJ470="","",COUNTIFS(Data_Summary!$Y$2:$Y$20001,"Coverage",Data_Summary!$AA$2:$AA$20001,AJ470))</f>
        <v/>
      </c>
    </row>
    <row r="471" customFormat="false" ht="12.75" hidden="false" customHeight="true" outlineLevel="0" collapsed="false">
      <c r="AJ471" s="16" t="str">
        <f aca="false">IF(Data_Summary!Y472&lt;&gt;"Coverage","",IF(Data_Summary!AA472="","",IF(COUNTIFS(Data_Summary!$Y$2:$Y472,"Coverage",Data_Summary!$AA$2:$AA472,Data_Summary!AA472)=1,Data_Summary!AA472,"")))</f>
        <v/>
      </c>
      <c r="AK471" s="16" t="str">
        <f aca="false">IF(AJ471="","",COUNTIFS(Data_Summary!$Y$2:$Y$20001,"Coverage",Data_Summary!$AA$2:$AA$20001,AJ471))</f>
        <v/>
      </c>
    </row>
    <row r="472" customFormat="false" ht="12.75" hidden="false" customHeight="true" outlineLevel="0" collapsed="false">
      <c r="AJ472" s="16" t="str">
        <f aca="false">IF(Data_Summary!Y473&lt;&gt;"Coverage","",IF(Data_Summary!AA473="","",IF(COUNTIFS(Data_Summary!$Y$2:$Y473,"Coverage",Data_Summary!$AA$2:$AA473,Data_Summary!AA473)=1,Data_Summary!AA473,"")))</f>
        <v/>
      </c>
      <c r="AK472" s="16" t="str">
        <f aca="false">IF(AJ472="","",COUNTIFS(Data_Summary!$Y$2:$Y$20001,"Coverage",Data_Summary!$AA$2:$AA$20001,AJ472))</f>
        <v/>
      </c>
    </row>
    <row r="473" customFormat="false" ht="12.75" hidden="false" customHeight="true" outlineLevel="0" collapsed="false">
      <c r="AJ473" s="16" t="str">
        <f aca="false">IF(Data_Summary!Y474&lt;&gt;"Coverage","",IF(Data_Summary!AA474="","",IF(COUNTIFS(Data_Summary!$Y$2:$Y474,"Coverage",Data_Summary!$AA$2:$AA474,Data_Summary!AA474)=1,Data_Summary!AA474,"")))</f>
        <v/>
      </c>
      <c r="AK473" s="16" t="str">
        <f aca="false">IF(AJ473="","",COUNTIFS(Data_Summary!$Y$2:$Y$20001,"Coverage",Data_Summary!$AA$2:$AA$20001,AJ473))</f>
        <v/>
      </c>
    </row>
    <row r="474" customFormat="false" ht="12.75" hidden="false" customHeight="true" outlineLevel="0" collapsed="false">
      <c r="AJ474" s="16" t="str">
        <f aca="false">IF(Data_Summary!Y475&lt;&gt;"Coverage","",IF(Data_Summary!AA475="","",IF(COUNTIFS(Data_Summary!$Y$2:$Y475,"Coverage",Data_Summary!$AA$2:$AA475,Data_Summary!AA475)=1,Data_Summary!AA475,"")))</f>
        <v/>
      </c>
      <c r="AK474" s="16" t="str">
        <f aca="false">IF(AJ474="","",COUNTIFS(Data_Summary!$Y$2:$Y$20001,"Coverage",Data_Summary!$AA$2:$AA$20001,AJ474))</f>
        <v/>
      </c>
    </row>
    <row r="475" customFormat="false" ht="12.75" hidden="false" customHeight="true" outlineLevel="0" collapsed="false">
      <c r="AJ475" s="16" t="str">
        <f aca="false">IF(Data_Summary!Y476&lt;&gt;"Coverage","",IF(Data_Summary!AA476="","",IF(COUNTIFS(Data_Summary!$Y$2:$Y476,"Coverage",Data_Summary!$AA$2:$AA476,Data_Summary!AA476)=1,Data_Summary!AA476,"")))</f>
        <v/>
      </c>
      <c r="AK475" s="16" t="str">
        <f aca="false">IF(AJ475="","",COUNTIFS(Data_Summary!$Y$2:$Y$20001,"Coverage",Data_Summary!$AA$2:$AA$20001,AJ475))</f>
        <v/>
      </c>
    </row>
    <row r="476" customFormat="false" ht="12.75" hidden="false" customHeight="true" outlineLevel="0" collapsed="false">
      <c r="AJ476" s="16" t="str">
        <f aca="false">IF(Data_Summary!Y477&lt;&gt;"Coverage","",IF(Data_Summary!AA477="","",IF(COUNTIFS(Data_Summary!$Y$2:$Y477,"Coverage",Data_Summary!$AA$2:$AA477,Data_Summary!AA477)=1,Data_Summary!AA477,"")))</f>
        <v/>
      </c>
      <c r="AK476" s="16" t="str">
        <f aca="false">IF(AJ476="","",COUNTIFS(Data_Summary!$Y$2:$Y$20001,"Coverage",Data_Summary!$AA$2:$AA$20001,AJ476))</f>
        <v/>
      </c>
    </row>
    <row r="477" customFormat="false" ht="12.75" hidden="false" customHeight="true" outlineLevel="0" collapsed="false">
      <c r="AJ477" s="16" t="str">
        <f aca="false">IF(Data_Summary!Y478&lt;&gt;"Coverage","",IF(Data_Summary!AA478="","",IF(COUNTIFS(Data_Summary!$Y$2:$Y478,"Coverage",Data_Summary!$AA$2:$AA478,Data_Summary!AA478)=1,Data_Summary!AA478,"")))</f>
        <v/>
      </c>
      <c r="AK477" s="16" t="str">
        <f aca="false">IF(AJ477="","",COUNTIFS(Data_Summary!$Y$2:$Y$20001,"Coverage",Data_Summary!$AA$2:$AA$20001,AJ477))</f>
        <v/>
      </c>
    </row>
    <row r="478" customFormat="false" ht="12.75" hidden="false" customHeight="true" outlineLevel="0" collapsed="false">
      <c r="AJ478" s="16" t="str">
        <f aca="false">IF(Data_Summary!Y479&lt;&gt;"Coverage","",IF(Data_Summary!AA479="","",IF(COUNTIFS(Data_Summary!$Y$2:$Y479,"Coverage",Data_Summary!$AA$2:$AA479,Data_Summary!AA479)=1,Data_Summary!AA479,"")))</f>
        <v/>
      </c>
      <c r="AK478" s="16" t="str">
        <f aca="false">IF(AJ478="","",COUNTIFS(Data_Summary!$Y$2:$Y$20001,"Coverage",Data_Summary!$AA$2:$AA$20001,AJ478))</f>
        <v/>
      </c>
    </row>
    <row r="479" customFormat="false" ht="12.75" hidden="false" customHeight="true" outlineLevel="0" collapsed="false">
      <c r="AJ479" s="16" t="str">
        <f aca="false">IF(Data_Summary!Y480&lt;&gt;"Coverage","",IF(Data_Summary!AA480="","",IF(COUNTIFS(Data_Summary!$Y$2:$Y480,"Coverage",Data_Summary!$AA$2:$AA480,Data_Summary!AA480)=1,Data_Summary!AA480,"")))</f>
        <v/>
      </c>
      <c r="AK479" s="16" t="str">
        <f aca="false">IF(AJ479="","",COUNTIFS(Data_Summary!$Y$2:$Y$20001,"Coverage",Data_Summary!$AA$2:$AA$20001,AJ479))</f>
        <v/>
      </c>
    </row>
    <row r="480" customFormat="false" ht="12.75" hidden="false" customHeight="true" outlineLevel="0" collapsed="false">
      <c r="AJ480" s="16" t="str">
        <f aca="false">IF(Data_Summary!Y481&lt;&gt;"Coverage","",IF(Data_Summary!AA481="","",IF(COUNTIFS(Data_Summary!$Y$2:$Y481,"Coverage",Data_Summary!$AA$2:$AA481,Data_Summary!AA481)=1,Data_Summary!AA481,"")))</f>
        <v/>
      </c>
      <c r="AK480" s="16" t="str">
        <f aca="false">IF(AJ480="","",COUNTIFS(Data_Summary!$Y$2:$Y$20001,"Coverage",Data_Summary!$AA$2:$AA$20001,AJ480))</f>
        <v/>
      </c>
    </row>
    <row r="481" customFormat="false" ht="12.75" hidden="false" customHeight="true" outlineLevel="0" collapsed="false">
      <c r="AJ481" s="16" t="str">
        <f aca="false">IF(Data_Summary!Y482&lt;&gt;"Coverage","",IF(Data_Summary!AA482="","",IF(COUNTIFS(Data_Summary!$Y$2:$Y482,"Coverage",Data_Summary!$AA$2:$AA482,Data_Summary!AA482)=1,Data_Summary!AA482,"")))</f>
        <v/>
      </c>
      <c r="AK481" s="16" t="str">
        <f aca="false">IF(AJ481="","",COUNTIFS(Data_Summary!$Y$2:$Y$20001,"Coverage",Data_Summary!$AA$2:$AA$20001,AJ481))</f>
        <v/>
      </c>
    </row>
    <row r="482" customFormat="false" ht="12.75" hidden="false" customHeight="true" outlineLevel="0" collapsed="false">
      <c r="AJ482" s="16" t="str">
        <f aca="false">IF(Data_Summary!Y483&lt;&gt;"Coverage","",IF(Data_Summary!AA483="","",IF(COUNTIFS(Data_Summary!$Y$2:$Y483,"Coverage",Data_Summary!$AA$2:$AA483,Data_Summary!AA483)=1,Data_Summary!AA483,"")))</f>
        <v/>
      </c>
      <c r="AK482" s="16" t="str">
        <f aca="false">IF(AJ482="","",COUNTIFS(Data_Summary!$Y$2:$Y$20001,"Coverage",Data_Summary!$AA$2:$AA$20001,AJ482))</f>
        <v/>
      </c>
    </row>
    <row r="483" customFormat="false" ht="12.75" hidden="false" customHeight="true" outlineLevel="0" collapsed="false">
      <c r="AJ483" s="16" t="str">
        <f aca="false">IF(Data_Summary!Y484&lt;&gt;"Coverage","",IF(Data_Summary!AA484="","",IF(COUNTIFS(Data_Summary!$Y$2:$Y484,"Coverage",Data_Summary!$AA$2:$AA484,Data_Summary!AA484)=1,Data_Summary!AA484,"")))</f>
        <v/>
      </c>
      <c r="AK483" s="16" t="str">
        <f aca="false">IF(AJ483="","",COUNTIFS(Data_Summary!$Y$2:$Y$20001,"Coverage",Data_Summary!$AA$2:$AA$20001,AJ483))</f>
        <v/>
      </c>
    </row>
    <row r="484" customFormat="false" ht="12.75" hidden="false" customHeight="true" outlineLevel="0" collapsed="false">
      <c r="AJ484" s="16" t="str">
        <f aca="false">IF(Data_Summary!Y485&lt;&gt;"Coverage","",IF(Data_Summary!AA485="","",IF(COUNTIFS(Data_Summary!$Y$2:$Y485,"Coverage",Data_Summary!$AA$2:$AA485,Data_Summary!AA485)=1,Data_Summary!AA485,"")))</f>
        <v/>
      </c>
      <c r="AK484" s="16" t="str">
        <f aca="false">IF(AJ484="","",COUNTIFS(Data_Summary!$Y$2:$Y$20001,"Coverage",Data_Summary!$AA$2:$AA$20001,AJ484))</f>
        <v/>
      </c>
    </row>
    <row r="485" customFormat="false" ht="12.75" hidden="false" customHeight="true" outlineLevel="0" collapsed="false">
      <c r="AJ485" s="16" t="str">
        <f aca="false">IF(Data_Summary!Y486&lt;&gt;"Coverage","",IF(Data_Summary!AA486="","",IF(COUNTIFS(Data_Summary!$Y$2:$Y486,"Coverage",Data_Summary!$AA$2:$AA486,Data_Summary!AA486)=1,Data_Summary!AA486,"")))</f>
        <v/>
      </c>
      <c r="AK485" s="16" t="str">
        <f aca="false">IF(AJ485="","",COUNTIFS(Data_Summary!$Y$2:$Y$20001,"Coverage",Data_Summary!$AA$2:$AA$20001,AJ485))</f>
        <v/>
      </c>
    </row>
    <row r="486" customFormat="false" ht="12.75" hidden="false" customHeight="true" outlineLevel="0" collapsed="false">
      <c r="AJ486" s="16" t="str">
        <f aca="false">IF(Data_Summary!Y487&lt;&gt;"Coverage","",IF(Data_Summary!AA487="","",IF(COUNTIFS(Data_Summary!$Y$2:$Y487,"Coverage",Data_Summary!$AA$2:$AA487,Data_Summary!AA487)=1,Data_Summary!AA487,"")))</f>
        <v/>
      </c>
      <c r="AK486" s="16" t="str">
        <f aca="false">IF(AJ486="","",COUNTIFS(Data_Summary!$Y$2:$Y$20001,"Coverage",Data_Summary!$AA$2:$AA$20001,AJ486))</f>
        <v/>
      </c>
    </row>
    <row r="487" customFormat="false" ht="12.75" hidden="false" customHeight="true" outlineLevel="0" collapsed="false">
      <c r="AJ487" s="16" t="str">
        <f aca="false">IF(Data_Summary!Y488&lt;&gt;"Coverage","",IF(Data_Summary!AA488="","",IF(COUNTIFS(Data_Summary!$Y$2:$Y488,"Coverage",Data_Summary!$AA$2:$AA488,Data_Summary!AA488)=1,Data_Summary!AA488,"")))</f>
        <v/>
      </c>
      <c r="AK487" s="16" t="str">
        <f aca="false">IF(AJ487="","",COUNTIFS(Data_Summary!$Y$2:$Y$20001,"Coverage",Data_Summary!$AA$2:$AA$20001,AJ487))</f>
        <v/>
      </c>
    </row>
    <row r="488" customFormat="false" ht="12.75" hidden="false" customHeight="true" outlineLevel="0" collapsed="false">
      <c r="AJ488" s="16" t="str">
        <f aca="false">IF(Data_Summary!Y489&lt;&gt;"Coverage","",IF(Data_Summary!AA489="","",IF(COUNTIFS(Data_Summary!$Y$2:$Y489,"Coverage",Data_Summary!$AA$2:$AA489,Data_Summary!AA489)=1,Data_Summary!AA489,"")))</f>
        <v/>
      </c>
      <c r="AK488" s="16" t="str">
        <f aca="false">IF(AJ488="","",COUNTIFS(Data_Summary!$Y$2:$Y$20001,"Coverage",Data_Summary!$AA$2:$AA$20001,AJ488))</f>
        <v/>
      </c>
    </row>
    <row r="489" customFormat="false" ht="12.75" hidden="false" customHeight="true" outlineLevel="0" collapsed="false">
      <c r="AJ489" s="16" t="str">
        <f aca="false">IF(Data_Summary!Y490&lt;&gt;"Coverage","",IF(Data_Summary!AA490="","",IF(COUNTIFS(Data_Summary!$Y$2:$Y490,"Coverage",Data_Summary!$AA$2:$AA490,Data_Summary!AA490)=1,Data_Summary!AA490,"")))</f>
        <v/>
      </c>
      <c r="AK489" s="16" t="str">
        <f aca="false">IF(AJ489="","",COUNTIFS(Data_Summary!$Y$2:$Y$20001,"Coverage",Data_Summary!$AA$2:$AA$20001,AJ489))</f>
        <v/>
      </c>
    </row>
    <row r="490" customFormat="false" ht="12.75" hidden="false" customHeight="true" outlineLevel="0" collapsed="false">
      <c r="AJ490" s="16" t="str">
        <f aca="false">IF(Data_Summary!Y491&lt;&gt;"Coverage","",IF(Data_Summary!AA491="","",IF(COUNTIFS(Data_Summary!$Y$2:$Y491,"Coverage",Data_Summary!$AA$2:$AA491,Data_Summary!AA491)=1,Data_Summary!AA491,"")))</f>
        <v/>
      </c>
      <c r="AK490" s="16" t="str">
        <f aca="false">IF(AJ490="","",COUNTIFS(Data_Summary!$Y$2:$Y$20001,"Coverage",Data_Summary!$AA$2:$AA$20001,AJ490))</f>
        <v/>
      </c>
    </row>
    <row r="491" customFormat="false" ht="12.75" hidden="false" customHeight="true" outlineLevel="0" collapsed="false">
      <c r="AJ491" s="16" t="str">
        <f aca="false">IF(Data_Summary!Y492&lt;&gt;"Coverage","",IF(Data_Summary!AA492="","",IF(COUNTIFS(Data_Summary!$Y$2:$Y492,"Coverage",Data_Summary!$AA$2:$AA492,Data_Summary!AA492)=1,Data_Summary!AA492,"")))</f>
        <v/>
      </c>
      <c r="AK491" s="16" t="str">
        <f aca="false">IF(AJ491="","",COUNTIFS(Data_Summary!$Y$2:$Y$20001,"Coverage",Data_Summary!$AA$2:$AA$20001,AJ491))</f>
        <v/>
      </c>
    </row>
    <row r="492" customFormat="false" ht="12.75" hidden="false" customHeight="true" outlineLevel="0" collapsed="false">
      <c r="AJ492" s="16" t="str">
        <f aca="false">IF(Data_Summary!Y493&lt;&gt;"Coverage","",IF(Data_Summary!AA493="","",IF(COUNTIFS(Data_Summary!$Y$2:$Y493,"Coverage",Data_Summary!$AA$2:$AA493,Data_Summary!AA493)=1,Data_Summary!AA493,"")))</f>
        <v/>
      </c>
      <c r="AK492" s="16" t="str">
        <f aca="false">IF(AJ492="","",COUNTIFS(Data_Summary!$Y$2:$Y$20001,"Coverage",Data_Summary!$AA$2:$AA$20001,AJ492))</f>
        <v/>
      </c>
    </row>
    <row r="493" customFormat="false" ht="12.75" hidden="false" customHeight="true" outlineLevel="0" collapsed="false">
      <c r="AJ493" s="16" t="str">
        <f aca="false">IF(Data_Summary!Y494&lt;&gt;"Coverage","",IF(Data_Summary!AA494="","",IF(COUNTIFS(Data_Summary!$Y$2:$Y494,"Coverage",Data_Summary!$AA$2:$AA494,Data_Summary!AA494)=1,Data_Summary!AA494,"")))</f>
        <v/>
      </c>
      <c r="AK493" s="16" t="str">
        <f aca="false">IF(AJ493="","",COUNTIFS(Data_Summary!$Y$2:$Y$20001,"Coverage",Data_Summary!$AA$2:$AA$20001,AJ493))</f>
        <v/>
      </c>
    </row>
    <row r="494" customFormat="false" ht="12.75" hidden="false" customHeight="true" outlineLevel="0" collapsed="false">
      <c r="AJ494" s="16" t="str">
        <f aca="false">IF(Data_Summary!Y495&lt;&gt;"Coverage","",IF(Data_Summary!AA495="","",IF(COUNTIFS(Data_Summary!$Y$2:$Y495,"Coverage",Data_Summary!$AA$2:$AA495,Data_Summary!AA495)=1,Data_Summary!AA495,"")))</f>
        <v/>
      </c>
      <c r="AK494" s="16" t="str">
        <f aca="false">IF(AJ494="","",COUNTIFS(Data_Summary!$Y$2:$Y$20001,"Coverage",Data_Summary!$AA$2:$AA$20001,AJ494))</f>
        <v/>
      </c>
    </row>
    <row r="495" customFormat="false" ht="12.75" hidden="false" customHeight="true" outlineLevel="0" collapsed="false">
      <c r="AJ495" s="16" t="str">
        <f aca="false">IF(Data_Summary!Y496&lt;&gt;"Coverage","",IF(Data_Summary!AA496="","",IF(COUNTIFS(Data_Summary!$Y$2:$Y496,"Coverage",Data_Summary!$AA$2:$AA496,Data_Summary!AA496)=1,Data_Summary!AA496,"")))</f>
        <v/>
      </c>
      <c r="AK495" s="16" t="str">
        <f aca="false">IF(AJ495="","",COUNTIFS(Data_Summary!$Y$2:$Y$20001,"Coverage",Data_Summary!$AA$2:$AA$20001,AJ495))</f>
        <v/>
      </c>
    </row>
    <row r="496" customFormat="false" ht="12.75" hidden="false" customHeight="true" outlineLevel="0" collapsed="false">
      <c r="AJ496" s="16" t="str">
        <f aca="false">IF(Data_Summary!Y497&lt;&gt;"Coverage","",IF(Data_Summary!AA497="","",IF(COUNTIFS(Data_Summary!$Y$2:$Y497,"Coverage",Data_Summary!$AA$2:$AA497,Data_Summary!AA497)=1,Data_Summary!AA497,"")))</f>
        <v/>
      </c>
      <c r="AK496" s="16" t="str">
        <f aca="false">IF(AJ496="","",COUNTIFS(Data_Summary!$Y$2:$Y$20001,"Coverage",Data_Summary!$AA$2:$AA$20001,AJ496))</f>
        <v/>
      </c>
    </row>
    <row r="497" customFormat="false" ht="12.75" hidden="false" customHeight="true" outlineLevel="0" collapsed="false">
      <c r="AJ497" s="16" t="str">
        <f aca="false">IF(Data_Summary!Y498&lt;&gt;"Coverage","",IF(Data_Summary!AA498="","",IF(COUNTIFS(Data_Summary!$Y$2:$Y498,"Coverage",Data_Summary!$AA$2:$AA498,Data_Summary!AA498)=1,Data_Summary!AA498,"")))</f>
        <v/>
      </c>
      <c r="AK497" s="16" t="str">
        <f aca="false">IF(AJ497="","",COUNTIFS(Data_Summary!$Y$2:$Y$20001,"Coverage",Data_Summary!$AA$2:$AA$20001,AJ497))</f>
        <v/>
      </c>
    </row>
    <row r="498" customFormat="false" ht="12.75" hidden="false" customHeight="true" outlineLevel="0" collapsed="false">
      <c r="AJ498" s="16" t="str">
        <f aca="false">IF(Data_Summary!Y499&lt;&gt;"Coverage","",IF(Data_Summary!AA499="","",IF(COUNTIFS(Data_Summary!$Y$2:$Y499,"Coverage",Data_Summary!$AA$2:$AA499,Data_Summary!AA499)=1,Data_Summary!AA499,"")))</f>
        <v/>
      </c>
      <c r="AK498" s="16" t="str">
        <f aca="false">IF(AJ498="","",COUNTIFS(Data_Summary!$Y$2:$Y$20001,"Coverage",Data_Summary!$AA$2:$AA$20001,AJ498))</f>
        <v/>
      </c>
    </row>
    <row r="499" customFormat="false" ht="12.75" hidden="false" customHeight="true" outlineLevel="0" collapsed="false">
      <c r="AJ499" s="16" t="str">
        <f aca="false">IF(Data_Summary!Y500&lt;&gt;"Coverage","",IF(Data_Summary!AA500="","",IF(COUNTIFS(Data_Summary!$Y$2:$Y500,"Coverage",Data_Summary!$AA$2:$AA500,Data_Summary!AA500)=1,Data_Summary!AA500,"")))</f>
        <v/>
      </c>
      <c r="AK499" s="16" t="str">
        <f aca="false">IF(AJ499="","",COUNTIFS(Data_Summary!$Y$2:$Y$20001,"Coverage",Data_Summary!$AA$2:$AA$20001,AJ499))</f>
        <v/>
      </c>
    </row>
    <row r="500" customFormat="false" ht="12.75" hidden="false" customHeight="true" outlineLevel="0" collapsed="false">
      <c r="AJ500" s="16" t="str">
        <f aca="false">IF(Data_Summary!Y501&lt;&gt;"Coverage","",IF(Data_Summary!AA501="","",IF(COUNTIFS(Data_Summary!$Y$2:$Y501,"Coverage",Data_Summary!$AA$2:$AA501,Data_Summary!AA501)=1,Data_Summary!AA501,"")))</f>
        <v/>
      </c>
      <c r="AK500" s="16" t="str">
        <f aca="false">IF(AJ500="","",COUNTIFS(Data_Summary!$Y$2:$Y$20001,"Coverage",Data_Summary!$AA$2:$AA$20001,AJ500))</f>
        <v/>
      </c>
    </row>
    <row r="501" customFormat="false" ht="12.75" hidden="false" customHeight="true" outlineLevel="0" collapsed="false">
      <c r="AJ501" s="16" t="str">
        <f aca="false">IF(Data_Summary!Y502&lt;&gt;"Coverage","",IF(Data_Summary!AA502="","",IF(COUNTIFS(Data_Summary!$Y$2:$Y502,"Coverage",Data_Summary!$AA$2:$AA502,Data_Summary!AA502)=1,Data_Summary!AA502,"")))</f>
        <v/>
      </c>
      <c r="AK501" s="16" t="str">
        <f aca="false">IF(AJ501="","",COUNTIFS(Data_Summary!$Y$2:$Y$20001,"Coverage",Data_Summary!$AA$2:$AA$20001,AJ501))</f>
        <v/>
      </c>
    </row>
    <row r="502" customFormat="false" ht="12.75" hidden="false" customHeight="true" outlineLevel="0" collapsed="false">
      <c r="AJ502" s="16" t="str">
        <f aca="false">IF(Data_Summary!Y503&lt;&gt;"Coverage","",IF(Data_Summary!AA503="","",IF(COUNTIFS(Data_Summary!$Y$2:$Y503,"Coverage",Data_Summary!$AA$2:$AA503,Data_Summary!AA503)=1,Data_Summary!AA503,"")))</f>
        <v/>
      </c>
      <c r="AK502" s="16" t="str">
        <f aca="false">IF(AJ502="","",COUNTIFS(Data_Summary!$Y$2:$Y$20001,"Coverage",Data_Summary!$AA$2:$AA$20001,AJ502))</f>
        <v/>
      </c>
    </row>
    <row r="503" customFormat="false" ht="12.75" hidden="false" customHeight="true" outlineLevel="0" collapsed="false">
      <c r="AJ503" s="16" t="str">
        <f aca="false">IF(Data_Summary!Y504&lt;&gt;"Coverage","",IF(Data_Summary!AA504="","",IF(COUNTIFS(Data_Summary!$Y$2:$Y504,"Coverage",Data_Summary!$AA$2:$AA504,Data_Summary!AA504)=1,Data_Summary!AA504,"")))</f>
        <v/>
      </c>
      <c r="AK503" s="16" t="str">
        <f aca="false">IF(AJ503="","",COUNTIFS(Data_Summary!$Y$2:$Y$20001,"Coverage",Data_Summary!$AA$2:$AA$20001,AJ503))</f>
        <v/>
      </c>
    </row>
    <row r="504" customFormat="false" ht="12.75" hidden="false" customHeight="true" outlineLevel="0" collapsed="false">
      <c r="AJ504" s="16" t="str">
        <f aca="false">IF(Data_Summary!Y505&lt;&gt;"Coverage","",IF(Data_Summary!AA505="","",IF(COUNTIFS(Data_Summary!$Y$2:$Y505,"Coverage",Data_Summary!$AA$2:$AA505,Data_Summary!AA505)=1,Data_Summary!AA505,"")))</f>
        <v/>
      </c>
      <c r="AK504" s="16" t="str">
        <f aca="false">IF(AJ504="","",COUNTIFS(Data_Summary!$Y$2:$Y$20001,"Coverage",Data_Summary!$AA$2:$AA$20001,AJ504))</f>
        <v/>
      </c>
    </row>
    <row r="505" customFormat="false" ht="12.75" hidden="false" customHeight="true" outlineLevel="0" collapsed="false">
      <c r="AJ505" s="16" t="str">
        <f aca="false">IF(Data_Summary!Y506&lt;&gt;"Coverage","",IF(Data_Summary!AA506="","",IF(COUNTIFS(Data_Summary!$Y$2:$Y506,"Coverage",Data_Summary!$AA$2:$AA506,Data_Summary!AA506)=1,Data_Summary!AA506,"")))</f>
        <v/>
      </c>
      <c r="AK505" s="16" t="str">
        <f aca="false">IF(AJ505="","",COUNTIFS(Data_Summary!$Y$2:$Y$20001,"Coverage",Data_Summary!$AA$2:$AA$20001,AJ505))</f>
        <v/>
      </c>
    </row>
    <row r="506" customFormat="false" ht="12.75" hidden="false" customHeight="true" outlineLevel="0" collapsed="false">
      <c r="AJ506" s="16" t="str">
        <f aca="false">IF(Data_Summary!Y507&lt;&gt;"Coverage","",IF(Data_Summary!AA507="","",IF(COUNTIFS(Data_Summary!$Y$2:$Y507,"Coverage",Data_Summary!$AA$2:$AA507,Data_Summary!AA507)=1,Data_Summary!AA507,"")))</f>
        <v/>
      </c>
      <c r="AK506" s="16" t="str">
        <f aca="false">IF(AJ506="","",COUNTIFS(Data_Summary!$Y$2:$Y$20001,"Coverage",Data_Summary!$AA$2:$AA$20001,AJ506))</f>
        <v/>
      </c>
    </row>
    <row r="507" customFormat="false" ht="12.75" hidden="false" customHeight="true" outlineLevel="0" collapsed="false">
      <c r="AJ507" s="16" t="str">
        <f aca="false">IF(Data_Summary!Y508&lt;&gt;"Coverage","",IF(Data_Summary!AA508="","",IF(COUNTIFS(Data_Summary!$Y$2:$Y508,"Coverage",Data_Summary!$AA$2:$AA508,Data_Summary!AA508)=1,Data_Summary!AA508,"")))</f>
        <v/>
      </c>
      <c r="AK507" s="16" t="str">
        <f aca="false">IF(AJ507="","",COUNTIFS(Data_Summary!$Y$2:$Y$20001,"Coverage",Data_Summary!$AA$2:$AA$20001,AJ507))</f>
        <v/>
      </c>
    </row>
    <row r="508" customFormat="false" ht="12.75" hidden="false" customHeight="true" outlineLevel="0" collapsed="false">
      <c r="AJ508" s="16" t="str">
        <f aca="false">IF(Data_Summary!Y509&lt;&gt;"Coverage","",IF(Data_Summary!AA509="","",IF(COUNTIFS(Data_Summary!$Y$2:$Y509,"Coverage",Data_Summary!$AA$2:$AA509,Data_Summary!AA509)=1,Data_Summary!AA509,"")))</f>
        <v/>
      </c>
      <c r="AK508" s="16" t="str">
        <f aca="false">IF(AJ508="","",COUNTIFS(Data_Summary!$Y$2:$Y$20001,"Coverage",Data_Summary!$AA$2:$AA$20001,AJ508))</f>
        <v/>
      </c>
    </row>
    <row r="509" customFormat="false" ht="12.75" hidden="false" customHeight="true" outlineLevel="0" collapsed="false">
      <c r="AJ509" s="16" t="str">
        <f aca="false">IF(Data_Summary!Y510&lt;&gt;"Coverage","",IF(Data_Summary!AA510="","",IF(COUNTIFS(Data_Summary!$Y$2:$Y510,"Coverage",Data_Summary!$AA$2:$AA510,Data_Summary!AA510)=1,Data_Summary!AA510,"")))</f>
        <v/>
      </c>
      <c r="AK509" s="16" t="str">
        <f aca="false">IF(AJ509="","",COUNTIFS(Data_Summary!$Y$2:$Y$20001,"Coverage",Data_Summary!$AA$2:$AA$20001,AJ509))</f>
        <v/>
      </c>
    </row>
    <row r="510" customFormat="false" ht="12.75" hidden="false" customHeight="true" outlineLevel="0" collapsed="false">
      <c r="AJ510" s="16" t="str">
        <f aca="false">IF(Data_Summary!Y511&lt;&gt;"Coverage","",IF(Data_Summary!AA511="","",IF(COUNTIFS(Data_Summary!$Y$2:$Y511,"Coverage",Data_Summary!$AA$2:$AA511,Data_Summary!AA511)=1,Data_Summary!AA511,"")))</f>
        <v/>
      </c>
      <c r="AK510" s="16" t="str">
        <f aca="false">IF(AJ510="","",COUNTIFS(Data_Summary!$Y$2:$Y$20001,"Coverage",Data_Summary!$AA$2:$AA$20001,AJ510))</f>
        <v/>
      </c>
    </row>
    <row r="511" customFormat="false" ht="12.75" hidden="false" customHeight="true" outlineLevel="0" collapsed="false">
      <c r="AJ511" s="16" t="str">
        <f aca="false">IF(Data_Summary!Y512&lt;&gt;"Coverage","",IF(Data_Summary!AA512="","",IF(COUNTIFS(Data_Summary!$Y$2:$Y512,"Coverage",Data_Summary!$AA$2:$AA512,Data_Summary!AA512)=1,Data_Summary!AA512,"")))</f>
        <v/>
      </c>
      <c r="AK511" s="16" t="str">
        <f aca="false">IF(AJ511="","",COUNTIFS(Data_Summary!$Y$2:$Y$20001,"Coverage",Data_Summary!$AA$2:$AA$20001,AJ511))</f>
        <v/>
      </c>
    </row>
    <row r="512" customFormat="false" ht="12.75" hidden="false" customHeight="true" outlineLevel="0" collapsed="false">
      <c r="AJ512" s="16" t="str">
        <f aca="false">IF(Data_Summary!Y513&lt;&gt;"Coverage","",IF(Data_Summary!AA513="","",IF(COUNTIFS(Data_Summary!$Y$2:$Y513,"Coverage",Data_Summary!$AA$2:$AA513,Data_Summary!AA513)=1,Data_Summary!AA513,"")))</f>
        <v/>
      </c>
      <c r="AK512" s="16" t="str">
        <f aca="false">IF(AJ512="","",COUNTIFS(Data_Summary!$Y$2:$Y$20001,"Coverage",Data_Summary!$AA$2:$AA$20001,AJ512))</f>
        <v/>
      </c>
    </row>
    <row r="513" customFormat="false" ht="12.75" hidden="false" customHeight="true" outlineLevel="0" collapsed="false">
      <c r="AJ513" s="16" t="str">
        <f aca="false">IF(Data_Summary!Y514&lt;&gt;"Coverage","",IF(Data_Summary!AA514="","",IF(COUNTIFS(Data_Summary!$Y$2:$Y514,"Coverage",Data_Summary!$AA$2:$AA514,Data_Summary!AA514)=1,Data_Summary!AA514,"")))</f>
        <v/>
      </c>
      <c r="AK513" s="16" t="str">
        <f aca="false">IF(AJ513="","",COUNTIFS(Data_Summary!$Y$2:$Y$20001,"Coverage",Data_Summary!$AA$2:$AA$20001,AJ513))</f>
        <v/>
      </c>
    </row>
    <row r="514" customFormat="false" ht="12.75" hidden="false" customHeight="true" outlineLevel="0" collapsed="false">
      <c r="AJ514" s="16" t="str">
        <f aca="false">IF(Data_Summary!Y515&lt;&gt;"Coverage","",IF(Data_Summary!AA515="","",IF(COUNTIFS(Data_Summary!$Y$2:$Y515,"Coverage",Data_Summary!$AA$2:$AA515,Data_Summary!AA515)=1,Data_Summary!AA515,"")))</f>
        <v/>
      </c>
      <c r="AK514" s="16" t="str">
        <f aca="false">IF(AJ514="","",COUNTIFS(Data_Summary!$Y$2:$Y$20001,"Coverage",Data_Summary!$AA$2:$AA$20001,AJ514))</f>
        <v/>
      </c>
    </row>
    <row r="515" customFormat="false" ht="12.75" hidden="false" customHeight="true" outlineLevel="0" collapsed="false">
      <c r="AJ515" s="16" t="str">
        <f aca="false">IF(Data_Summary!Y516&lt;&gt;"Coverage","",IF(Data_Summary!AA516="","",IF(COUNTIFS(Data_Summary!$Y$2:$Y516,"Coverage",Data_Summary!$AA$2:$AA516,Data_Summary!AA516)=1,Data_Summary!AA516,"")))</f>
        <v/>
      </c>
      <c r="AK515" s="16" t="str">
        <f aca="false">IF(AJ515="","",COUNTIFS(Data_Summary!$Y$2:$Y$20001,"Coverage",Data_Summary!$AA$2:$AA$20001,AJ515))</f>
        <v/>
      </c>
    </row>
    <row r="516" customFormat="false" ht="12.75" hidden="false" customHeight="true" outlineLevel="0" collapsed="false">
      <c r="AJ516" s="16" t="str">
        <f aca="false">IF(Data_Summary!Y517&lt;&gt;"Coverage","",IF(Data_Summary!AA517="","",IF(COUNTIFS(Data_Summary!$Y$2:$Y517,"Coverage",Data_Summary!$AA$2:$AA517,Data_Summary!AA517)=1,Data_Summary!AA517,"")))</f>
        <v/>
      </c>
      <c r="AK516" s="16" t="str">
        <f aca="false">IF(AJ516="","",COUNTIFS(Data_Summary!$Y$2:$Y$20001,"Coverage",Data_Summary!$AA$2:$AA$20001,AJ516))</f>
        <v/>
      </c>
    </row>
    <row r="517" customFormat="false" ht="12.75" hidden="false" customHeight="true" outlineLevel="0" collapsed="false">
      <c r="AJ517" s="16" t="str">
        <f aca="false">IF(Data_Summary!Y518&lt;&gt;"Coverage","",IF(Data_Summary!AA518="","",IF(COUNTIFS(Data_Summary!$Y$2:$Y518,"Coverage",Data_Summary!$AA$2:$AA518,Data_Summary!AA518)=1,Data_Summary!AA518,"")))</f>
        <v/>
      </c>
      <c r="AK517" s="16" t="str">
        <f aca="false">IF(AJ517="","",COUNTIFS(Data_Summary!$Y$2:$Y$20001,"Coverage",Data_Summary!$AA$2:$AA$20001,AJ517))</f>
        <v/>
      </c>
    </row>
    <row r="518" customFormat="false" ht="12.75" hidden="false" customHeight="true" outlineLevel="0" collapsed="false">
      <c r="AJ518" s="16" t="str">
        <f aca="false">IF(Data_Summary!Y519&lt;&gt;"Coverage","",IF(Data_Summary!AA519="","",IF(COUNTIFS(Data_Summary!$Y$2:$Y519,"Coverage",Data_Summary!$AA$2:$AA519,Data_Summary!AA519)=1,Data_Summary!AA519,"")))</f>
        <v/>
      </c>
      <c r="AK518" s="16" t="str">
        <f aca="false">IF(AJ518="","",COUNTIFS(Data_Summary!$Y$2:$Y$20001,"Coverage",Data_Summary!$AA$2:$AA$20001,AJ518))</f>
        <v/>
      </c>
    </row>
    <row r="519" customFormat="false" ht="12.75" hidden="false" customHeight="true" outlineLevel="0" collapsed="false">
      <c r="AJ519" s="16" t="str">
        <f aca="false">IF(Data_Summary!Y520&lt;&gt;"Coverage","",IF(Data_Summary!AA520="","",IF(COUNTIFS(Data_Summary!$Y$2:$Y520,"Coverage",Data_Summary!$AA$2:$AA520,Data_Summary!AA520)=1,Data_Summary!AA520,"")))</f>
        <v/>
      </c>
      <c r="AK519" s="16" t="str">
        <f aca="false">IF(AJ519="","",COUNTIFS(Data_Summary!$Y$2:$Y$20001,"Coverage",Data_Summary!$AA$2:$AA$20001,AJ519))</f>
        <v/>
      </c>
    </row>
    <row r="520" customFormat="false" ht="12.75" hidden="false" customHeight="true" outlineLevel="0" collapsed="false">
      <c r="AJ520" s="16" t="str">
        <f aca="false">IF(Data_Summary!Y521&lt;&gt;"Coverage","",IF(Data_Summary!AA521="","",IF(COUNTIFS(Data_Summary!$Y$2:$Y521,"Coverage",Data_Summary!$AA$2:$AA521,Data_Summary!AA521)=1,Data_Summary!AA521,"")))</f>
        <v/>
      </c>
      <c r="AK520" s="16" t="str">
        <f aca="false">IF(AJ520="","",COUNTIFS(Data_Summary!$Y$2:$Y$20001,"Coverage",Data_Summary!$AA$2:$AA$20001,AJ520))</f>
        <v/>
      </c>
    </row>
    <row r="521" customFormat="false" ht="12.75" hidden="false" customHeight="true" outlineLevel="0" collapsed="false">
      <c r="AJ521" s="16" t="str">
        <f aca="false">IF(Data_Summary!Y522&lt;&gt;"Coverage","",IF(Data_Summary!AA522="","",IF(COUNTIFS(Data_Summary!$Y$2:$Y522,"Coverage",Data_Summary!$AA$2:$AA522,Data_Summary!AA522)=1,Data_Summary!AA522,"")))</f>
        <v/>
      </c>
      <c r="AK521" s="16" t="str">
        <f aca="false">IF(AJ521="","",COUNTIFS(Data_Summary!$Y$2:$Y$20001,"Coverage",Data_Summary!$AA$2:$AA$20001,AJ521))</f>
        <v/>
      </c>
    </row>
    <row r="522" customFormat="false" ht="12.75" hidden="false" customHeight="true" outlineLevel="0" collapsed="false">
      <c r="AJ522" s="16" t="str">
        <f aca="false">IF(Data_Summary!Y523&lt;&gt;"Coverage","",IF(Data_Summary!AA523="","",IF(COUNTIFS(Data_Summary!$Y$2:$Y523,"Coverage",Data_Summary!$AA$2:$AA523,Data_Summary!AA523)=1,Data_Summary!AA523,"")))</f>
        <v/>
      </c>
      <c r="AK522" s="16" t="str">
        <f aca="false">IF(AJ522="","",COUNTIFS(Data_Summary!$Y$2:$Y$20001,"Coverage",Data_Summary!$AA$2:$AA$20001,AJ522))</f>
        <v/>
      </c>
    </row>
    <row r="523" customFormat="false" ht="12.75" hidden="false" customHeight="true" outlineLevel="0" collapsed="false">
      <c r="AJ523" s="16" t="str">
        <f aca="false">IF(Data_Summary!Y524&lt;&gt;"Coverage","",IF(Data_Summary!AA524="","",IF(COUNTIFS(Data_Summary!$Y$2:$Y524,"Coverage",Data_Summary!$AA$2:$AA524,Data_Summary!AA524)=1,Data_Summary!AA524,"")))</f>
        <v/>
      </c>
      <c r="AK523" s="16" t="str">
        <f aca="false">IF(AJ523="","",COUNTIFS(Data_Summary!$Y$2:$Y$20001,"Coverage",Data_Summary!$AA$2:$AA$20001,AJ523))</f>
        <v/>
      </c>
    </row>
    <row r="524" customFormat="false" ht="12.75" hidden="false" customHeight="true" outlineLevel="0" collapsed="false">
      <c r="AJ524" s="16" t="str">
        <f aca="false">IF(Data_Summary!Y525&lt;&gt;"Coverage","",IF(Data_Summary!AA525="","",IF(COUNTIFS(Data_Summary!$Y$2:$Y525,"Coverage",Data_Summary!$AA$2:$AA525,Data_Summary!AA525)=1,Data_Summary!AA525,"")))</f>
        <v/>
      </c>
      <c r="AK524" s="16" t="str">
        <f aca="false">IF(AJ524="","",COUNTIFS(Data_Summary!$Y$2:$Y$20001,"Coverage",Data_Summary!$AA$2:$AA$20001,AJ524))</f>
        <v/>
      </c>
    </row>
    <row r="525" customFormat="false" ht="12.75" hidden="false" customHeight="true" outlineLevel="0" collapsed="false">
      <c r="AJ525" s="16" t="str">
        <f aca="false">IF(Data_Summary!Y526&lt;&gt;"Coverage","",IF(Data_Summary!AA526="","",IF(COUNTIFS(Data_Summary!$Y$2:$Y526,"Coverage",Data_Summary!$AA$2:$AA526,Data_Summary!AA526)=1,Data_Summary!AA526,"")))</f>
        <v/>
      </c>
      <c r="AK525" s="16" t="str">
        <f aca="false">IF(AJ525="","",COUNTIFS(Data_Summary!$Y$2:$Y$20001,"Coverage",Data_Summary!$AA$2:$AA$20001,AJ525))</f>
        <v/>
      </c>
    </row>
    <row r="526" customFormat="false" ht="12.75" hidden="false" customHeight="true" outlineLevel="0" collapsed="false">
      <c r="AJ526" s="16" t="str">
        <f aca="false">IF(Data_Summary!Y527&lt;&gt;"Coverage","",IF(Data_Summary!AA527="","",IF(COUNTIFS(Data_Summary!$Y$2:$Y527,"Coverage",Data_Summary!$AA$2:$AA527,Data_Summary!AA527)=1,Data_Summary!AA527,"")))</f>
        <v/>
      </c>
      <c r="AK526" s="16" t="str">
        <f aca="false">IF(AJ526="","",COUNTIFS(Data_Summary!$Y$2:$Y$20001,"Coverage",Data_Summary!$AA$2:$AA$20001,AJ526))</f>
        <v/>
      </c>
    </row>
    <row r="527" customFormat="false" ht="12.75" hidden="false" customHeight="true" outlineLevel="0" collapsed="false">
      <c r="AJ527" s="16" t="str">
        <f aca="false">IF(Data_Summary!Y528&lt;&gt;"Coverage","",IF(Data_Summary!AA528="","",IF(COUNTIFS(Data_Summary!$Y$2:$Y528,"Coverage",Data_Summary!$AA$2:$AA528,Data_Summary!AA528)=1,Data_Summary!AA528,"")))</f>
        <v/>
      </c>
      <c r="AK527" s="16" t="str">
        <f aca="false">IF(AJ527="","",COUNTIFS(Data_Summary!$Y$2:$Y$20001,"Coverage",Data_Summary!$AA$2:$AA$20001,AJ527))</f>
        <v/>
      </c>
    </row>
    <row r="528" customFormat="false" ht="12.75" hidden="false" customHeight="true" outlineLevel="0" collapsed="false">
      <c r="AJ528" s="16" t="str">
        <f aca="false">IF(Data_Summary!Y529&lt;&gt;"Coverage","",IF(Data_Summary!AA529="","",IF(COUNTIFS(Data_Summary!$Y$2:$Y529,"Coverage",Data_Summary!$AA$2:$AA529,Data_Summary!AA529)=1,Data_Summary!AA529,"")))</f>
        <v/>
      </c>
      <c r="AK528" s="16" t="str">
        <f aca="false">IF(AJ528="","",COUNTIFS(Data_Summary!$Y$2:$Y$20001,"Coverage",Data_Summary!$AA$2:$AA$20001,AJ528))</f>
        <v/>
      </c>
    </row>
    <row r="529" customFormat="false" ht="12.75" hidden="false" customHeight="true" outlineLevel="0" collapsed="false">
      <c r="AJ529" s="16" t="str">
        <f aca="false">IF(Data_Summary!Y530&lt;&gt;"Coverage","",IF(Data_Summary!AA530="","",IF(COUNTIFS(Data_Summary!$Y$2:$Y530,"Coverage",Data_Summary!$AA$2:$AA530,Data_Summary!AA530)=1,Data_Summary!AA530,"")))</f>
        <v/>
      </c>
      <c r="AK529" s="16" t="str">
        <f aca="false">IF(AJ529="","",COUNTIFS(Data_Summary!$Y$2:$Y$20001,"Coverage",Data_Summary!$AA$2:$AA$20001,AJ529))</f>
        <v/>
      </c>
    </row>
    <row r="530" customFormat="false" ht="12.75" hidden="false" customHeight="true" outlineLevel="0" collapsed="false">
      <c r="AJ530" s="16" t="str">
        <f aca="false">IF(Data_Summary!Y531&lt;&gt;"Coverage","",IF(Data_Summary!AA531="","",IF(COUNTIFS(Data_Summary!$Y$2:$Y531,"Coverage",Data_Summary!$AA$2:$AA531,Data_Summary!AA531)=1,Data_Summary!AA531,"")))</f>
        <v/>
      </c>
      <c r="AK530" s="16" t="str">
        <f aca="false">IF(AJ530="","",COUNTIFS(Data_Summary!$Y$2:$Y$20001,"Coverage",Data_Summary!$AA$2:$AA$20001,AJ530))</f>
        <v/>
      </c>
    </row>
    <row r="531" customFormat="false" ht="12.75" hidden="false" customHeight="true" outlineLevel="0" collapsed="false">
      <c r="AJ531" s="16" t="str">
        <f aca="false">IF(Data_Summary!Y532&lt;&gt;"Coverage","",IF(Data_Summary!AA532="","",IF(COUNTIFS(Data_Summary!$Y$2:$Y532,"Coverage",Data_Summary!$AA$2:$AA532,Data_Summary!AA532)=1,Data_Summary!AA532,"")))</f>
        <v/>
      </c>
      <c r="AK531" s="16" t="str">
        <f aca="false">IF(AJ531="","",COUNTIFS(Data_Summary!$Y$2:$Y$20001,"Coverage",Data_Summary!$AA$2:$AA$20001,AJ531))</f>
        <v/>
      </c>
    </row>
    <row r="532" customFormat="false" ht="12.75" hidden="false" customHeight="true" outlineLevel="0" collapsed="false">
      <c r="AJ532" s="16" t="str">
        <f aca="false">IF(Data_Summary!Y533&lt;&gt;"Coverage","",IF(Data_Summary!AA533="","",IF(COUNTIFS(Data_Summary!$Y$2:$Y533,"Coverage",Data_Summary!$AA$2:$AA533,Data_Summary!AA533)=1,Data_Summary!AA533,"")))</f>
        <v/>
      </c>
      <c r="AK532" s="16" t="str">
        <f aca="false">IF(AJ532="","",COUNTIFS(Data_Summary!$Y$2:$Y$20001,"Coverage",Data_Summary!$AA$2:$AA$20001,AJ532))</f>
        <v/>
      </c>
    </row>
    <row r="533" customFormat="false" ht="12.75" hidden="false" customHeight="true" outlineLevel="0" collapsed="false">
      <c r="AJ533" s="16" t="str">
        <f aca="false">IF(Data_Summary!Y534&lt;&gt;"Coverage","",IF(Data_Summary!AA534="","",IF(COUNTIFS(Data_Summary!$Y$2:$Y534,"Coverage",Data_Summary!$AA$2:$AA534,Data_Summary!AA534)=1,Data_Summary!AA534,"")))</f>
        <v/>
      </c>
      <c r="AK533" s="16" t="str">
        <f aca="false">IF(AJ533="","",COUNTIFS(Data_Summary!$Y$2:$Y$20001,"Coverage",Data_Summary!$AA$2:$AA$20001,AJ533))</f>
        <v/>
      </c>
    </row>
    <row r="534" customFormat="false" ht="12.75" hidden="false" customHeight="true" outlineLevel="0" collapsed="false">
      <c r="AJ534" s="16" t="str">
        <f aca="false">IF(Data_Summary!Y535&lt;&gt;"Coverage","",IF(Data_Summary!AA535="","",IF(COUNTIFS(Data_Summary!$Y$2:$Y535,"Coverage",Data_Summary!$AA$2:$AA535,Data_Summary!AA535)=1,Data_Summary!AA535,"")))</f>
        <v/>
      </c>
      <c r="AK534" s="16" t="str">
        <f aca="false">IF(AJ534="","",COUNTIFS(Data_Summary!$Y$2:$Y$20001,"Coverage",Data_Summary!$AA$2:$AA$20001,AJ534))</f>
        <v/>
      </c>
    </row>
    <row r="535" customFormat="false" ht="12.75" hidden="false" customHeight="true" outlineLevel="0" collapsed="false">
      <c r="AJ535" s="16" t="str">
        <f aca="false">IF(Data_Summary!Y536&lt;&gt;"Coverage","",IF(Data_Summary!AA536="","",IF(COUNTIFS(Data_Summary!$Y$2:$Y536,"Coverage",Data_Summary!$AA$2:$AA536,Data_Summary!AA536)=1,Data_Summary!AA536,"")))</f>
        <v/>
      </c>
      <c r="AK535" s="16" t="str">
        <f aca="false">IF(AJ535="","",COUNTIFS(Data_Summary!$Y$2:$Y$20001,"Coverage",Data_Summary!$AA$2:$AA$20001,AJ535))</f>
        <v/>
      </c>
    </row>
    <row r="536" customFormat="false" ht="12.75" hidden="false" customHeight="true" outlineLevel="0" collapsed="false">
      <c r="AJ536" s="16" t="str">
        <f aca="false">IF(Data_Summary!Y537&lt;&gt;"Coverage","",IF(Data_Summary!AA537="","",IF(COUNTIFS(Data_Summary!$Y$2:$Y537,"Coverage",Data_Summary!$AA$2:$AA537,Data_Summary!AA537)=1,Data_Summary!AA537,"")))</f>
        <v/>
      </c>
      <c r="AK536" s="16" t="str">
        <f aca="false">IF(AJ536="","",COUNTIFS(Data_Summary!$Y$2:$Y$20001,"Coverage",Data_Summary!$AA$2:$AA$20001,AJ536))</f>
        <v/>
      </c>
    </row>
    <row r="537" customFormat="false" ht="12.75" hidden="false" customHeight="true" outlineLevel="0" collapsed="false">
      <c r="AJ537" s="16" t="str">
        <f aca="false">IF(Data_Summary!Y538&lt;&gt;"Coverage","",IF(Data_Summary!AA538="","",IF(COUNTIFS(Data_Summary!$Y$2:$Y538,"Coverage",Data_Summary!$AA$2:$AA538,Data_Summary!AA538)=1,Data_Summary!AA538,"")))</f>
        <v/>
      </c>
      <c r="AK537" s="16" t="str">
        <f aca="false">IF(AJ537="","",COUNTIFS(Data_Summary!$Y$2:$Y$20001,"Coverage",Data_Summary!$AA$2:$AA$20001,AJ537))</f>
        <v/>
      </c>
    </row>
    <row r="538" customFormat="false" ht="12.75" hidden="false" customHeight="true" outlineLevel="0" collapsed="false">
      <c r="AJ538" s="16" t="str">
        <f aca="false">IF(Data_Summary!Y539&lt;&gt;"Coverage","",IF(Data_Summary!AA539="","",IF(COUNTIFS(Data_Summary!$Y$2:$Y539,"Coverage",Data_Summary!$AA$2:$AA539,Data_Summary!AA539)=1,Data_Summary!AA539,"")))</f>
        <v/>
      </c>
      <c r="AK538" s="16" t="str">
        <f aca="false">IF(AJ538="","",COUNTIFS(Data_Summary!$Y$2:$Y$20001,"Coverage",Data_Summary!$AA$2:$AA$20001,AJ538))</f>
        <v/>
      </c>
    </row>
    <row r="539" customFormat="false" ht="12.75" hidden="false" customHeight="true" outlineLevel="0" collapsed="false">
      <c r="AJ539" s="16" t="str">
        <f aca="false">IF(Data_Summary!Y540&lt;&gt;"Coverage","",IF(Data_Summary!AA540="","",IF(COUNTIFS(Data_Summary!$Y$2:$Y540,"Coverage",Data_Summary!$AA$2:$AA540,Data_Summary!AA540)=1,Data_Summary!AA540,"")))</f>
        <v/>
      </c>
      <c r="AK539" s="16" t="str">
        <f aca="false">IF(AJ539="","",COUNTIFS(Data_Summary!$Y$2:$Y$20001,"Coverage",Data_Summary!$AA$2:$AA$20001,AJ539))</f>
        <v/>
      </c>
    </row>
    <row r="540" customFormat="false" ht="12.75" hidden="false" customHeight="true" outlineLevel="0" collapsed="false">
      <c r="AJ540" s="16" t="str">
        <f aca="false">IF(Data_Summary!Y541&lt;&gt;"Coverage","",IF(Data_Summary!AA541="","",IF(COUNTIFS(Data_Summary!$Y$2:$Y541,"Coverage",Data_Summary!$AA$2:$AA541,Data_Summary!AA541)=1,Data_Summary!AA541,"")))</f>
        <v/>
      </c>
      <c r="AK540" s="16" t="str">
        <f aca="false">IF(AJ540="","",COUNTIFS(Data_Summary!$Y$2:$Y$20001,"Coverage",Data_Summary!$AA$2:$AA$20001,AJ540))</f>
        <v/>
      </c>
    </row>
    <row r="541" customFormat="false" ht="12.75" hidden="false" customHeight="true" outlineLevel="0" collapsed="false">
      <c r="AJ541" s="16" t="str">
        <f aca="false">IF(Data_Summary!Y542&lt;&gt;"Coverage","",IF(Data_Summary!AA542="","",IF(COUNTIFS(Data_Summary!$Y$2:$Y542,"Coverage",Data_Summary!$AA$2:$AA542,Data_Summary!AA542)=1,Data_Summary!AA542,"")))</f>
        <v/>
      </c>
      <c r="AK541" s="16" t="str">
        <f aca="false">IF(AJ541="","",COUNTIFS(Data_Summary!$Y$2:$Y$20001,"Coverage",Data_Summary!$AA$2:$AA$20001,AJ541))</f>
        <v/>
      </c>
    </row>
    <row r="542" customFormat="false" ht="12.75" hidden="false" customHeight="true" outlineLevel="0" collapsed="false">
      <c r="AJ542" s="16" t="str">
        <f aca="false">IF(Data_Summary!Y543&lt;&gt;"Coverage","",IF(Data_Summary!AA543="","",IF(COUNTIFS(Data_Summary!$Y$2:$Y543,"Coverage",Data_Summary!$AA$2:$AA543,Data_Summary!AA543)=1,Data_Summary!AA543,"")))</f>
        <v/>
      </c>
      <c r="AK542" s="16" t="str">
        <f aca="false">IF(AJ542="","",COUNTIFS(Data_Summary!$Y$2:$Y$20001,"Coverage",Data_Summary!$AA$2:$AA$20001,AJ542))</f>
        <v/>
      </c>
    </row>
    <row r="543" customFormat="false" ht="12.75" hidden="false" customHeight="true" outlineLevel="0" collapsed="false">
      <c r="AJ543" s="16" t="str">
        <f aca="false">IF(Data_Summary!Y544&lt;&gt;"Coverage","",IF(Data_Summary!AA544="","",IF(COUNTIFS(Data_Summary!$Y$2:$Y544,"Coverage",Data_Summary!$AA$2:$AA544,Data_Summary!AA544)=1,Data_Summary!AA544,"")))</f>
        <v/>
      </c>
      <c r="AK543" s="16" t="str">
        <f aca="false">IF(AJ543="","",COUNTIFS(Data_Summary!$Y$2:$Y$20001,"Coverage",Data_Summary!$AA$2:$AA$20001,AJ543))</f>
        <v/>
      </c>
    </row>
    <row r="544" customFormat="false" ht="12.75" hidden="false" customHeight="true" outlineLevel="0" collapsed="false">
      <c r="AJ544" s="16" t="str">
        <f aca="false">IF(Data_Summary!Y545&lt;&gt;"Coverage","",IF(Data_Summary!AA545="","",IF(COUNTIFS(Data_Summary!$Y$2:$Y545,"Coverage",Data_Summary!$AA$2:$AA545,Data_Summary!AA545)=1,Data_Summary!AA545,"")))</f>
        <v/>
      </c>
      <c r="AK544" s="16" t="str">
        <f aca="false">IF(AJ544="","",COUNTIFS(Data_Summary!$Y$2:$Y$20001,"Coverage",Data_Summary!$AA$2:$AA$20001,AJ544))</f>
        <v/>
      </c>
    </row>
    <row r="545" customFormat="false" ht="12.75" hidden="false" customHeight="true" outlineLevel="0" collapsed="false">
      <c r="AJ545" s="16" t="str">
        <f aca="false">IF(Data_Summary!Y546&lt;&gt;"Coverage","",IF(Data_Summary!AA546="","",IF(COUNTIFS(Data_Summary!$Y$2:$Y546,"Coverage",Data_Summary!$AA$2:$AA546,Data_Summary!AA546)=1,Data_Summary!AA546,"")))</f>
        <v/>
      </c>
      <c r="AK545" s="16" t="str">
        <f aca="false">IF(AJ545="","",COUNTIFS(Data_Summary!$Y$2:$Y$20001,"Coverage",Data_Summary!$AA$2:$AA$20001,AJ545))</f>
        <v/>
      </c>
    </row>
    <row r="546" customFormat="false" ht="12.75" hidden="false" customHeight="true" outlineLevel="0" collapsed="false">
      <c r="AJ546" s="16" t="str">
        <f aca="false">IF(Data_Summary!Y547&lt;&gt;"Coverage","",IF(Data_Summary!AA547="","",IF(COUNTIFS(Data_Summary!$Y$2:$Y547,"Coverage",Data_Summary!$AA$2:$AA547,Data_Summary!AA547)=1,Data_Summary!AA547,"")))</f>
        <v/>
      </c>
      <c r="AK546" s="16" t="str">
        <f aca="false">IF(AJ546="","",COUNTIFS(Data_Summary!$Y$2:$Y$20001,"Coverage",Data_Summary!$AA$2:$AA$20001,AJ546))</f>
        <v/>
      </c>
    </row>
    <row r="547" customFormat="false" ht="12.75" hidden="false" customHeight="true" outlineLevel="0" collapsed="false">
      <c r="AJ547" s="16" t="str">
        <f aca="false">IF(Data_Summary!Y548&lt;&gt;"Coverage","",IF(Data_Summary!AA548="","",IF(COUNTIFS(Data_Summary!$Y$2:$Y548,"Coverage",Data_Summary!$AA$2:$AA548,Data_Summary!AA548)=1,Data_Summary!AA548,"")))</f>
        <v/>
      </c>
      <c r="AK547" s="16" t="str">
        <f aca="false">IF(AJ547="","",COUNTIFS(Data_Summary!$Y$2:$Y$20001,"Coverage",Data_Summary!$AA$2:$AA$20001,AJ547))</f>
        <v/>
      </c>
    </row>
    <row r="548" customFormat="false" ht="12.75" hidden="false" customHeight="true" outlineLevel="0" collapsed="false">
      <c r="AJ548" s="16" t="str">
        <f aca="false">IF(Data_Summary!Y549&lt;&gt;"Coverage","",IF(Data_Summary!AA549="","",IF(COUNTIFS(Data_Summary!$Y$2:$Y549,"Coverage",Data_Summary!$AA$2:$AA549,Data_Summary!AA549)=1,Data_Summary!AA549,"")))</f>
        <v/>
      </c>
      <c r="AK548" s="16" t="str">
        <f aca="false">IF(AJ548="","",COUNTIFS(Data_Summary!$Y$2:$Y$20001,"Coverage",Data_Summary!$AA$2:$AA$20001,AJ548))</f>
        <v/>
      </c>
    </row>
    <row r="549" customFormat="false" ht="12.75" hidden="false" customHeight="true" outlineLevel="0" collapsed="false">
      <c r="AJ549" s="16" t="str">
        <f aca="false">IF(Data_Summary!Y550&lt;&gt;"Coverage","",IF(Data_Summary!AA550="","",IF(COUNTIFS(Data_Summary!$Y$2:$Y550,"Coverage",Data_Summary!$AA$2:$AA550,Data_Summary!AA550)=1,Data_Summary!AA550,"")))</f>
        <v/>
      </c>
      <c r="AK549" s="16" t="str">
        <f aca="false">IF(AJ549="","",COUNTIFS(Data_Summary!$Y$2:$Y$20001,"Coverage",Data_Summary!$AA$2:$AA$20001,AJ549))</f>
        <v/>
      </c>
    </row>
    <row r="550" customFormat="false" ht="12.75" hidden="false" customHeight="true" outlineLevel="0" collapsed="false">
      <c r="AJ550" s="16" t="str">
        <f aca="false">IF(Data_Summary!Y551&lt;&gt;"Coverage","",IF(Data_Summary!AA551="","",IF(COUNTIFS(Data_Summary!$Y$2:$Y551,"Coverage",Data_Summary!$AA$2:$AA551,Data_Summary!AA551)=1,Data_Summary!AA551,"")))</f>
        <v/>
      </c>
      <c r="AK550" s="16" t="str">
        <f aca="false">IF(AJ550="","",COUNTIFS(Data_Summary!$Y$2:$Y$20001,"Coverage",Data_Summary!$AA$2:$AA$20001,AJ550))</f>
        <v/>
      </c>
    </row>
    <row r="551" customFormat="false" ht="12.75" hidden="false" customHeight="true" outlineLevel="0" collapsed="false">
      <c r="AJ551" s="16" t="str">
        <f aca="false">IF(Data_Summary!Y552&lt;&gt;"Coverage","",IF(Data_Summary!AA552="","",IF(COUNTIFS(Data_Summary!$Y$2:$Y552,"Coverage",Data_Summary!$AA$2:$AA552,Data_Summary!AA552)=1,Data_Summary!AA552,"")))</f>
        <v/>
      </c>
      <c r="AK551" s="16" t="str">
        <f aca="false">IF(AJ551="","",COUNTIFS(Data_Summary!$Y$2:$Y$20001,"Coverage",Data_Summary!$AA$2:$AA$20001,AJ551))</f>
        <v/>
      </c>
    </row>
    <row r="552" customFormat="false" ht="12.75" hidden="false" customHeight="true" outlineLevel="0" collapsed="false">
      <c r="AJ552" s="16" t="str">
        <f aca="false">IF(Data_Summary!Y553&lt;&gt;"Coverage","",IF(Data_Summary!AA553="","",IF(COUNTIFS(Data_Summary!$Y$2:$Y553,"Coverage",Data_Summary!$AA$2:$AA553,Data_Summary!AA553)=1,Data_Summary!AA553,"")))</f>
        <v/>
      </c>
      <c r="AK552" s="16" t="str">
        <f aca="false">IF(AJ552="","",COUNTIFS(Data_Summary!$Y$2:$Y$20001,"Coverage",Data_Summary!$AA$2:$AA$20001,AJ552))</f>
        <v/>
      </c>
    </row>
    <row r="553" customFormat="false" ht="12.75" hidden="false" customHeight="true" outlineLevel="0" collapsed="false">
      <c r="AJ553" s="16" t="str">
        <f aca="false">IF(Data_Summary!Y554&lt;&gt;"Coverage","",IF(Data_Summary!AA554="","",IF(COUNTIFS(Data_Summary!$Y$2:$Y554,"Coverage",Data_Summary!$AA$2:$AA554,Data_Summary!AA554)=1,Data_Summary!AA554,"")))</f>
        <v/>
      </c>
      <c r="AK553" s="16" t="str">
        <f aca="false">IF(AJ553="","",COUNTIFS(Data_Summary!$Y$2:$Y$20001,"Coverage",Data_Summary!$AA$2:$AA$20001,AJ553))</f>
        <v/>
      </c>
    </row>
    <row r="554" customFormat="false" ht="12.75" hidden="false" customHeight="true" outlineLevel="0" collapsed="false">
      <c r="AJ554" s="16" t="str">
        <f aca="false">IF(Data_Summary!Y555&lt;&gt;"Coverage","",IF(Data_Summary!AA555="","",IF(COUNTIFS(Data_Summary!$Y$2:$Y555,"Coverage",Data_Summary!$AA$2:$AA555,Data_Summary!AA555)=1,Data_Summary!AA555,"")))</f>
        <v/>
      </c>
      <c r="AK554" s="16" t="str">
        <f aca="false">IF(AJ554="","",COUNTIFS(Data_Summary!$Y$2:$Y$20001,"Coverage",Data_Summary!$AA$2:$AA$20001,AJ554))</f>
        <v/>
      </c>
    </row>
    <row r="555" customFormat="false" ht="12.75" hidden="false" customHeight="true" outlineLevel="0" collapsed="false">
      <c r="AJ555" s="16" t="str">
        <f aca="false">IF(Data_Summary!Y556&lt;&gt;"Coverage","",IF(Data_Summary!AA556="","",IF(COUNTIFS(Data_Summary!$Y$2:$Y556,"Coverage",Data_Summary!$AA$2:$AA556,Data_Summary!AA556)=1,Data_Summary!AA556,"")))</f>
        <v/>
      </c>
      <c r="AK555" s="16" t="str">
        <f aca="false">IF(AJ555="","",COUNTIFS(Data_Summary!$Y$2:$Y$20001,"Coverage",Data_Summary!$AA$2:$AA$20001,AJ555))</f>
        <v/>
      </c>
    </row>
    <row r="556" customFormat="false" ht="12.75" hidden="false" customHeight="true" outlineLevel="0" collapsed="false">
      <c r="AJ556" s="16" t="str">
        <f aca="false">IF(Data_Summary!Y557&lt;&gt;"Coverage","",IF(Data_Summary!AA557="","",IF(COUNTIFS(Data_Summary!$Y$2:$Y557,"Coverage",Data_Summary!$AA$2:$AA557,Data_Summary!AA557)=1,Data_Summary!AA557,"")))</f>
        <v/>
      </c>
      <c r="AK556" s="16" t="str">
        <f aca="false">IF(AJ556="","",COUNTIFS(Data_Summary!$Y$2:$Y$20001,"Coverage",Data_Summary!$AA$2:$AA$20001,AJ556))</f>
        <v/>
      </c>
    </row>
    <row r="557" customFormat="false" ht="12.75" hidden="false" customHeight="true" outlineLevel="0" collapsed="false">
      <c r="AJ557" s="16" t="str">
        <f aca="false">IF(Data_Summary!Y558&lt;&gt;"Coverage","",IF(Data_Summary!AA558="","",IF(COUNTIFS(Data_Summary!$Y$2:$Y558,"Coverage",Data_Summary!$AA$2:$AA558,Data_Summary!AA558)=1,Data_Summary!AA558,"")))</f>
        <v/>
      </c>
      <c r="AK557" s="16" t="str">
        <f aca="false">IF(AJ557="","",COUNTIFS(Data_Summary!$Y$2:$Y$20001,"Coverage",Data_Summary!$AA$2:$AA$20001,AJ557))</f>
        <v/>
      </c>
    </row>
    <row r="558" customFormat="false" ht="12.75" hidden="false" customHeight="true" outlineLevel="0" collapsed="false">
      <c r="AJ558" s="16" t="str">
        <f aca="false">IF(Data_Summary!Y559&lt;&gt;"Coverage","",IF(Data_Summary!AA559="","",IF(COUNTIFS(Data_Summary!$Y$2:$Y559,"Coverage",Data_Summary!$AA$2:$AA559,Data_Summary!AA559)=1,Data_Summary!AA559,"")))</f>
        <v/>
      </c>
      <c r="AK558" s="16" t="str">
        <f aca="false">IF(AJ558="","",COUNTIFS(Data_Summary!$Y$2:$Y$20001,"Coverage",Data_Summary!$AA$2:$AA$20001,AJ558))</f>
        <v/>
      </c>
    </row>
    <row r="559" customFormat="false" ht="12.75" hidden="false" customHeight="true" outlineLevel="0" collapsed="false">
      <c r="AJ559" s="16" t="str">
        <f aca="false">IF(Data_Summary!Y560&lt;&gt;"Coverage","",IF(Data_Summary!AA560="","",IF(COUNTIFS(Data_Summary!$Y$2:$Y560,"Coverage",Data_Summary!$AA$2:$AA560,Data_Summary!AA560)=1,Data_Summary!AA560,"")))</f>
        <v/>
      </c>
      <c r="AK559" s="16" t="str">
        <f aca="false">IF(AJ559="","",COUNTIFS(Data_Summary!$Y$2:$Y$20001,"Coverage",Data_Summary!$AA$2:$AA$20001,AJ559))</f>
        <v/>
      </c>
    </row>
    <row r="560" customFormat="false" ht="12.75" hidden="false" customHeight="true" outlineLevel="0" collapsed="false">
      <c r="AJ560" s="16" t="str">
        <f aca="false">IF(Data_Summary!Y561&lt;&gt;"Coverage","",IF(Data_Summary!AA561="","",IF(COUNTIFS(Data_Summary!$Y$2:$Y561,"Coverage",Data_Summary!$AA$2:$AA561,Data_Summary!AA561)=1,Data_Summary!AA561,"")))</f>
        <v/>
      </c>
      <c r="AK560" s="16" t="str">
        <f aca="false">IF(AJ560="","",COUNTIFS(Data_Summary!$Y$2:$Y$20001,"Coverage",Data_Summary!$AA$2:$AA$20001,AJ560))</f>
        <v/>
      </c>
    </row>
    <row r="561" customFormat="false" ht="12.75" hidden="false" customHeight="true" outlineLevel="0" collapsed="false">
      <c r="AJ561" s="16" t="str">
        <f aca="false">IF(Data_Summary!Y562&lt;&gt;"Coverage","",IF(Data_Summary!AA562="","",IF(COUNTIFS(Data_Summary!$Y$2:$Y562,"Coverage",Data_Summary!$AA$2:$AA562,Data_Summary!AA562)=1,Data_Summary!AA562,"")))</f>
        <v/>
      </c>
      <c r="AK561" s="16" t="str">
        <f aca="false">IF(AJ561="","",COUNTIFS(Data_Summary!$Y$2:$Y$20001,"Coverage",Data_Summary!$AA$2:$AA$20001,AJ561))</f>
        <v/>
      </c>
    </row>
    <row r="562" customFormat="false" ht="12.75" hidden="false" customHeight="true" outlineLevel="0" collapsed="false">
      <c r="AJ562" s="16" t="str">
        <f aca="false">IF(Data_Summary!Y563&lt;&gt;"Coverage","",IF(Data_Summary!AA563="","",IF(COUNTIFS(Data_Summary!$Y$2:$Y563,"Coverage",Data_Summary!$AA$2:$AA563,Data_Summary!AA563)=1,Data_Summary!AA563,"")))</f>
        <v/>
      </c>
      <c r="AK562" s="16" t="str">
        <f aca="false">IF(AJ562="","",COUNTIFS(Data_Summary!$Y$2:$Y$20001,"Coverage",Data_Summary!$AA$2:$AA$20001,AJ562))</f>
        <v/>
      </c>
    </row>
    <row r="563" customFormat="false" ht="12.75" hidden="false" customHeight="true" outlineLevel="0" collapsed="false">
      <c r="AJ563" s="16" t="str">
        <f aca="false">IF(Data_Summary!Y564&lt;&gt;"Coverage","",IF(Data_Summary!AA564="","",IF(COUNTIFS(Data_Summary!$Y$2:$Y564,"Coverage",Data_Summary!$AA$2:$AA564,Data_Summary!AA564)=1,Data_Summary!AA564,"")))</f>
        <v/>
      </c>
      <c r="AK563" s="16" t="str">
        <f aca="false">IF(AJ563="","",COUNTIFS(Data_Summary!$Y$2:$Y$20001,"Coverage",Data_Summary!$AA$2:$AA$20001,AJ563))</f>
        <v/>
      </c>
    </row>
    <row r="564" customFormat="false" ht="12.75" hidden="false" customHeight="true" outlineLevel="0" collapsed="false">
      <c r="AJ564" s="16" t="str">
        <f aca="false">IF(Data_Summary!Y565&lt;&gt;"Coverage","",IF(Data_Summary!AA565="","",IF(COUNTIFS(Data_Summary!$Y$2:$Y565,"Coverage",Data_Summary!$AA$2:$AA565,Data_Summary!AA565)=1,Data_Summary!AA565,"")))</f>
        <v/>
      </c>
      <c r="AK564" s="16" t="str">
        <f aca="false">IF(AJ564="","",COUNTIFS(Data_Summary!$Y$2:$Y$20001,"Coverage",Data_Summary!$AA$2:$AA$20001,AJ564))</f>
        <v/>
      </c>
    </row>
    <row r="565" customFormat="false" ht="12.75" hidden="false" customHeight="true" outlineLevel="0" collapsed="false">
      <c r="AJ565" s="16" t="str">
        <f aca="false">IF(Data_Summary!Y566&lt;&gt;"Coverage","",IF(Data_Summary!AA566="","",IF(COUNTIFS(Data_Summary!$Y$2:$Y566,"Coverage",Data_Summary!$AA$2:$AA566,Data_Summary!AA566)=1,Data_Summary!AA566,"")))</f>
        <v/>
      </c>
      <c r="AK565" s="16" t="str">
        <f aca="false">IF(AJ565="","",COUNTIFS(Data_Summary!$Y$2:$Y$20001,"Coverage",Data_Summary!$AA$2:$AA$20001,AJ565))</f>
        <v/>
      </c>
    </row>
    <row r="566" customFormat="false" ht="12.75" hidden="false" customHeight="true" outlineLevel="0" collapsed="false">
      <c r="AJ566" s="16" t="str">
        <f aca="false">IF(Data_Summary!Y567&lt;&gt;"Coverage","",IF(Data_Summary!AA567="","",IF(COUNTIFS(Data_Summary!$Y$2:$Y567,"Coverage",Data_Summary!$AA$2:$AA567,Data_Summary!AA567)=1,Data_Summary!AA567,"")))</f>
        <v/>
      </c>
      <c r="AK566" s="16" t="str">
        <f aca="false">IF(AJ566="","",COUNTIFS(Data_Summary!$Y$2:$Y$20001,"Coverage",Data_Summary!$AA$2:$AA$20001,AJ566))</f>
        <v/>
      </c>
    </row>
    <row r="567" customFormat="false" ht="12.75" hidden="false" customHeight="true" outlineLevel="0" collapsed="false">
      <c r="AJ567" s="16" t="str">
        <f aca="false">IF(Data_Summary!Y568&lt;&gt;"Coverage","",IF(Data_Summary!AA568="","",IF(COUNTIFS(Data_Summary!$Y$2:$Y568,"Coverage",Data_Summary!$AA$2:$AA568,Data_Summary!AA568)=1,Data_Summary!AA568,"")))</f>
        <v/>
      </c>
      <c r="AK567" s="16" t="str">
        <f aca="false">IF(AJ567="","",COUNTIFS(Data_Summary!$Y$2:$Y$20001,"Coverage",Data_Summary!$AA$2:$AA$20001,AJ567))</f>
        <v/>
      </c>
    </row>
    <row r="568" customFormat="false" ht="12.75" hidden="false" customHeight="true" outlineLevel="0" collapsed="false">
      <c r="AJ568" s="16" t="str">
        <f aca="false">IF(Data_Summary!Y569&lt;&gt;"Coverage","",IF(Data_Summary!AA569="","",IF(COUNTIFS(Data_Summary!$Y$2:$Y569,"Coverage",Data_Summary!$AA$2:$AA569,Data_Summary!AA569)=1,Data_Summary!AA569,"")))</f>
        <v/>
      </c>
      <c r="AK568" s="16" t="str">
        <f aca="false">IF(AJ568="","",COUNTIFS(Data_Summary!$Y$2:$Y$20001,"Coverage",Data_Summary!$AA$2:$AA$20001,AJ568))</f>
        <v/>
      </c>
    </row>
    <row r="569" customFormat="false" ht="12.75" hidden="false" customHeight="true" outlineLevel="0" collapsed="false">
      <c r="AJ569" s="16" t="str">
        <f aca="false">IF(Data_Summary!Y570&lt;&gt;"Coverage","",IF(Data_Summary!AA570="","",IF(COUNTIFS(Data_Summary!$Y$2:$Y570,"Coverage",Data_Summary!$AA$2:$AA570,Data_Summary!AA570)=1,Data_Summary!AA570,"")))</f>
        <v/>
      </c>
      <c r="AK569" s="16" t="str">
        <f aca="false">IF(AJ569="","",COUNTIFS(Data_Summary!$Y$2:$Y$20001,"Coverage",Data_Summary!$AA$2:$AA$20001,AJ569))</f>
        <v/>
      </c>
    </row>
    <row r="570" customFormat="false" ht="12.75" hidden="false" customHeight="true" outlineLevel="0" collapsed="false">
      <c r="AJ570" s="16" t="str">
        <f aca="false">IF(Data_Summary!Y571&lt;&gt;"Coverage","",IF(Data_Summary!AA571="","",IF(COUNTIFS(Data_Summary!$Y$2:$Y571,"Coverage",Data_Summary!$AA$2:$AA571,Data_Summary!AA571)=1,Data_Summary!AA571,"")))</f>
        <v/>
      </c>
      <c r="AK570" s="16" t="str">
        <f aca="false">IF(AJ570="","",COUNTIFS(Data_Summary!$Y$2:$Y$20001,"Coverage",Data_Summary!$AA$2:$AA$20001,AJ570))</f>
        <v/>
      </c>
    </row>
    <row r="571" customFormat="false" ht="12.75" hidden="false" customHeight="true" outlineLevel="0" collapsed="false">
      <c r="AJ571" s="16" t="str">
        <f aca="false">IF(Data_Summary!Y572&lt;&gt;"Coverage","",IF(Data_Summary!AA572="","",IF(COUNTIFS(Data_Summary!$Y$2:$Y572,"Coverage",Data_Summary!$AA$2:$AA572,Data_Summary!AA572)=1,Data_Summary!AA572,"")))</f>
        <v/>
      </c>
      <c r="AK571" s="16" t="str">
        <f aca="false">IF(AJ571="","",COUNTIFS(Data_Summary!$Y$2:$Y$20001,"Coverage",Data_Summary!$AA$2:$AA$20001,AJ571))</f>
        <v/>
      </c>
    </row>
    <row r="572" customFormat="false" ht="12.75" hidden="false" customHeight="true" outlineLevel="0" collapsed="false">
      <c r="AJ572" s="16" t="str">
        <f aca="false">IF(Data_Summary!Y573&lt;&gt;"Coverage","",IF(Data_Summary!AA573="","",IF(COUNTIFS(Data_Summary!$Y$2:$Y573,"Coverage",Data_Summary!$AA$2:$AA573,Data_Summary!AA573)=1,Data_Summary!AA573,"")))</f>
        <v/>
      </c>
      <c r="AK572" s="16" t="str">
        <f aca="false">IF(AJ572="","",COUNTIFS(Data_Summary!$Y$2:$Y$20001,"Coverage",Data_Summary!$AA$2:$AA$20001,AJ572))</f>
        <v/>
      </c>
    </row>
    <row r="573" customFormat="false" ht="12.75" hidden="false" customHeight="true" outlineLevel="0" collapsed="false">
      <c r="AJ573" s="16" t="str">
        <f aca="false">IF(Data_Summary!Y574&lt;&gt;"Coverage","",IF(Data_Summary!AA574="","",IF(COUNTIFS(Data_Summary!$Y$2:$Y574,"Coverage",Data_Summary!$AA$2:$AA574,Data_Summary!AA574)=1,Data_Summary!AA574,"")))</f>
        <v/>
      </c>
      <c r="AK573" s="16" t="str">
        <f aca="false">IF(AJ573="","",COUNTIFS(Data_Summary!$Y$2:$Y$20001,"Coverage",Data_Summary!$AA$2:$AA$20001,AJ573))</f>
        <v/>
      </c>
    </row>
    <row r="574" customFormat="false" ht="12.75" hidden="false" customHeight="true" outlineLevel="0" collapsed="false">
      <c r="AJ574" s="16" t="str">
        <f aca="false">IF(Data_Summary!Y575&lt;&gt;"Coverage","",IF(Data_Summary!AA575="","",IF(COUNTIFS(Data_Summary!$Y$2:$Y575,"Coverage",Data_Summary!$AA$2:$AA575,Data_Summary!AA575)=1,Data_Summary!AA575,"")))</f>
        <v/>
      </c>
      <c r="AK574" s="16" t="str">
        <f aca="false">IF(AJ574="","",COUNTIFS(Data_Summary!$Y$2:$Y$20001,"Coverage",Data_Summary!$AA$2:$AA$20001,AJ574))</f>
        <v/>
      </c>
    </row>
    <row r="575" customFormat="false" ht="12.75" hidden="false" customHeight="true" outlineLevel="0" collapsed="false">
      <c r="AJ575" s="16" t="str">
        <f aca="false">IF(Data_Summary!Y576&lt;&gt;"Coverage","",IF(Data_Summary!AA576="","",IF(COUNTIFS(Data_Summary!$Y$2:$Y576,"Coverage",Data_Summary!$AA$2:$AA576,Data_Summary!AA576)=1,Data_Summary!AA576,"")))</f>
        <v/>
      </c>
      <c r="AK575" s="16" t="str">
        <f aca="false">IF(AJ575="","",COUNTIFS(Data_Summary!$Y$2:$Y$20001,"Coverage",Data_Summary!$AA$2:$AA$20001,AJ575))</f>
        <v/>
      </c>
    </row>
    <row r="576" customFormat="false" ht="12.75" hidden="false" customHeight="true" outlineLevel="0" collapsed="false">
      <c r="AJ576" s="16" t="str">
        <f aca="false">IF(Data_Summary!Y577&lt;&gt;"Coverage","",IF(Data_Summary!AA577="","",IF(COUNTIFS(Data_Summary!$Y$2:$Y577,"Coverage",Data_Summary!$AA$2:$AA577,Data_Summary!AA577)=1,Data_Summary!AA577,"")))</f>
        <v/>
      </c>
      <c r="AK576" s="16" t="str">
        <f aca="false">IF(AJ576="","",COUNTIFS(Data_Summary!$Y$2:$Y$20001,"Coverage",Data_Summary!$AA$2:$AA$20001,AJ576))</f>
        <v/>
      </c>
    </row>
    <row r="577" customFormat="false" ht="12.75" hidden="false" customHeight="true" outlineLevel="0" collapsed="false">
      <c r="AJ577" s="16" t="str">
        <f aca="false">IF(Data_Summary!Y578&lt;&gt;"Coverage","",IF(Data_Summary!AA578="","",IF(COUNTIFS(Data_Summary!$Y$2:$Y578,"Coverage",Data_Summary!$AA$2:$AA578,Data_Summary!AA578)=1,Data_Summary!AA578,"")))</f>
        <v/>
      </c>
      <c r="AK577" s="16" t="str">
        <f aca="false">IF(AJ577="","",COUNTIFS(Data_Summary!$Y$2:$Y$20001,"Coverage",Data_Summary!$AA$2:$AA$20001,AJ577))</f>
        <v/>
      </c>
    </row>
    <row r="578" customFormat="false" ht="12.75" hidden="false" customHeight="true" outlineLevel="0" collapsed="false">
      <c r="AJ578" s="16" t="str">
        <f aca="false">IF(Data_Summary!Y579&lt;&gt;"Coverage","",IF(Data_Summary!AA579="","",IF(COUNTIFS(Data_Summary!$Y$2:$Y579,"Coverage",Data_Summary!$AA$2:$AA579,Data_Summary!AA579)=1,Data_Summary!AA579,"")))</f>
        <v/>
      </c>
      <c r="AK578" s="16" t="str">
        <f aca="false">IF(AJ578="","",COUNTIFS(Data_Summary!$Y$2:$Y$20001,"Coverage",Data_Summary!$AA$2:$AA$20001,AJ578))</f>
        <v/>
      </c>
    </row>
    <row r="579" customFormat="false" ht="12.75" hidden="false" customHeight="true" outlineLevel="0" collapsed="false">
      <c r="AJ579" s="16" t="str">
        <f aca="false">IF(Data_Summary!Y580&lt;&gt;"Coverage","",IF(Data_Summary!AA580="","",IF(COUNTIFS(Data_Summary!$Y$2:$Y580,"Coverage",Data_Summary!$AA$2:$AA580,Data_Summary!AA580)=1,Data_Summary!AA580,"")))</f>
        <v/>
      </c>
      <c r="AK579" s="16" t="str">
        <f aca="false">IF(AJ579="","",COUNTIFS(Data_Summary!$Y$2:$Y$20001,"Coverage",Data_Summary!$AA$2:$AA$20001,AJ579))</f>
        <v/>
      </c>
    </row>
    <row r="580" customFormat="false" ht="12.75" hidden="false" customHeight="true" outlineLevel="0" collapsed="false">
      <c r="AJ580" s="16" t="str">
        <f aca="false">IF(Data_Summary!Y581&lt;&gt;"Coverage","",IF(Data_Summary!AA581="","",IF(COUNTIFS(Data_Summary!$Y$2:$Y581,"Coverage",Data_Summary!$AA$2:$AA581,Data_Summary!AA581)=1,Data_Summary!AA581,"")))</f>
        <v/>
      </c>
      <c r="AK580" s="16" t="str">
        <f aca="false">IF(AJ580="","",COUNTIFS(Data_Summary!$Y$2:$Y$20001,"Coverage",Data_Summary!$AA$2:$AA$20001,AJ580))</f>
        <v/>
      </c>
    </row>
    <row r="581" customFormat="false" ht="12.75" hidden="false" customHeight="true" outlineLevel="0" collapsed="false">
      <c r="AJ581" s="16" t="str">
        <f aca="false">IF(Data_Summary!Y582&lt;&gt;"Coverage","",IF(Data_Summary!AA582="","",IF(COUNTIFS(Data_Summary!$Y$2:$Y582,"Coverage",Data_Summary!$AA$2:$AA582,Data_Summary!AA582)=1,Data_Summary!AA582,"")))</f>
        <v/>
      </c>
      <c r="AK581" s="16" t="str">
        <f aca="false">IF(AJ581="","",COUNTIFS(Data_Summary!$Y$2:$Y$20001,"Coverage",Data_Summary!$AA$2:$AA$20001,AJ581))</f>
        <v/>
      </c>
    </row>
    <row r="582" customFormat="false" ht="12.75" hidden="false" customHeight="true" outlineLevel="0" collapsed="false">
      <c r="AJ582" s="16" t="str">
        <f aca="false">IF(Data_Summary!Y583&lt;&gt;"Coverage","",IF(Data_Summary!AA583="","",IF(COUNTIFS(Data_Summary!$Y$2:$Y583,"Coverage",Data_Summary!$AA$2:$AA583,Data_Summary!AA583)=1,Data_Summary!AA583,"")))</f>
        <v/>
      </c>
      <c r="AK582" s="16" t="str">
        <f aca="false">IF(AJ582="","",COUNTIFS(Data_Summary!$Y$2:$Y$20001,"Coverage",Data_Summary!$AA$2:$AA$20001,AJ582))</f>
        <v/>
      </c>
    </row>
    <row r="583" customFormat="false" ht="12.75" hidden="false" customHeight="true" outlineLevel="0" collapsed="false">
      <c r="AJ583" s="16" t="str">
        <f aca="false">IF(Data_Summary!Y584&lt;&gt;"Coverage","",IF(Data_Summary!AA584="","",IF(COUNTIFS(Data_Summary!$Y$2:$Y584,"Coverage",Data_Summary!$AA$2:$AA584,Data_Summary!AA584)=1,Data_Summary!AA584,"")))</f>
        <v/>
      </c>
      <c r="AK583" s="16" t="str">
        <f aca="false">IF(AJ583="","",COUNTIFS(Data_Summary!$Y$2:$Y$20001,"Coverage",Data_Summary!$AA$2:$AA$20001,AJ583))</f>
        <v/>
      </c>
    </row>
    <row r="584" customFormat="false" ht="12.75" hidden="false" customHeight="true" outlineLevel="0" collapsed="false">
      <c r="AJ584" s="16" t="str">
        <f aca="false">IF(Data_Summary!Y585&lt;&gt;"Coverage","",IF(Data_Summary!AA585="","",IF(COUNTIFS(Data_Summary!$Y$2:$Y585,"Coverage",Data_Summary!$AA$2:$AA585,Data_Summary!AA585)=1,Data_Summary!AA585,"")))</f>
        <v/>
      </c>
      <c r="AK584" s="16" t="str">
        <f aca="false">IF(AJ584="","",COUNTIFS(Data_Summary!$Y$2:$Y$20001,"Coverage",Data_Summary!$AA$2:$AA$20001,AJ584))</f>
        <v/>
      </c>
    </row>
    <row r="585" customFormat="false" ht="12.75" hidden="false" customHeight="true" outlineLevel="0" collapsed="false">
      <c r="AJ585" s="16" t="str">
        <f aca="false">IF(Data_Summary!Y586&lt;&gt;"Coverage","",IF(Data_Summary!AA586="","",IF(COUNTIFS(Data_Summary!$Y$2:$Y586,"Coverage",Data_Summary!$AA$2:$AA586,Data_Summary!AA586)=1,Data_Summary!AA586,"")))</f>
        <v/>
      </c>
      <c r="AK585" s="16" t="str">
        <f aca="false">IF(AJ585="","",COUNTIFS(Data_Summary!$Y$2:$Y$20001,"Coverage",Data_Summary!$AA$2:$AA$20001,AJ585))</f>
        <v/>
      </c>
    </row>
    <row r="586" customFormat="false" ht="12.75" hidden="false" customHeight="true" outlineLevel="0" collapsed="false">
      <c r="AJ586" s="16" t="str">
        <f aca="false">IF(Data_Summary!Y587&lt;&gt;"Coverage","",IF(Data_Summary!AA587="","",IF(COUNTIFS(Data_Summary!$Y$2:$Y587,"Coverage",Data_Summary!$AA$2:$AA587,Data_Summary!AA587)=1,Data_Summary!AA587,"")))</f>
        <v/>
      </c>
      <c r="AK586" s="16" t="str">
        <f aca="false">IF(AJ586="","",COUNTIFS(Data_Summary!$Y$2:$Y$20001,"Coverage",Data_Summary!$AA$2:$AA$20001,AJ586))</f>
        <v/>
      </c>
    </row>
    <row r="587" customFormat="false" ht="12.75" hidden="false" customHeight="true" outlineLevel="0" collapsed="false">
      <c r="AJ587" s="16" t="str">
        <f aca="false">IF(Data_Summary!Y588&lt;&gt;"Coverage","",IF(Data_Summary!AA588="","",IF(COUNTIFS(Data_Summary!$Y$2:$Y588,"Coverage",Data_Summary!$AA$2:$AA588,Data_Summary!AA588)=1,Data_Summary!AA588,"")))</f>
        <v/>
      </c>
      <c r="AK587" s="16" t="str">
        <f aca="false">IF(AJ587="","",COUNTIFS(Data_Summary!$Y$2:$Y$20001,"Coverage",Data_Summary!$AA$2:$AA$20001,AJ587))</f>
        <v/>
      </c>
    </row>
    <row r="588" customFormat="false" ht="12.75" hidden="false" customHeight="true" outlineLevel="0" collapsed="false">
      <c r="AJ588" s="16" t="str">
        <f aca="false">IF(Data_Summary!Y589&lt;&gt;"Coverage","",IF(Data_Summary!AA589="","",IF(COUNTIFS(Data_Summary!$Y$2:$Y589,"Coverage",Data_Summary!$AA$2:$AA589,Data_Summary!AA589)=1,Data_Summary!AA589,"")))</f>
        <v/>
      </c>
      <c r="AK588" s="16" t="str">
        <f aca="false">IF(AJ588="","",COUNTIFS(Data_Summary!$Y$2:$Y$20001,"Coverage",Data_Summary!$AA$2:$AA$20001,AJ588))</f>
        <v/>
      </c>
    </row>
    <row r="589" customFormat="false" ht="12.75" hidden="false" customHeight="true" outlineLevel="0" collapsed="false">
      <c r="AJ589" s="16" t="str">
        <f aca="false">IF(Data_Summary!Y590&lt;&gt;"Coverage","",IF(Data_Summary!AA590="","",IF(COUNTIFS(Data_Summary!$Y$2:$Y590,"Coverage",Data_Summary!$AA$2:$AA590,Data_Summary!AA590)=1,Data_Summary!AA590,"")))</f>
        <v/>
      </c>
      <c r="AK589" s="16" t="str">
        <f aca="false">IF(AJ589="","",COUNTIFS(Data_Summary!$Y$2:$Y$20001,"Coverage",Data_Summary!$AA$2:$AA$20001,AJ589))</f>
        <v/>
      </c>
    </row>
    <row r="590" customFormat="false" ht="12.75" hidden="false" customHeight="true" outlineLevel="0" collapsed="false">
      <c r="AJ590" s="16" t="str">
        <f aca="false">IF(Data_Summary!Y591&lt;&gt;"Coverage","",IF(Data_Summary!AA591="","",IF(COUNTIFS(Data_Summary!$Y$2:$Y591,"Coverage",Data_Summary!$AA$2:$AA591,Data_Summary!AA591)=1,Data_Summary!AA591,"")))</f>
        <v/>
      </c>
      <c r="AK590" s="16" t="str">
        <f aca="false">IF(AJ590="","",COUNTIFS(Data_Summary!$Y$2:$Y$20001,"Coverage",Data_Summary!$AA$2:$AA$20001,AJ590))</f>
        <v/>
      </c>
    </row>
    <row r="591" customFormat="false" ht="12.75" hidden="false" customHeight="true" outlineLevel="0" collapsed="false">
      <c r="AJ591" s="16" t="str">
        <f aca="false">IF(Data_Summary!Y592&lt;&gt;"Coverage","",IF(Data_Summary!AA592="","",IF(COUNTIFS(Data_Summary!$Y$2:$Y592,"Coverage",Data_Summary!$AA$2:$AA592,Data_Summary!AA592)=1,Data_Summary!AA592,"")))</f>
        <v/>
      </c>
      <c r="AK591" s="16" t="str">
        <f aca="false">IF(AJ591="","",COUNTIFS(Data_Summary!$Y$2:$Y$20001,"Coverage",Data_Summary!$AA$2:$AA$20001,AJ591))</f>
        <v/>
      </c>
    </row>
    <row r="592" customFormat="false" ht="12.75" hidden="false" customHeight="true" outlineLevel="0" collapsed="false">
      <c r="AJ592" s="16" t="str">
        <f aca="false">IF(Data_Summary!Y593&lt;&gt;"Coverage","",IF(Data_Summary!AA593="","",IF(COUNTIFS(Data_Summary!$Y$2:$Y593,"Coverage",Data_Summary!$AA$2:$AA593,Data_Summary!AA593)=1,Data_Summary!AA593,"")))</f>
        <v/>
      </c>
      <c r="AK592" s="16" t="str">
        <f aca="false">IF(AJ592="","",COUNTIFS(Data_Summary!$Y$2:$Y$20001,"Coverage",Data_Summary!$AA$2:$AA$20001,AJ592))</f>
        <v/>
      </c>
    </row>
    <row r="593" customFormat="false" ht="12.75" hidden="false" customHeight="true" outlineLevel="0" collapsed="false">
      <c r="AJ593" s="16" t="str">
        <f aca="false">IF(Data_Summary!Y594&lt;&gt;"Coverage","",IF(Data_Summary!AA594="","",IF(COUNTIFS(Data_Summary!$Y$2:$Y594,"Coverage",Data_Summary!$AA$2:$AA594,Data_Summary!AA594)=1,Data_Summary!AA594,"")))</f>
        <v/>
      </c>
      <c r="AK593" s="16" t="str">
        <f aca="false">IF(AJ593="","",COUNTIFS(Data_Summary!$Y$2:$Y$20001,"Coverage",Data_Summary!$AA$2:$AA$20001,AJ593))</f>
        <v/>
      </c>
    </row>
    <row r="594" customFormat="false" ht="12.75" hidden="false" customHeight="true" outlineLevel="0" collapsed="false">
      <c r="AJ594" s="16" t="str">
        <f aca="false">IF(Data_Summary!Y595&lt;&gt;"Coverage","",IF(Data_Summary!AA595="","",IF(COUNTIFS(Data_Summary!$Y$2:$Y595,"Coverage",Data_Summary!$AA$2:$AA595,Data_Summary!AA595)=1,Data_Summary!AA595,"")))</f>
        <v/>
      </c>
      <c r="AK594" s="16" t="str">
        <f aca="false">IF(AJ594="","",COUNTIFS(Data_Summary!$Y$2:$Y$20001,"Coverage",Data_Summary!$AA$2:$AA$20001,AJ594))</f>
        <v/>
      </c>
    </row>
    <row r="595" customFormat="false" ht="12.75" hidden="false" customHeight="true" outlineLevel="0" collapsed="false">
      <c r="AJ595" s="16" t="str">
        <f aca="false">IF(Data_Summary!Y596&lt;&gt;"Coverage","",IF(Data_Summary!AA596="","",IF(COUNTIFS(Data_Summary!$Y$2:$Y596,"Coverage",Data_Summary!$AA$2:$AA596,Data_Summary!AA596)=1,Data_Summary!AA596,"")))</f>
        <v/>
      </c>
      <c r="AK595" s="16" t="str">
        <f aca="false">IF(AJ595="","",COUNTIFS(Data_Summary!$Y$2:$Y$20001,"Coverage",Data_Summary!$AA$2:$AA$20001,AJ595))</f>
        <v/>
      </c>
    </row>
    <row r="596" customFormat="false" ht="12.75" hidden="false" customHeight="true" outlineLevel="0" collapsed="false">
      <c r="AJ596" s="16" t="str">
        <f aca="false">IF(Data_Summary!Y597&lt;&gt;"Coverage","",IF(Data_Summary!AA597="","",IF(COUNTIFS(Data_Summary!$Y$2:$Y597,"Coverage",Data_Summary!$AA$2:$AA597,Data_Summary!AA597)=1,Data_Summary!AA597,"")))</f>
        <v/>
      </c>
      <c r="AK596" s="16" t="str">
        <f aca="false">IF(AJ596="","",COUNTIFS(Data_Summary!$Y$2:$Y$20001,"Coverage",Data_Summary!$AA$2:$AA$20001,AJ596))</f>
        <v/>
      </c>
    </row>
    <row r="597" customFormat="false" ht="12.75" hidden="false" customHeight="true" outlineLevel="0" collapsed="false">
      <c r="AJ597" s="16" t="str">
        <f aca="false">IF(Data_Summary!Y598&lt;&gt;"Coverage","",IF(Data_Summary!AA598="","",IF(COUNTIFS(Data_Summary!$Y$2:$Y598,"Coverage",Data_Summary!$AA$2:$AA598,Data_Summary!AA598)=1,Data_Summary!AA598,"")))</f>
        <v/>
      </c>
      <c r="AK597" s="16" t="str">
        <f aca="false">IF(AJ597="","",COUNTIFS(Data_Summary!$Y$2:$Y$20001,"Coverage",Data_Summary!$AA$2:$AA$20001,AJ597))</f>
        <v/>
      </c>
    </row>
    <row r="598" customFormat="false" ht="12.75" hidden="false" customHeight="true" outlineLevel="0" collapsed="false">
      <c r="AJ598" s="16" t="str">
        <f aca="false">IF(Data_Summary!Y599&lt;&gt;"Coverage","",IF(Data_Summary!AA599="","",IF(COUNTIFS(Data_Summary!$Y$2:$Y599,"Coverage",Data_Summary!$AA$2:$AA599,Data_Summary!AA599)=1,Data_Summary!AA599,"")))</f>
        <v/>
      </c>
      <c r="AK598" s="16" t="str">
        <f aca="false">IF(AJ598="","",COUNTIFS(Data_Summary!$Y$2:$Y$20001,"Coverage",Data_Summary!$AA$2:$AA$20001,AJ598))</f>
        <v/>
      </c>
    </row>
    <row r="599" customFormat="false" ht="12.75" hidden="false" customHeight="true" outlineLevel="0" collapsed="false">
      <c r="AJ599" s="16" t="str">
        <f aca="false">IF(Data_Summary!Y600&lt;&gt;"Coverage","",IF(Data_Summary!AA600="","",IF(COUNTIFS(Data_Summary!$Y$2:$Y600,"Coverage",Data_Summary!$AA$2:$AA600,Data_Summary!AA600)=1,Data_Summary!AA600,"")))</f>
        <v/>
      </c>
      <c r="AK599" s="16" t="str">
        <f aca="false">IF(AJ599="","",COUNTIFS(Data_Summary!$Y$2:$Y$20001,"Coverage",Data_Summary!$AA$2:$AA$20001,AJ599))</f>
        <v/>
      </c>
    </row>
  </sheetData>
  <mergeCells count="6">
    <mergeCell ref="J1:O1"/>
    <mergeCell ref="Q1:T1"/>
    <mergeCell ref="A48:D48"/>
    <mergeCell ref="A261:E261"/>
    <mergeCell ref="A268:H268"/>
    <mergeCell ref="A269:H2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0"/>
  <sheetViews>
    <sheetView showFormulas="false" showGridLines="false" showRowColHeaders="true" showZeros="true" rightToLeft="false" tabSelected="true" showOutlineSymbols="true" defaultGridColor="true" view="normal" topLeftCell="A1" colorId="64" zoomScale="94" zoomScaleNormal="94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B16" activeCellId="0" sqref="AB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.14"/>
    <col collapsed="false" customWidth="true" hidden="false" outlineLevel="0" max="2" min="2" style="0" width="1.42"/>
    <col collapsed="false" customWidth="true" hidden="false" outlineLevel="0" max="3" min="3" style="0" width="28"/>
    <col collapsed="false" customWidth="true" hidden="false" outlineLevel="0" max="4" min="4" style="0" width="9.42"/>
    <col collapsed="false" customWidth="true" hidden="false" outlineLevel="0" max="5" min="5" style="0" width="10.71"/>
    <col collapsed="false" customWidth="true" hidden="false" outlineLevel="0" max="6" min="6" style="0" width="7.42"/>
    <col collapsed="false" customWidth="true" hidden="false" outlineLevel="0" max="7" min="7" style="0" width="8"/>
    <col collapsed="false" customWidth="true" hidden="false" outlineLevel="0" max="8" min="8" style="0" width="6.43"/>
    <col collapsed="false" customWidth="true" hidden="false" outlineLevel="0" max="16" min="9" style="0" width="6"/>
    <col collapsed="false" customWidth="true" hidden="false" outlineLevel="0" max="17" min="17" style="0" width="8.29"/>
    <col collapsed="false" customWidth="true" hidden="false" outlineLevel="0" max="18" min="18" style="0" width="6"/>
    <col collapsed="false" customWidth="true" hidden="false" outlineLevel="0" max="19" min="19" style="0" width="7.42"/>
    <col collapsed="false" customWidth="true" hidden="false" outlineLevel="0" max="20" min="20" style="0" width="7.71"/>
    <col collapsed="false" customWidth="true" hidden="false" outlineLevel="0" max="21" min="21" style="0" width="6"/>
    <col collapsed="false" customWidth="true" hidden="false" outlineLevel="0" max="22" min="22" style="0" width="8.15"/>
    <col collapsed="false" customWidth="true" hidden="false" outlineLevel="0" max="23" min="23" style="0" width="6"/>
    <col collapsed="false" customWidth="true" hidden="false" outlineLevel="0" max="24" min="24" style="0" width="12.15"/>
    <col collapsed="false" customWidth="true" hidden="false" outlineLevel="0" max="25" min="25" style="0" width="1.42"/>
  </cols>
  <sheetData>
    <row r="1" customFormat="false" ht="6" hidden="false" customHeight="true" outlineLevel="0" collapsed="false"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customFormat="false" ht="36" hidden="false" customHeight="true" outlineLevel="0" collapsed="false">
      <c r="B2" s="77"/>
      <c r="C2" s="78" t="s">
        <v>993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9" t="s">
        <v>994</v>
      </c>
      <c r="T2" s="79"/>
      <c r="U2" s="79"/>
      <c r="V2" s="79"/>
      <c r="W2" s="79"/>
      <c r="X2" s="79"/>
      <c r="Y2" s="76"/>
      <c r="Z2" s="76"/>
      <c r="AA2" s="76"/>
      <c r="AB2" s="76"/>
    </row>
    <row r="3" customFormat="false" ht="21.75" hidden="false" customHeight="true" outlineLevel="0" collapsed="false">
      <c r="B3" s="77"/>
      <c r="C3" s="80" t="s">
        <v>995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1"/>
      <c r="V3" s="81"/>
      <c r="W3" s="81"/>
      <c r="X3" s="81"/>
      <c r="Y3" s="76"/>
      <c r="Z3" s="76"/>
      <c r="AA3" s="76"/>
      <c r="AB3" s="76"/>
    </row>
    <row r="4" customFormat="false" ht="13.5" hidden="false" customHeight="true" outlineLevel="0" collapsed="false">
      <c r="B4" s="77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</row>
    <row r="5" customFormat="false" ht="6" hidden="false" customHeight="true" outlineLevel="0" collapsed="false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customFormat="false" ht="7.5" hidden="false" customHeight="true" outlineLevel="0" collapsed="false"/>
    <row r="7" customFormat="false" ht="3.75" hidden="false" customHeight="true" outlineLevel="0" collapsed="false">
      <c r="C7" s="82"/>
      <c r="D7" s="82"/>
      <c r="E7" s="82"/>
      <c r="F7" s="82"/>
      <c r="G7" s="82"/>
      <c r="H7" s="82"/>
      <c r="I7" s="83"/>
      <c r="J7" s="83"/>
      <c r="K7" s="83"/>
      <c r="L7" s="84"/>
      <c r="M7" s="84"/>
      <c r="N7" s="84"/>
      <c r="O7" s="85"/>
      <c r="P7" s="85"/>
      <c r="Q7" s="85"/>
      <c r="R7" s="86"/>
      <c r="S7" s="86"/>
      <c r="T7" s="86"/>
      <c r="U7" s="87"/>
      <c r="V7" s="87"/>
      <c r="W7" s="87"/>
      <c r="X7" s="87"/>
    </row>
    <row r="8" customFormat="false" ht="36" hidden="false" customHeight="true" outlineLevel="0" collapsed="false">
      <c r="C8" s="88" t="n">
        <f aca="false">Calc!B3</f>
        <v>100</v>
      </c>
      <c r="D8" s="88"/>
      <c r="E8" s="88"/>
      <c r="F8" s="89" t="n">
        <f aca="false">Calc!B4</f>
        <v>12</v>
      </c>
      <c r="G8" s="89"/>
      <c r="H8" s="89"/>
      <c r="I8" s="89" t="n">
        <f aca="false">Calc!B7</f>
        <v>22</v>
      </c>
      <c r="J8" s="89"/>
      <c r="K8" s="89"/>
      <c r="L8" s="90" t="n">
        <f aca="false">Calc!B5</f>
        <v>14</v>
      </c>
      <c r="M8" s="90"/>
      <c r="N8" s="90"/>
      <c r="O8" s="91" t="n">
        <f aca="false">Calc!B13</f>
        <v>74</v>
      </c>
      <c r="P8" s="91"/>
      <c r="Q8" s="91"/>
      <c r="R8" s="92" t="n">
        <f aca="false">Calc!B14</f>
        <v>76.75</v>
      </c>
      <c r="S8" s="92"/>
      <c r="T8" s="92"/>
      <c r="U8" s="88" t="n">
        <f aca="false">Calc!B15</f>
        <v>100</v>
      </c>
      <c r="V8" s="88"/>
      <c r="W8" s="88" t="n">
        <f aca="false">Calc!B16</f>
        <v>8</v>
      </c>
      <c r="X8" s="88"/>
    </row>
    <row r="9" customFormat="false" ht="18" hidden="false" customHeight="true" outlineLevel="0" collapsed="false">
      <c r="C9" s="93" t="s">
        <v>996</v>
      </c>
      <c r="D9" s="93"/>
      <c r="E9" s="93"/>
      <c r="F9" s="93" t="s">
        <v>997</v>
      </c>
      <c r="G9" s="93"/>
      <c r="H9" s="93"/>
      <c r="I9" s="93" t="s">
        <v>998</v>
      </c>
      <c r="J9" s="93"/>
      <c r="K9" s="93"/>
      <c r="L9" s="93" t="s">
        <v>999</v>
      </c>
      <c r="M9" s="93"/>
      <c r="N9" s="93"/>
      <c r="O9" s="93" t="s">
        <v>1000</v>
      </c>
      <c r="P9" s="93"/>
      <c r="Q9" s="93"/>
      <c r="R9" s="93" t="s">
        <v>1001</v>
      </c>
      <c r="S9" s="93"/>
      <c r="T9" s="93"/>
      <c r="U9" s="93" t="s">
        <v>1002</v>
      </c>
      <c r="V9" s="93"/>
      <c r="W9" s="93" t="s">
        <v>1003</v>
      </c>
      <c r="X9" s="93"/>
    </row>
    <row r="10" customFormat="false" ht="13.5" hidden="false" customHeight="true" outlineLevel="0" collapsed="false">
      <c r="C10" s="94"/>
      <c r="D10" s="94"/>
      <c r="E10" s="94"/>
      <c r="F10" s="94" t="s">
        <v>1004</v>
      </c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</row>
    <row r="11" customFormat="false" ht="6" hidden="false" customHeight="true" outlineLevel="0" collapsed="false"/>
    <row r="12" customFormat="false" ht="15.75" hidden="false" customHeight="true" outlineLevel="0" collapsed="false">
      <c r="C12" s="95" t="s">
        <v>1005</v>
      </c>
      <c r="D12" s="95"/>
      <c r="E12" s="95"/>
      <c r="F12" s="95"/>
      <c r="G12" s="95"/>
      <c r="H12" s="95"/>
      <c r="I12" s="95" t="s">
        <v>9</v>
      </c>
      <c r="J12" s="95"/>
      <c r="K12" s="95"/>
      <c r="L12" s="95"/>
      <c r="M12" s="95"/>
      <c r="N12" s="95"/>
      <c r="O12" s="95" t="s">
        <v>1006</v>
      </c>
      <c r="P12" s="95"/>
      <c r="Q12" s="95"/>
      <c r="R12" s="95"/>
      <c r="S12" s="95"/>
      <c r="T12" s="95"/>
      <c r="U12" s="95" t="s">
        <v>1007</v>
      </c>
      <c r="V12" s="95"/>
      <c r="W12" s="95"/>
      <c r="X12" s="95"/>
    </row>
    <row r="13" customFormat="false" ht="19.5" hidden="false" customHeight="true" outlineLevel="0" collapsed="false">
      <c r="C13" s="96" t="str">
        <f aca="false">Calc!B17</f>
        <v>DEA Service Line</v>
      </c>
      <c r="D13" s="96"/>
      <c r="E13" s="96"/>
      <c r="F13" s="96"/>
      <c r="G13" s="96"/>
      <c r="H13" s="96"/>
      <c r="I13" s="96" t="str">
        <f aca="false">Calc!B18</f>
        <v>IBU Specific Connect </v>
      </c>
      <c r="J13" s="96"/>
      <c r="K13" s="96"/>
      <c r="L13" s="96"/>
      <c r="M13" s="96"/>
      <c r="N13" s="96"/>
      <c r="O13" s="97" t="str">
        <f aca="false">Calc!B19</f>
        <v>Alignment</v>
      </c>
      <c r="P13" s="97"/>
      <c r="Q13" s="97"/>
      <c r="R13" s="97"/>
      <c r="S13" s="97"/>
      <c r="T13" s="97"/>
      <c r="U13" s="98" t="n">
        <f aca="false">Calc!B20</f>
        <v>26</v>
      </c>
      <c r="V13" s="98"/>
      <c r="W13" s="98"/>
      <c r="X13" s="98"/>
    </row>
    <row r="14" customFormat="false" ht="6" hidden="false" customHeight="true" outlineLevel="0" collapsed="false"/>
    <row r="15" customFormat="false" ht="19.5" hidden="false" customHeight="true" outlineLevel="0" collapsed="false">
      <c r="C15" s="99" t="s">
        <v>1008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6" hidden="false" customHeight="true" outlineLevel="0" collapsed="false"/>
    <row r="35" customFormat="false" ht="19.5" hidden="false" customHeight="true" outlineLevel="0" collapsed="false">
      <c r="C35" s="100" t="s">
        <v>1009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6" hidden="false" customHeight="true" outlineLevel="0" collapsed="false"/>
    <row r="55" customFormat="false" ht="6" hidden="false" customHeight="true" outlineLevel="0" collapsed="false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</row>
    <row r="56" customFormat="false" ht="19.5" hidden="false" customHeight="true" outlineLevel="0" collapsed="false">
      <c r="C56" s="102" t="s">
        <v>1010</v>
      </c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</row>
    <row r="57" s="103" customFormat="true" ht="19.5" hidden="false" customHeight="true" outlineLevel="0" collapsed="false"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</row>
    <row r="58" s="103" customFormat="true" ht="19.5" hidden="false" customHeight="true" outlineLevel="0" collapsed="false"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</row>
    <row r="59" s="103" customFormat="true" ht="19.5" hidden="false" customHeight="true" outlineLevel="0" collapsed="false"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</row>
    <row r="60" s="103" customFormat="true" ht="19.5" hidden="false" customHeight="true" outlineLevel="0" collapsed="false"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</row>
    <row r="61" s="103" customFormat="true" ht="19.5" hidden="false" customHeight="true" outlineLevel="0" collapsed="false"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</row>
    <row r="62" s="103" customFormat="true" ht="19.5" hidden="false" customHeight="true" outlineLevel="0" collapsed="false"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</row>
    <row r="63" s="103" customFormat="true" ht="19.5" hidden="false" customHeight="true" outlineLevel="0" collapsed="false"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</row>
    <row r="64" s="103" customFormat="true" ht="19.5" hidden="false" customHeight="true" outlineLevel="0" collapsed="false"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</row>
    <row r="65" s="103" customFormat="true" ht="19.5" hidden="false" customHeight="true" outlineLevel="0" collapsed="false"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</row>
    <row r="66" s="103" customFormat="true" ht="19.5" hidden="false" customHeight="true" outlineLevel="0" collapsed="false"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</row>
    <row r="67" s="103" customFormat="true" ht="19.5" hidden="false" customHeight="true" outlineLevel="0" collapsed="false"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</row>
    <row r="68" s="103" customFormat="true" ht="19.5" hidden="false" customHeight="true" outlineLevel="0" collapsed="false"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</row>
    <row r="69" s="103" customFormat="true" ht="19.5" hidden="false" customHeight="true" outlineLevel="0" collapsed="false"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</row>
    <row r="70" customFormat="false" ht="21.75" hidden="false" customHeight="true" outlineLevel="0" collapsed="false">
      <c r="A70" s="101"/>
      <c r="B70" s="101"/>
      <c r="C70" s="105" t="s">
        <v>1011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1"/>
      <c r="Y70" s="101"/>
    </row>
    <row r="71" customFormat="false" ht="36.75" hidden="false" customHeight="true" outlineLevel="0" collapsed="false">
      <c r="A71" s="101"/>
      <c r="B71" s="101"/>
      <c r="C71" s="106"/>
      <c r="D71" s="106"/>
      <c r="E71" s="106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customFormat="false" ht="15" hidden="false" customHeight="true" outlineLevel="0" collapsed="false">
      <c r="A72" s="101"/>
      <c r="B72" s="101"/>
      <c r="C72" s="107"/>
      <c r="D72" s="108"/>
      <c r="E72" s="109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 customFormat="false" ht="15" hidden="false" customHeight="true" outlineLevel="0" collapsed="false">
      <c r="A73" s="101"/>
      <c r="B73" s="101"/>
      <c r="C73" s="110"/>
      <c r="D73" s="111"/>
      <c r="E73" s="112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customFormat="false" ht="15" hidden="false" customHeight="true" outlineLevel="0" collapsed="false">
      <c r="A74" s="101"/>
      <c r="B74" s="101"/>
      <c r="C74" s="107"/>
      <c r="D74" s="108"/>
      <c r="E74" s="113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customFormat="false" ht="15" hidden="false" customHeight="true" outlineLevel="0" collapsed="false">
      <c r="A75" s="101"/>
      <c r="B75" s="101"/>
      <c r="C75" s="110"/>
      <c r="D75" s="111"/>
      <c r="E75" s="109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customFormat="false" ht="15" hidden="false" customHeight="true" outlineLevel="0" collapsed="false">
      <c r="A76" s="101"/>
      <c r="B76" s="101"/>
      <c r="C76" s="107"/>
      <c r="D76" s="108"/>
      <c r="E76" s="113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 customFormat="false" ht="15" hidden="false" customHeight="true" outlineLevel="0" collapsed="false">
      <c r="A77" s="101"/>
      <c r="B77" s="101"/>
      <c r="C77" s="110"/>
      <c r="D77" s="111"/>
      <c r="E77" s="112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customFormat="false" ht="15" hidden="false" customHeight="true" outlineLevel="0" collapsed="false">
      <c r="A78" s="101"/>
      <c r="B78" s="101"/>
      <c r="C78" s="107"/>
      <c r="D78" s="108"/>
      <c r="E78" s="113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 customFormat="false" ht="15" hidden="false" customHeight="true" outlineLevel="0" collapsed="false">
      <c r="A79" s="101"/>
      <c r="B79" s="101"/>
      <c r="C79" s="110"/>
      <c r="D79" s="111"/>
      <c r="E79" s="112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 customFormat="false" ht="15" hidden="false" customHeight="true" outlineLevel="0" collapsed="false">
      <c r="A80" s="101"/>
      <c r="B80" s="101"/>
      <c r="C80" s="107"/>
      <c r="D80" s="108"/>
      <c r="E80" s="113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customFormat="false" ht="15" hidden="false" customHeight="true" outlineLevel="0" collapsed="false">
      <c r="A81" s="101"/>
      <c r="B81" s="101"/>
      <c r="C81" s="110"/>
      <c r="D81" s="111"/>
      <c r="E81" s="112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 customFormat="false" ht="15" hidden="false" customHeight="true" outlineLevel="0" collapsed="false">
      <c r="A82" s="101"/>
      <c r="B82" s="101"/>
      <c r="C82" s="107"/>
      <c r="D82" s="108"/>
      <c r="E82" s="113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 customFormat="false" ht="15" hidden="false" customHeight="true" outlineLevel="0" collapsed="false">
      <c r="A83" s="101"/>
      <c r="B83" s="101"/>
      <c r="C83" s="110"/>
      <c r="D83" s="111"/>
      <c r="E83" s="109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customFormat="false" ht="15" hidden="false" customHeight="true" outlineLevel="0" collapsed="false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 customFormat="false" ht="39.75" hidden="false" customHeight="true" outlineLevel="0" collapsed="false">
      <c r="A85" s="101"/>
      <c r="B85" s="101"/>
      <c r="C85" s="106"/>
      <c r="D85" s="106"/>
      <c r="E85" s="106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 customFormat="false" ht="15" hidden="false" customHeight="true" outlineLevel="0" collapsed="false">
      <c r="A86" s="101"/>
      <c r="B86" s="101"/>
      <c r="C86" s="107"/>
      <c r="D86" s="108"/>
      <c r="E86" s="109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customFormat="false" ht="15" hidden="false" customHeight="true" outlineLevel="0" collapsed="false">
      <c r="A87" s="101"/>
      <c r="B87" s="101"/>
      <c r="C87" s="110"/>
      <c r="D87" s="111"/>
      <c r="E87" s="109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customFormat="false" ht="15" hidden="false" customHeight="true" outlineLevel="0" collapsed="false">
      <c r="A88" s="101"/>
      <c r="B88" s="101"/>
      <c r="C88" s="107"/>
      <c r="D88" s="108"/>
      <c r="E88" s="113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 customFormat="false" ht="15" hidden="false" customHeight="true" outlineLevel="0" collapsed="false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customFormat="false" ht="15" hidden="false" customHeight="true" outlineLevel="0" collapsed="false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customFormat="false" ht="21.75" hidden="false" customHeight="true" outlineLevel="0" collapsed="false">
      <c r="A91" s="101"/>
      <c r="B91" s="101"/>
      <c r="C91" s="114" t="s">
        <v>1012</v>
      </c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01"/>
      <c r="Y91" s="101"/>
    </row>
    <row r="92" customFormat="false" ht="30" hidden="false" customHeight="true" outlineLevel="0" collapsed="false">
      <c r="A92" s="101"/>
      <c r="B92" s="101"/>
      <c r="C92" s="115" t="s">
        <v>990</v>
      </c>
      <c r="D92" s="115" t="s">
        <v>0</v>
      </c>
      <c r="E92" s="115" t="s">
        <v>5</v>
      </c>
      <c r="F92" s="115"/>
      <c r="G92" s="115" t="s">
        <v>14</v>
      </c>
      <c r="H92" s="115"/>
      <c r="I92" s="115" t="s">
        <v>991</v>
      </c>
      <c r="J92" s="115"/>
      <c r="K92" s="115"/>
      <c r="L92" s="115" t="s">
        <v>98</v>
      </c>
      <c r="M92" s="115"/>
      <c r="N92" s="115" t="s">
        <v>99</v>
      </c>
      <c r="O92" s="115"/>
      <c r="P92" s="115" t="s">
        <v>1013</v>
      </c>
      <c r="Q92" s="115"/>
      <c r="R92" s="115"/>
      <c r="S92" s="115"/>
      <c r="T92" s="115"/>
      <c r="U92" s="115"/>
      <c r="V92" s="115"/>
      <c r="W92" s="115"/>
      <c r="X92" s="101"/>
      <c r="Y92" s="101"/>
    </row>
    <row r="93" customFormat="false" ht="27.75" hidden="false" customHeight="true" outlineLevel="0" collapsed="false">
      <c r="A93" s="101"/>
      <c r="B93" s="101"/>
      <c r="C93" s="116" t="n">
        <f aca="false">IFERROR(Calc!A271,"—")</f>
        <v>1</v>
      </c>
      <c r="D93" s="117" t="n">
        <f aca="false">IFERROR(Calc!B271,"—")</f>
        <v>25</v>
      </c>
      <c r="E93" s="118" t="str">
        <f aca="false">IFERROR(Calc!C271,"—")</f>
        <v>Aadi Naik</v>
      </c>
      <c r="F93" s="118"/>
      <c r="G93" s="118" t="str">
        <f aca="false">IFERROR(Calc!D271,"—")</f>
        <v>DIG Vertical</v>
      </c>
      <c r="H93" s="118"/>
      <c r="I93" s="118" t="str">
        <f aca="false">IFERROR(Calc!E271,"—")</f>
        <v>New Joiner Connect (90 Days)</v>
      </c>
      <c r="J93" s="118"/>
      <c r="K93" s="118"/>
      <c r="L93" s="119" t="str">
        <f aca="false">IFERROR(Calc!F271,"—")</f>
        <v>High</v>
      </c>
      <c r="M93" s="119"/>
      <c r="N93" s="120" t="str">
        <f aca="false">IFERROR(Calc!G271,"—")</f>
        <v>Open</v>
      </c>
      <c r="O93" s="120"/>
      <c r="P93" s="118" t="str">
        <f aca="false">IFERROR(Calc!H271,"—")</f>
        <v>aNA</v>
      </c>
      <c r="Q93" s="118"/>
      <c r="R93" s="118"/>
      <c r="S93" s="118"/>
      <c r="T93" s="118"/>
      <c r="U93" s="118"/>
      <c r="V93" s="118"/>
      <c r="W93" s="118"/>
      <c r="X93" s="101"/>
      <c r="Y93" s="101"/>
    </row>
    <row r="94" customFormat="false" ht="27.75" hidden="false" customHeight="true" outlineLevel="0" collapsed="false">
      <c r="A94" s="101"/>
      <c r="B94" s="101"/>
      <c r="C94" s="121" t="n">
        <f aca="false">IFERROR(Calc!A272,"—")</f>
        <v>2</v>
      </c>
      <c r="D94" s="122" t="n">
        <f aca="false">IFERROR(Calc!B272,"—")</f>
        <v>63</v>
      </c>
      <c r="E94" s="123" t="str">
        <f aca="false">IFERROR(Calc!C272,"—")</f>
        <v>Chaitanya Aggarwal</v>
      </c>
      <c r="F94" s="123"/>
      <c r="G94" s="123" t="str">
        <f aca="false">IFERROR(Calc!D272,"—")</f>
        <v>Network Services Service Line</v>
      </c>
      <c r="H94" s="123"/>
      <c r="I94" s="123" t="str">
        <f aca="false">IFERROR(Calc!E272,"—")</f>
        <v>SL Induction</v>
      </c>
      <c r="J94" s="123"/>
      <c r="K94" s="123"/>
      <c r="L94" s="124" t="str">
        <f aca="false">IFERROR(Calc!F272,"—")</f>
        <v>High</v>
      </c>
      <c r="M94" s="124"/>
      <c r="N94" s="125" t="str">
        <f aca="false">IFERROR(Calc!G272,"—")</f>
        <v>Open</v>
      </c>
      <c r="O94" s="125"/>
      <c r="P94" s="123" t="str">
        <f aca="false">IFERROR(Calc!H272,"—")</f>
        <v>NA</v>
      </c>
      <c r="Q94" s="123"/>
      <c r="R94" s="123"/>
      <c r="S94" s="123"/>
      <c r="T94" s="123"/>
      <c r="U94" s="123"/>
      <c r="V94" s="123"/>
      <c r="W94" s="123"/>
      <c r="X94" s="101"/>
      <c r="Y94" s="101"/>
    </row>
    <row r="95" customFormat="false" ht="27.75" hidden="false" customHeight="true" outlineLevel="0" collapsed="false">
      <c r="A95" s="101"/>
      <c r="B95" s="101"/>
      <c r="C95" s="116" t="n">
        <f aca="false">IFERROR(Calc!A273,"—")</f>
        <v>3</v>
      </c>
      <c r="D95" s="117" t="n">
        <f aca="false">IFERROR(Calc!B273,"—")</f>
        <v>4</v>
      </c>
      <c r="E95" s="118" t="str">
        <f aca="false">IFERROR(Calc!C273,"—")</f>
        <v>Abeer Dutta</v>
      </c>
      <c r="F95" s="118"/>
      <c r="G95" s="123" t="str">
        <f aca="false">IFERROR(Calc!D273,"—")</f>
        <v>DEA Service Line</v>
      </c>
      <c r="H95" s="123"/>
      <c r="I95" s="118" t="str">
        <f aca="false">IFERROR(Calc!E273,"—")</f>
        <v>ML Returnee Connect</v>
      </c>
      <c r="J95" s="118"/>
      <c r="K95" s="118"/>
      <c r="L95" s="119" t="str">
        <f aca="false">IFERROR(Calc!F273,"—")</f>
        <v>High</v>
      </c>
      <c r="M95" s="119"/>
      <c r="N95" s="120" t="str">
        <f aca="false">IFERROR(Calc!G273,"—")</f>
        <v>In-progress</v>
      </c>
      <c r="O95" s="120"/>
      <c r="P95" s="118" t="str">
        <f aca="false">IFERROR(Calc!H273,"—")</f>
        <v>No response on IJP applied on Rapid</v>
      </c>
      <c r="Q95" s="118"/>
      <c r="R95" s="118"/>
      <c r="S95" s="118"/>
      <c r="T95" s="118"/>
      <c r="U95" s="118"/>
      <c r="V95" s="118"/>
      <c r="W95" s="118"/>
      <c r="X95" s="101"/>
      <c r="Y95" s="101"/>
    </row>
    <row r="96" customFormat="false" ht="27.75" hidden="false" customHeight="true" outlineLevel="0" collapsed="false">
      <c r="A96" s="101"/>
      <c r="B96" s="101"/>
      <c r="C96" s="121" t="n">
        <f aca="false">IFERROR(Calc!A274,"—")</f>
        <v>4</v>
      </c>
      <c r="D96" s="122" t="n">
        <f aca="false">IFERROR(Calc!B274,"—")</f>
        <v>26</v>
      </c>
      <c r="E96" s="123" t="str">
        <f aca="false">IFERROR(Calc!C274,"—")</f>
        <v>Janani Mohanty</v>
      </c>
      <c r="F96" s="123"/>
      <c r="G96" s="123" t="str">
        <f aca="false">IFERROR(Calc!D274,"—")</f>
        <v>DEA Service Line</v>
      </c>
      <c r="H96" s="123"/>
      <c r="I96" s="123" t="str">
        <f aca="false">IFERROR(Calc!E274,"—")</f>
        <v>Top Talent Connect</v>
      </c>
      <c r="J96" s="123"/>
      <c r="K96" s="123"/>
      <c r="L96" s="124" t="str">
        <f aca="false">IFERROR(Calc!F274,"—")</f>
        <v>High</v>
      </c>
      <c r="M96" s="124"/>
      <c r="N96" s="125" t="str">
        <f aca="false">IFERROR(Calc!G274,"—")</f>
        <v>In-progress</v>
      </c>
      <c r="O96" s="125"/>
      <c r="P96" s="123" t="str">
        <f aca="false">IFERROR(Calc!H274,"—")</f>
        <v>NA</v>
      </c>
      <c r="Q96" s="123"/>
      <c r="R96" s="123"/>
      <c r="S96" s="123"/>
      <c r="T96" s="123"/>
      <c r="U96" s="123"/>
      <c r="V96" s="123"/>
      <c r="W96" s="123"/>
      <c r="X96" s="101"/>
      <c r="Y96" s="101"/>
    </row>
    <row r="97" customFormat="false" ht="27.75" hidden="false" customHeight="true" outlineLevel="0" collapsed="false">
      <c r="A97" s="101"/>
      <c r="B97" s="101"/>
      <c r="C97" s="116" t="n">
        <f aca="false">IFERROR(Calc!A275,"—")</f>
        <v>5</v>
      </c>
      <c r="D97" s="117" t="n">
        <f aca="false">IFERROR(Calc!B275,"—")</f>
        <v>67</v>
      </c>
      <c r="E97" s="118" t="str">
        <f aca="false">IFERROR(Calc!C275,"—")</f>
        <v>Qushi Datta</v>
      </c>
      <c r="F97" s="118"/>
      <c r="G97" s="123" t="str">
        <f aca="false">IFERROR(Calc!D275,"—")</f>
        <v>DEA Service Line</v>
      </c>
      <c r="H97" s="123"/>
      <c r="I97" s="123" t="str">
        <f aca="false">IFERROR(Calc!E275,"—")</f>
        <v>Wellness Session</v>
      </c>
      <c r="J97" s="123"/>
      <c r="K97" s="123"/>
      <c r="L97" s="119" t="str">
        <f aca="false">IFERROR(Calc!F275,"—")</f>
        <v>High</v>
      </c>
      <c r="M97" s="119"/>
      <c r="N97" s="120" t="str">
        <f aca="false">IFERROR(Calc!G275,"—")</f>
        <v>In-progress</v>
      </c>
      <c r="O97" s="120"/>
      <c r="P97" s="118" t="str">
        <f aca="false">IFERROR(Calc!H275,"—")</f>
        <v>Workshops</v>
      </c>
      <c r="Q97" s="118"/>
      <c r="R97" s="118"/>
      <c r="S97" s="118"/>
      <c r="T97" s="118"/>
      <c r="U97" s="118"/>
      <c r="V97" s="118"/>
      <c r="W97" s="118"/>
      <c r="X97" s="101"/>
      <c r="Y97" s="101"/>
    </row>
    <row r="98" customFormat="false" ht="27.75" hidden="false" customHeight="true" outlineLevel="0" collapsed="false">
      <c r="A98" s="101"/>
      <c r="B98" s="101"/>
      <c r="C98" s="121" t="n">
        <f aca="false">IFERROR(Calc!A276,"—")</f>
        <v>6</v>
      </c>
      <c r="D98" s="122" t="n">
        <f aca="false">IFERROR(Calc!B276,"—")</f>
        <v>2</v>
      </c>
      <c r="E98" s="123" t="str">
        <f aca="false">IFERROR(Calc!C276,"—")</f>
        <v>Girik Kamdar</v>
      </c>
      <c r="F98" s="123"/>
      <c r="G98" s="123" t="str">
        <f aca="false">IFERROR(Calc!D276,"—")</f>
        <v>CIS Service Line</v>
      </c>
      <c r="H98" s="123"/>
      <c r="I98" s="123" t="str">
        <f aca="false">IFERROR(Calc!E276,"—")</f>
        <v>Townhall</v>
      </c>
      <c r="J98" s="123"/>
      <c r="K98" s="123"/>
      <c r="L98" s="124" t="str">
        <f aca="false">IFERROR(Calc!F276,"—")</f>
        <v>Moderate</v>
      </c>
      <c r="M98" s="124"/>
      <c r="N98" s="125" t="str">
        <f aca="false">IFERROR(Calc!G276,"—")</f>
        <v>Open</v>
      </c>
      <c r="O98" s="125"/>
      <c r="P98" s="118" t="str">
        <f aca="false">IFERROR(Calc!H276,"—")</f>
        <v>Capture workload hotspots and review with delivery leads for rebalancing</v>
      </c>
      <c r="Q98" s="118"/>
      <c r="R98" s="118"/>
      <c r="S98" s="118"/>
      <c r="T98" s="118"/>
      <c r="U98" s="118"/>
      <c r="V98" s="118"/>
      <c r="W98" s="118"/>
      <c r="X98" s="101"/>
      <c r="Y98" s="101"/>
    </row>
    <row r="99" customFormat="false" ht="27.75" hidden="false" customHeight="true" outlineLevel="0" collapsed="false">
      <c r="A99" s="101"/>
      <c r="B99" s="101"/>
      <c r="C99" s="116" t="n">
        <f aca="false">IFERROR(Calc!A277,"—")</f>
        <v>7</v>
      </c>
      <c r="D99" s="117" t="n">
        <f aca="false">IFERROR(Calc!B277,"—")</f>
        <v>44</v>
      </c>
      <c r="E99" s="118" t="str">
        <f aca="false">IFERROR(Calc!C277,"—")</f>
        <v>Madhavi Lanka</v>
      </c>
      <c r="F99" s="118"/>
      <c r="G99" s="123" t="str">
        <f aca="false">IFERROR(Calc!D277,"—")</f>
        <v>DEA Service Line</v>
      </c>
      <c r="H99" s="123"/>
      <c r="I99" s="123" t="str">
        <f aca="false">IFERROR(Calc!E277,"—")</f>
        <v>Townhall</v>
      </c>
      <c r="J99" s="123"/>
      <c r="K99" s="123"/>
      <c r="L99" s="119" t="str">
        <f aca="false">IFERROR(Calc!F277,"—")</f>
        <v>Moderate</v>
      </c>
      <c r="M99" s="119"/>
      <c r="N99" s="120" t="str">
        <f aca="false">IFERROR(Calc!G277,"—")</f>
        <v>Open</v>
      </c>
      <c r="O99" s="120"/>
      <c r="P99" s="118" t="str">
        <f aca="false">IFERROR(Calc!H277,"—")</f>
        <v>NA</v>
      </c>
      <c r="Q99" s="118"/>
      <c r="R99" s="118"/>
      <c r="S99" s="118"/>
      <c r="T99" s="118"/>
      <c r="U99" s="118"/>
      <c r="V99" s="118"/>
      <c r="W99" s="118"/>
      <c r="X99" s="101"/>
      <c r="Y99" s="101"/>
    </row>
    <row r="100" customFormat="false" ht="27.75" hidden="false" customHeight="true" outlineLevel="0" collapsed="false">
      <c r="C100" s="121" t="n">
        <f aca="false">IFERROR(Calc!A278,"—")</f>
        <v>8</v>
      </c>
      <c r="D100" s="126" t="n">
        <f aca="false">IFERROR(Calc!B278,"—")</f>
        <v>55</v>
      </c>
      <c r="E100" s="118" t="str">
        <f aca="false">IFERROR(Calc!C278,"—")</f>
        <v>Ethan Yogi</v>
      </c>
      <c r="F100" s="118"/>
      <c r="G100" s="123" t="str">
        <f aca="false">IFERROR(Calc!D278,"—")</f>
        <v>DEA Service Line</v>
      </c>
      <c r="H100" s="123"/>
      <c r="I100" s="123" t="str">
        <f aca="false">IFERROR(Calc!E278,"—")</f>
        <v>ML Returnee Connect</v>
      </c>
      <c r="J100" s="123"/>
      <c r="K100" s="123"/>
      <c r="L100" s="124" t="str">
        <f aca="false">IFERROR(Calc!F278,"—")</f>
        <v>Moderate</v>
      </c>
      <c r="M100" s="124"/>
      <c r="N100" s="125" t="str">
        <f aca="false">IFERROR(Calc!G278,"—")</f>
        <v>Open</v>
      </c>
      <c r="O100" s="125"/>
      <c r="P100" s="127" t="str">
        <f aca="false">IFERROR(Calc!H278,"—")</f>
        <v>NA</v>
      </c>
      <c r="Q100" s="127"/>
      <c r="R100" s="127"/>
      <c r="S100" s="127"/>
      <c r="T100" s="127"/>
      <c r="U100" s="127"/>
      <c r="V100" s="127"/>
      <c r="W100" s="127"/>
    </row>
    <row r="101" customFormat="false" ht="27.75" hidden="false" customHeight="true" outlineLevel="0" collapsed="false">
      <c r="C101" s="116" t="n">
        <f aca="false">IFERROR(Calc!A279,"—")</f>
        <v>9</v>
      </c>
      <c r="D101" s="128" t="n">
        <f aca="false">IFERROR(Calc!B279,"—")</f>
        <v>56</v>
      </c>
      <c r="E101" s="129" t="str">
        <f aca="false">IFERROR(Calc!C279,"—")</f>
        <v>Kevin Palla</v>
      </c>
      <c r="F101" s="129"/>
      <c r="G101" s="123" t="str">
        <f aca="false">IFERROR(Calc!D279,"—")</f>
        <v>NGS Service Line</v>
      </c>
      <c r="H101" s="123"/>
      <c r="I101" s="123" t="str">
        <f aca="false">IFERROR(Calc!E279,"—")</f>
        <v>ELTP Connect (12-24m)</v>
      </c>
      <c r="J101" s="123"/>
      <c r="K101" s="123"/>
      <c r="L101" s="119" t="str">
        <f aca="false">IFERROR(Calc!F279,"—")</f>
        <v>Moderate</v>
      </c>
      <c r="M101" s="119"/>
      <c r="N101" s="120" t="str">
        <f aca="false">IFERROR(Calc!G279,"—")</f>
        <v>Open</v>
      </c>
      <c r="O101" s="120"/>
      <c r="P101" s="129" t="str">
        <f aca="false">IFERROR(Calc!H279,"—")</f>
        <v>Team will start having SAP Syniti related training shortly</v>
      </c>
      <c r="Q101" s="129"/>
      <c r="R101" s="129"/>
      <c r="S101" s="129"/>
      <c r="T101" s="129"/>
      <c r="U101" s="129"/>
      <c r="V101" s="129"/>
      <c r="W101" s="129"/>
    </row>
    <row r="102" customFormat="false" ht="27.75" hidden="false" customHeight="true" outlineLevel="0" collapsed="false">
      <c r="C102" s="121" t="n">
        <f aca="false">IFERROR(Calc!A280,"—")</f>
        <v>10</v>
      </c>
      <c r="D102" s="126" t="n">
        <f aca="false">IFERROR(Calc!B280,"—")</f>
        <v>74</v>
      </c>
      <c r="E102" s="127" t="str">
        <f aca="false">IFERROR(Calc!C280,"—")</f>
        <v>Falguni Mallick</v>
      </c>
      <c r="F102" s="127"/>
      <c r="G102" s="123" t="str">
        <f aca="false">IFERROR(Calc!D280,"—")</f>
        <v>DEA Service Line</v>
      </c>
      <c r="H102" s="123"/>
      <c r="I102" s="123" t="str">
        <f aca="false">IFERROR(Calc!E280,"—")</f>
        <v>New Joiner Connect (90 Days)</v>
      </c>
      <c r="J102" s="123"/>
      <c r="K102" s="123"/>
      <c r="L102" s="124" t="str">
        <f aca="false">IFERROR(Calc!F280,"—")</f>
        <v>Moderate</v>
      </c>
      <c r="M102" s="124"/>
      <c r="N102" s="125" t="str">
        <f aca="false">IFERROR(Calc!G280,"—")</f>
        <v>Open</v>
      </c>
      <c r="O102" s="125"/>
      <c r="P102" s="127" t="str">
        <f aca="false">IFERROR(Calc!H280,"—")</f>
        <v>Queries with regards with access card were raised.</v>
      </c>
      <c r="Q102" s="127"/>
      <c r="R102" s="127"/>
      <c r="S102" s="127"/>
      <c r="T102" s="127"/>
      <c r="U102" s="127"/>
      <c r="V102" s="127"/>
      <c r="W102" s="127"/>
    </row>
    <row r="105" customFormat="false" ht="21.75" hidden="false" customHeight="true" outlineLevel="0" collapsed="false">
      <c r="C105" s="130" t="s">
        <v>1014</v>
      </c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</row>
    <row r="107" s="131" customFormat="true" ht="33.75" hidden="false" customHeight="true" outlineLevel="0" collapsed="false">
      <c r="C107" s="132" t="s">
        <v>99</v>
      </c>
      <c r="D107" s="132" t="s">
        <v>1015</v>
      </c>
      <c r="E107" s="132" t="s">
        <v>1016</v>
      </c>
      <c r="F107" s="132" t="s">
        <v>1017</v>
      </c>
      <c r="G107" s="132" t="s">
        <v>934</v>
      </c>
    </row>
    <row r="108" customFormat="false" ht="15" hidden="false" customHeight="true" outlineLevel="0" collapsed="false">
      <c r="C108" s="133" t="str">
        <f aca="false">Calc!A264</f>
        <v>Open</v>
      </c>
      <c r="D108" s="134" t="n">
        <f aca="false">Calc!B264</f>
        <v>2</v>
      </c>
      <c r="E108" s="134" t="n">
        <f aca="false">Calc!C264</f>
        <v>7</v>
      </c>
      <c r="F108" s="134" t="n">
        <f aca="false">Calc!D264</f>
        <v>3</v>
      </c>
      <c r="G108" s="134" t="n">
        <f aca="false">Calc!E264</f>
        <v>12</v>
      </c>
    </row>
    <row r="109" customFormat="false" ht="15" hidden="false" customHeight="true" outlineLevel="0" collapsed="false">
      <c r="C109" s="135" t="str">
        <f aca="false">Calc!A265</f>
        <v>In-progress</v>
      </c>
      <c r="D109" s="136" t="n">
        <f aca="false">Calc!B265</f>
        <v>3</v>
      </c>
      <c r="E109" s="136" t="n">
        <f aca="false">Calc!C265</f>
        <v>7</v>
      </c>
      <c r="F109" s="136" t="n">
        <f aca="false">Calc!D265</f>
        <v>4</v>
      </c>
      <c r="G109" s="136" t="n">
        <f aca="false">Calc!E265</f>
        <v>14</v>
      </c>
    </row>
    <row r="110" customFormat="false" ht="15" hidden="false" customHeight="true" outlineLevel="0" collapsed="false">
      <c r="C110" s="137" t="str">
        <f aca="false">Calc!A266</f>
        <v>Closed</v>
      </c>
      <c r="D110" s="138" t="n">
        <f aca="false">Calc!B266</f>
        <v>17</v>
      </c>
      <c r="E110" s="138" t="n">
        <f aca="false">Calc!C266</f>
        <v>30</v>
      </c>
      <c r="F110" s="138" t="n">
        <f aca="false">Calc!D266</f>
        <v>27</v>
      </c>
      <c r="G110" s="138" t="n">
        <f aca="false">Calc!E266</f>
        <v>74</v>
      </c>
    </row>
    <row r="121" customFormat="false" ht="21.75" hidden="false" customHeight="true" outlineLevel="0" collapsed="false">
      <c r="C121" s="139" t="s">
        <v>1018</v>
      </c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</row>
    <row r="122" customFormat="false" ht="34.5" hidden="false" customHeight="true" outlineLevel="0" collapsed="false">
      <c r="C122" s="140" t="s">
        <v>990</v>
      </c>
      <c r="D122" s="141" t="s">
        <v>1019</v>
      </c>
      <c r="E122" s="141"/>
      <c r="F122" s="141"/>
      <c r="G122" s="141"/>
      <c r="H122" s="141"/>
      <c r="I122" s="141"/>
      <c r="J122" s="141"/>
      <c r="K122" s="141"/>
      <c r="L122" s="140" t="s">
        <v>936</v>
      </c>
      <c r="M122" s="140"/>
      <c r="N122" s="140"/>
      <c r="O122" s="140" t="s">
        <v>937</v>
      </c>
      <c r="P122" s="140"/>
      <c r="Q122" s="140"/>
      <c r="R122" s="140" t="s">
        <v>1020</v>
      </c>
      <c r="S122" s="140"/>
      <c r="T122" s="140"/>
      <c r="U122" s="140"/>
      <c r="V122" s="140"/>
      <c r="W122" s="140"/>
    </row>
    <row r="123" customFormat="false" ht="15.75" hidden="false" customHeight="true" outlineLevel="0" collapsed="false">
      <c r="C123" s="142" t="n">
        <v>1</v>
      </c>
      <c r="D123" s="143" t="str">
        <f aca="false">IFERROR(Calc!Q3,"")</f>
        <v>Feedback on recent processes</v>
      </c>
      <c r="E123" s="143"/>
      <c r="F123" s="143"/>
      <c r="G123" s="143"/>
      <c r="H123" s="143"/>
      <c r="I123" s="143"/>
      <c r="J123" s="143"/>
      <c r="K123" s="143"/>
      <c r="L123" s="144" t="n">
        <f aca="false">IFERROR(Calc!R3,"")</f>
        <v>8</v>
      </c>
      <c r="M123" s="144"/>
      <c r="N123" s="144"/>
      <c r="O123" s="145" t="n">
        <f aca="false">IFERROR(Calc!S3,"")</f>
        <v>0.08</v>
      </c>
      <c r="P123" s="145"/>
      <c r="Q123" s="145"/>
      <c r="R123" s="143" t="str">
        <f aca="false">IFERROR(Calc!T3,"")</f>
        <v>1:1</v>
      </c>
      <c r="S123" s="143"/>
      <c r="T123" s="143"/>
      <c r="U123" s="143"/>
      <c r="V123" s="143"/>
      <c r="W123" s="143"/>
    </row>
    <row r="124" customFormat="false" ht="15.75" hidden="false" customHeight="true" outlineLevel="0" collapsed="false">
      <c r="C124" s="146" t="n">
        <v>2</v>
      </c>
      <c r="D124" s="147" t="str">
        <f aca="false">IFERROR(Calc!Q4,"")</f>
        <v>Clarity on expectations</v>
      </c>
      <c r="E124" s="147"/>
      <c r="F124" s="147"/>
      <c r="G124" s="147"/>
      <c r="H124" s="147"/>
      <c r="I124" s="147"/>
      <c r="J124" s="147"/>
      <c r="K124" s="147"/>
      <c r="L124" s="148" t="n">
        <f aca="false">IFERROR(Calc!R4,"")</f>
        <v>7</v>
      </c>
      <c r="M124" s="148"/>
      <c r="N124" s="148"/>
      <c r="O124" s="149" t="n">
        <f aca="false">IFERROR(Calc!S4,"")</f>
        <v>0.07</v>
      </c>
      <c r="P124" s="149"/>
      <c r="Q124" s="149"/>
      <c r="R124" s="147" t="str">
        <f aca="false">IFERROR(Calc!T4,"")</f>
        <v>Large Connect</v>
      </c>
      <c r="S124" s="147"/>
      <c r="T124" s="147"/>
      <c r="U124" s="147"/>
      <c r="V124" s="147"/>
      <c r="W124" s="147"/>
    </row>
    <row r="125" customFormat="false" ht="15.75" hidden="false" customHeight="true" outlineLevel="0" collapsed="false">
      <c r="C125" s="142" t="n">
        <v>3</v>
      </c>
      <c r="D125" s="143" t="str">
        <f aca="false">IFERROR(Calc!Q5,"")</f>
        <v>Business &amp; Strategy Clarity</v>
      </c>
      <c r="E125" s="143"/>
      <c r="F125" s="143"/>
      <c r="G125" s="143"/>
      <c r="H125" s="143"/>
      <c r="I125" s="143"/>
      <c r="J125" s="143"/>
      <c r="K125" s="143"/>
      <c r="L125" s="144" t="n">
        <f aca="false">IFERROR(Calc!R5,"")</f>
        <v>6</v>
      </c>
      <c r="M125" s="144"/>
      <c r="N125" s="144"/>
      <c r="O125" s="145" t="n">
        <f aca="false">IFERROR(Calc!S5,"")</f>
        <v>0.06</v>
      </c>
      <c r="P125" s="145"/>
      <c r="Q125" s="145"/>
      <c r="R125" s="143" t="str">
        <f aca="false">IFERROR(Calc!T5,"")</f>
        <v>Large Connect</v>
      </c>
      <c r="S125" s="143"/>
      <c r="T125" s="143"/>
      <c r="U125" s="143"/>
      <c r="V125" s="143"/>
      <c r="W125" s="143"/>
    </row>
    <row r="126" customFormat="false" ht="15.75" hidden="false" customHeight="true" outlineLevel="0" collapsed="false">
      <c r="C126" s="146" t="n">
        <v>4</v>
      </c>
      <c r="D126" s="147" t="str">
        <f aca="false">IFERROR(Calc!Q6,"")</f>
        <v>General wellbeing check-in</v>
      </c>
      <c r="E126" s="147"/>
      <c r="F126" s="147"/>
      <c r="G126" s="147"/>
      <c r="H126" s="147"/>
      <c r="I126" s="147"/>
      <c r="J126" s="147"/>
      <c r="K126" s="147"/>
      <c r="L126" s="148" t="n">
        <f aca="false">IFERROR(Calc!R6,"")</f>
        <v>6</v>
      </c>
      <c r="M126" s="148"/>
      <c r="N126" s="148"/>
      <c r="O126" s="149" t="n">
        <f aca="false">IFERROR(Calc!S6,"")</f>
        <v>0.06</v>
      </c>
      <c r="P126" s="149"/>
      <c r="Q126" s="149"/>
      <c r="R126" s="147" t="str">
        <f aca="false">IFERROR(Calc!T6,"")</f>
        <v>Location-Offshore</v>
      </c>
      <c r="S126" s="147"/>
      <c r="T126" s="147"/>
      <c r="U126" s="147"/>
      <c r="V126" s="147"/>
      <c r="W126" s="147"/>
    </row>
    <row r="127" customFormat="false" ht="15.75" hidden="false" customHeight="true" outlineLevel="0" collapsed="false">
      <c r="C127" s="142" t="n">
        <v>5</v>
      </c>
      <c r="D127" s="143" t="str">
        <f aca="false">IFERROR(Calc!Q7,"")</f>
        <v>Career Visibility &amp; Skill Roadmap</v>
      </c>
      <c r="E127" s="143"/>
      <c r="F127" s="143"/>
      <c r="G127" s="143"/>
      <c r="H127" s="143"/>
      <c r="I127" s="143"/>
      <c r="J127" s="143"/>
      <c r="K127" s="143"/>
      <c r="L127" s="144" t="n">
        <f aca="false">IFERROR(Calc!R7,"")</f>
        <v>5</v>
      </c>
      <c r="M127" s="144"/>
      <c r="N127" s="144"/>
      <c r="O127" s="145" t="n">
        <f aca="false">IFERROR(Calc!S7,"")</f>
        <v>0.05</v>
      </c>
      <c r="P127" s="145"/>
      <c r="Q127" s="145"/>
      <c r="R127" s="143" t="str">
        <f aca="false">IFERROR(Calc!T7,"")</f>
        <v>Large Connect</v>
      </c>
      <c r="S127" s="143"/>
      <c r="T127" s="143"/>
      <c r="U127" s="143"/>
      <c r="V127" s="143"/>
      <c r="W127" s="143"/>
    </row>
    <row r="128" customFormat="false" ht="15.75" hidden="false" customHeight="true" outlineLevel="0" collapsed="false">
      <c r="C128" s="146" t="n">
        <v>6</v>
      </c>
      <c r="D128" s="147" t="str">
        <f aca="false">IFERROR(Calc!Q8,"")</f>
        <v>Business Context &amp; Org Awareness</v>
      </c>
      <c r="E128" s="147"/>
      <c r="F128" s="147"/>
      <c r="G128" s="147"/>
      <c r="H128" s="147"/>
      <c r="I128" s="147"/>
      <c r="J128" s="147"/>
      <c r="K128" s="147"/>
      <c r="L128" s="148" t="n">
        <f aca="false">IFERROR(Calc!R8,"")</f>
        <v>4</v>
      </c>
      <c r="M128" s="148"/>
      <c r="N128" s="148"/>
      <c r="O128" s="149" t="n">
        <f aca="false">IFERROR(Calc!S8,"")</f>
        <v>0.04</v>
      </c>
      <c r="P128" s="149"/>
      <c r="Q128" s="149"/>
      <c r="R128" s="147" t="str">
        <f aca="false">IFERROR(Calc!T8,"")</f>
        <v>FGD</v>
      </c>
      <c r="S128" s="147"/>
      <c r="T128" s="147"/>
      <c r="U128" s="147"/>
      <c r="V128" s="147"/>
      <c r="W128" s="147"/>
    </row>
    <row r="129" customFormat="false" ht="15.75" hidden="false" customHeight="true" outlineLevel="0" collapsed="false">
      <c r="C129" s="142" t="n">
        <v>7</v>
      </c>
      <c r="D129" s="143" t="str">
        <f aca="false">IFERROR(Calc!Q9,"")</f>
        <v>Business &amp; Practice Awareness</v>
      </c>
      <c r="E129" s="143"/>
      <c r="F129" s="143"/>
      <c r="G129" s="143"/>
      <c r="H129" s="143"/>
      <c r="I129" s="143"/>
      <c r="J129" s="143"/>
      <c r="K129" s="143"/>
      <c r="L129" s="144" t="n">
        <f aca="false">IFERROR(Calc!R9,"")</f>
        <v>4</v>
      </c>
      <c r="M129" s="144"/>
      <c r="N129" s="144"/>
      <c r="O129" s="145" t="n">
        <f aca="false">IFERROR(Calc!S9,"")</f>
        <v>0.04</v>
      </c>
      <c r="P129" s="145"/>
      <c r="Q129" s="145"/>
      <c r="R129" s="143" t="str">
        <f aca="false">IFERROR(Calc!T9,"")</f>
        <v>Large Connect</v>
      </c>
      <c r="S129" s="143"/>
      <c r="T129" s="143"/>
      <c r="U129" s="143"/>
      <c r="V129" s="143"/>
      <c r="W129" s="143"/>
    </row>
    <row r="130" customFormat="false" ht="15.75" hidden="false" customHeight="true" outlineLevel="0" collapsed="false">
      <c r="C130" s="146" t="n">
        <v>8</v>
      </c>
      <c r="D130" s="147" t="str">
        <f aca="false">IFERROR(Calc!Q10,"")</f>
        <v>HR / WFM / Training Communication Effectiveness</v>
      </c>
      <c r="E130" s="147"/>
      <c r="F130" s="147"/>
      <c r="G130" s="147"/>
      <c r="H130" s="147"/>
      <c r="I130" s="147"/>
      <c r="J130" s="147"/>
      <c r="K130" s="147"/>
      <c r="L130" s="148" t="n">
        <f aca="false">IFERROR(Calc!R10,"")</f>
        <v>4</v>
      </c>
      <c r="M130" s="148"/>
      <c r="N130" s="148"/>
      <c r="O130" s="149" t="n">
        <f aca="false">IFERROR(Calc!S10,"")</f>
        <v>0.04</v>
      </c>
      <c r="P130" s="149"/>
      <c r="Q130" s="149"/>
      <c r="R130" s="147" t="str">
        <f aca="false">IFERROR(Calc!T10,"")</f>
        <v>1:1</v>
      </c>
      <c r="S130" s="147"/>
      <c r="T130" s="147"/>
      <c r="U130" s="147"/>
      <c r="V130" s="147"/>
      <c r="W130" s="147"/>
    </row>
    <row r="131" customFormat="false" ht="15.75" hidden="false" customHeight="true" outlineLevel="0" collapsed="false">
      <c r="C131" s="142" t="n">
        <v>9</v>
      </c>
      <c r="D131" s="143" t="str">
        <f aca="false">IFERROR(Calc!Q11,"")</f>
        <v>Career Progression &amp; Next-Level Readiness</v>
      </c>
      <c r="E131" s="143"/>
      <c r="F131" s="143"/>
      <c r="G131" s="143"/>
      <c r="H131" s="143"/>
      <c r="I131" s="143"/>
      <c r="J131" s="143"/>
      <c r="K131" s="143"/>
      <c r="L131" s="144" t="n">
        <f aca="false">IFERROR(Calc!R11,"")</f>
        <v>4</v>
      </c>
      <c r="M131" s="144"/>
      <c r="N131" s="144"/>
      <c r="O131" s="145" t="n">
        <f aca="false">IFERROR(Calc!S11,"")</f>
        <v>0.04</v>
      </c>
      <c r="P131" s="145"/>
      <c r="Q131" s="145"/>
      <c r="R131" s="143" t="str">
        <f aca="false">IFERROR(Calc!T11,"")</f>
        <v>Large Connect</v>
      </c>
      <c r="S131" s="143"/>
      <c r="T131" s="143"/>
      <c r="U131" s="143"/>
      <c r="V131" s="143"/>
      <c r="W131" s="143"/>
    </row>
    <row r="132" customFormat="false" ht="15.75" hidden="false" customHeight="true" outlineLevel="0" collapsed="false">
      <c r="C132" s="146" t="n">
        <v>10</v>
      </c>
      <c r="D132" s="147" t="str">
        <f aca="false">IFERROR(Calc!Q12,"")</f>
        <v>AI/future Readiness Messaging Is High-level</v>
      </c>
      <c r="E132" s="147"/>
      <c r="F132" s="147"/>
      <c r="G132" s="147"/>
      <c r="H132" s="147"/>
      <c r="I132" s="147"/>
      <c r="J132" s="147"/>
      <c r="K132" s="147"/>
      <c r="L132" s="148" t="n">
        <f aca="false">IFERROR(Calc!R12,"")</f>
        <v>3</v>
      </c>
      <c r="M132" s="148"/>
      <c r="N132" s="148"/>
      <c r="O132" s="149" t="n">
        <f aca="false">IFERROR(Calc!S12,"")</f>
        <v>0.03</v>
      </c>
      <c r="P132" s="149"/>
      <c r="Q132" s="149"/>
      <c r="R132" s="147" t="str">
        <f aca="false">IFERROR(Calc!T12,"")</f>
        <v>Large Connect</v>
      </c>
      <c r="S132" s="147"/>
      <c r="T132" s="147"/>
      <c r="U132" s="147"/>
      <c r="V132" s="147"/>
      <c r="W132" s="147"/>
    </row>
    <row r="133" customFormat="false" ht="15.75" hidden="false" customHeight="true" outlineLevel="0" collapsed="false">
      <c r="C133" s="150"/>
      <c r="D133" s="151"/>
      <c r="E133" s="151"/>
      <c r="F133" s="151"/>
      <c r="G133" s="151"/>
      <c r="H133" s="151"/>
      <c r="I133" s="151"/>
      <c r="J133" s="151"/>
      <c r="K133" s="151"/>
      <c r="L133" s="150"/>
      <c r="M133" s="150"/>
      <c r="N133" s="150"/>
      <c r="O133" s="152"/>
      <c r="P133" s="152"/>
      <c r="Q133" s="152"/>
      <c r="R133" s="151"/>
      <c r="S133" s="151"/>
      <c r="T133" s="151"/>
      <c r="U133" s="151"/>
      <c r="V133" s="151"/>
      <c r="W133" s="151"/>
    </row>
    <row r="134" customFormat="false" ht="21.75" hidden="false" customHeight="true" outlineLevel="0" collapsed="false">
      <c r="C134" s="153" t="s">
        <v>1021</v>
      </c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</row>
    <row r="135" s="103" customFormat="true" ht="21.75" hidden="false" customHeight="true" outlineLevel="0" collapsed="false"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</row>
    <row r="136" s="103" customFormat="true" ht="21.75" hidden="false" customHeight="true" outlineLevel="0" collapsed="false"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</row>
    <row r="137" s="103" customFormat="true" ht="21.75" hidden="false" customHeight="true" outlineLevel="0" collapsed="false"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</row>
    <row r="138" s="103" customFormat="true" ht="21.75" hidden="false" customHeight="true" outlineLevel="0" collapsed="false"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</row>
    <row r="139" s="103" customFormat="true" ht="21.75" hidden="false" customHeight="true" outlineLevel="0" collapsed="false"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</row>
    <row r="140" s="103" customFormat="true" ht="21.75" hidden="false" customHeight="true" outlineLevel="0" collapsed="false"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</row>
    <row r="141" s="103" customFormat="true" ht="21.75" hidden="false" customHeight="true" outlineLevel="0" collapsed="false"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</row>
    <row r="142" s="103" customFormat="true" ht="21.75" hidden="false" customHeight="true" outlineLevel="0" collapsed="false"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</row>
    <row r="143" s="103" customFormat="true" ht="21.75" hidden="false" customHeight="true" outlineLevel="0" collapsed="false"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</row>
    <row r="144" s="103" customFormat="true" ht="21.75" hidden="false" customHeight="true" outlineLevel="0" collapsed="false"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</row>
    <row r="145" s="103" customFormat="true" ht="21.75" hidden="false" customHeight="true" outlineLevel="0" collapsed="false"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</row>
    <row r="146" customFormat="false" ht="21.75" hidden="false" customHeight="true" outlineLevel="0" collapsed="false">
      <c r="C146" s="155" t="s">
        <v>1022</v>
      </c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</row>
    <row r="148" customFormat="false" ht="31.5" hidden="false" customHeight="true" outlineLevel="0" collapsed="false">
      <c r="C148" s="156" t="s">
        <v>1023</v>
      </c>
      <c r="D148" s="156" t="s">
        <v>942</v>
      </c>
      <c r="E148" s="156" t="s">
        <v>1024</v>
      </c>
      <c r="F148" s="156" t="s">
        <v>1025</v>
      </c>
      <c r="G148" s="156" t="s">
        <v>1026</v>
      </c>
      <c r="H148" s="156" t="s">
        <v>1027</v>
      </c>
    </row>
    <row r="149" customFormat="false" ht="21.75" hidden="false" customHeight="true" outlineLevel="0" collapsed="false">
      <c r="C149" s="157" t="str">
        <f aca="false">Calc!A42</f>
        <v>Alignment</v>
      </c>
      <c r="D149" s="158" t="n">
        <f aca="false">Calc!B42</f>
        <v>56</v>
      </c>
      <c r="E149" s="159" t="n">
        <f aca="false">COUNTIFS(RawData[CARES Framework],C149,RawData[Severity],"High")</f>
        <v>13</v>
      </c>
      <c r="F149" s="160" t="n">
        <f aca="false">COUNTIFS(RawData[CARES Framework],C149,RawData[Severity],"Moderate")</f>
        <v>27</v>
      </c>
      <c r="G149" s="161" t="n">
        <f aca="false">COUNTIFS(RawData[CARES Framework],C149,RawData[Severity],"Low")</f>
        <v>16</v>
      </c>
      <c r="H149" s="162" t="n">
        <f aca="false">IFERROR(D149/Calc!$B$3,0)</f>
        <v>0.56</v>
      </c>
    </row>
    <row r="150" customFormat="false" ht="21.75" hidden="false" customHeight="true" outlineLevel="0" collapsed="false">
      <c r="C150" s="163" t="str">
        <f aca="false">Calc!A43</f>
        <v>Career</v>
      </c>
      <c r="D150" s="164" t="n">
        <f aca="false">Calc!B43</f>
        <v>18</v>
      </c>
      <c r="E150" s="165" t="n">
        <f aca="false">COUNTIFS(RawData[CARES Framework],C150,RawData[Severity],"High")</f>
        <v>4</v>
      </c>
      <c r="F150" s="166" t="n">
        <f aca="false">COUNTIFS(RawData[CARES Framework],C150,RawData[Severity],"Moderate")</f>
        <v>6</v>
      </c>
      <c r="G150" s="167" t="n">
        <f aca="false">COUNTIFS(RawData[CARES Framework],C150,RawData[Severity],"Low")</f>
        <v>8</v>
      </c>
      <c r="H150" s="168" t="n">
        <f aca="false">IFERROR(D150/Calc!$B$3,0)</f>
        <v>0.18</v>
      </c>
    </row>
    <row r="151" customFormat="false" ht="21.75" hidden="false" customHeight="true" outlineLevel="0" collapsed="false">
      <c r="C151" s="169" t="str">
        <f aca="false">Calc!A44</f>
        <v>Empowerment</v>
      </c>
      <c r="D151" s="158" t="n">
        <f aca="false">Calc!B44</f>
        <v>19</v>
      </c>
      <c r="E151" s="159" t="n">
        <f aca="false">COUNTIFS(RawData[CARES Framework],C151,RawData[Severity],"High")</f>
        <v>1</v>
      </c>
      <c r="F151" s="160" t="n">
        <f aca="false">COUNTIFS(RawData[CARES Framework],C151,RawData[Severity],"Moderate")</f>
        <v>10</v>
      </c>
      <c r="G151" s="161" t="n">
        <f aca="false">COUNTIFS(RawData[CARES Framework],C151,RawData[Severity],"Low")</f>
        <v>8</v>
      </c>
      <c r="H151" s="162" t="n">
        <f aca="false">IFERROR(D151/Calc!$B$3,0)</f>
        <v>0.19</v>
      </c>
    </row>
    <row r="152" customFormat="false" ht="21.75" hidden="false" customHeight="true" outlineLevel="0" collapsed="false">
      <c r="C152" s="170" t="str">
        <f aca="false">Calc!A45</f>
        <v>Recognition</v>
      </c>
      <c r="D152" s="164" t="n">
        <f aca="false">Calc!B45</f>
        <v>4</v>
      </c>
      <c r="E152" s="165" t="n">
        <f aca="false">COUNTIFS(RawData[CARES Framework],C152,RawData[Severity],"High")</f>
        <v>1</v>
      </c>
      <c r="F152" s="166" t="n">
        <f aca="false">COUNTIFS(RawData[CARES Framework],C152,RawData[Severity],"Moderate")</f>
        <v>1</v>
      </c>
      <c r="G152" s="167" t="n">
        <f aca="false">COUNTIFS(RawData[CARES Framework],C152,RawData[Severity],"Low")</f>
        <v>2</v>
      </c>
      <c r="H152" s="168" t="n">
        <f aca="false">IFERROR(D152/Calc!$B$3,0)</f>
        <v>0.04</v>
      </c>
    </row>
    <row r="153" customFormat="false" ht="21.75" hidden="false" customHeight="true" outlineLevel="0" collapsed="false">
      <c r="C153" s="171" t="str">
        <f aca="false">Calc!A46</f>
        <v>Strive</v>
      </c>
      <c r="D153" s="158" t="n">
        <f aca="false">Calc!B46</f>
        <v>3</v>
      </c>
      <c r="E153" s="159" t="n">
        <f aca="false">COUNTIFS(RawData[CARES Framework],C153,RawData[Severity],"High")</f>
        <v>3</v>
      </c>
      <c r="F153" s="160" t="n">
        <f aca="false">COUNTIFS(RawData[CARES Framework],C153,RawData[Severity],"Moderate")</f>
        <v>0</v>
      </c>
      <c r="G153" s="161" t="n">
        <f aca="false">COUNTIFS(RawData[CARES Framework],C153,RawData[Severity],"Low")</f>
        <v>0</v>
      </c>
      <c r="H153" s="162" t="n">
        <f aca="false">IFERROR(D153/Calc!$B$3,0)</f>
        <v>0.03</v>
      </c>
    </row>
    <row r="155" customFormat="false" ht="21.75" hidden="false" customHeight="true" outlineLevel="0" collapsed="false">
      <c r="C155" s="172" t="s">
        <v>1028</v>
      </c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</row>
    <row r="158" customFormat="false" ht="21.75" hidden="false" customHeight="true" outlineLevel="0" collapsed="false">
      <c r="C158" s="173"/>
    </row>
    <row r="159" customFormat="false" ht="15" hidden="false" customHeight="true" outlineLevel="0" collapsed="false">
      <c r="C159" s="174"/>
    </row>
    <row r="160" customFormat="false" ht="34.5" hidden="false" customHeight="true" outlineLevel="0" collapsed="false">
      <c r="C160" s="175"/>
      <c r="D160" s="175"/>
      <c r="E160" s="176"/>
    </row>
    <row r="161" customFormat="false" ht="19.5" hidden="false" customHeight="true" outlineLevel="0" collapsed="false">
      <c r="C161" s="177"/>
      <c r="D161" s="178"/>
      <c r="E161" s="179"/>
    </row>
    <row r="162" customFormat="false" ht="19.5" hidden="false" customHeight="true" outlineLevel="0" collapsed="false">
      <c r="C162" s="180"/>
      <c r="D162" s="181"/>
      <c r="E162" s="182"/>
    </row>
    <row r="163" customFormat="false" ht="19.5" hidden="false" customHeight="true" outlineLevel="0" collapsed="false">
      <c r="C163" s="177"/>
      <c r="D163" s="178"/>
      <c r="E163" s="179"/>
    </row>
    <row r="164" customFormat="false" ht="19.5" hidden="false" customHeight="true" outlineLevel="0" collapsed="false">
      <c r="C164" s="180"/>
      <c r="D164" s="181"/>
      <c r="E164" s="182"/>
    </row>
    <row r="165" customFormat="false" ht="34.5" hidden="false" customHeight="true" outlineLevel="0" collapsed="false"/>
    <row r="166" customFormat="false" ht="39.75" hidden="false" customHeight="true" outlineLevel="0" collapsed="false"/>
    <row r="167" customFormat="false" ht="43.5" hidden="false" customHeight="true" outlineLevel="0" collapsed="false"/>
    <row r="168" customFormat="false" ht="29.25" hidden="false" customHeight="true" outlineLevel="0" collapsed="false"/>
    <row r="170" customFormat="false" ht="15" hidden="false" customHeight="true" outlineLevel="0" collapsed="false"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</row>
  </sheetData>
  <mergeCells count="157">
    <mergeCell ref="C2:R2"/>
    <mergeCell ref="S2:X2"/>
    <mergeCell ref="C3:T3"/>
    <mergeCell ref="U3:X3"/>
    <mergeCell ref="C8:E8"/>
    <mergeCell ref="F8:H8"/>
    <mergeCell ref="I8:K8"/>
    <mergeCell ref="L8:N8"/>
    <mergeCell ref="O8:Q8"/>
    <mergeCell ref="R8:T8"/>
    <mergeCell ref="U8:V8"/>
    <mergeCell ref="W8:X8"/>
    <mergeCell ref="C9:E9"/>
    <mergeCell ref="F9:H9"/>
    <mergeCell ref="I9:K9"/>
    <mergeCell ref="L9:N9"/>
    <mergeCell ref="O9:Q9"/>
    <mergeCell ref="R9:T9"/>
    <mergeCell ref="U9:V9"/>
    <mergeCell ref="W9:X9"/>
    <mergeCell ref="C10:E10"/>
    <mergeCell ref="F10:H10"/>
    <mergeCell ref="I10:K10"/>
    <mergeCell ref="L10:N10"/>
    <mergeCell ref="O10:Q10"/>
    <mergeCell ref="R10:T10"/>
    <mergeCell ref="U10:V10"/>
    <mergeCell ref="W10:X10"/>
    <mergeCell ref="C12:H12"/>
    <mergeCell ref="I12:N12"/>
    <mergeCell ref="O12:T12"/>
    <mergeCell ref="U12:X12"/>
    <mergeCell ref="C13:H13"/>
    <mergeCell ref="I13:N13"/>
    <mergeCell ref="O13:T13"/>
    <mergeCell ref="U13:X13"/>
    <mergeCell ref="C15:X15"/>
    <mergeCell ref="C35:AB35"/>
    <mergeCell ref="C56:X56"/>
    <mergeCell ref="C70:W70"/>
    <mergeCell ref="C91:W91"/>
    <mergeCell ref="E92:F92"/>
    <mergeCell ref="G92:H92"/>
    <mergeCell ref="I92:K92"/>
    <mergeCell ref="L92:M92"/>
    <mergeCell ref="N92:O92"/>
    <mergeCell ref="P92:W92"/>
    <mergeCell ref="E93:F93"/>
    <mergeCell ref="G93:H93"/>
    <mergeCell ref="I93:K93"/>
    <mergeCell ref="L93:M93"/>
    <mergeCell ref="N93:O93"/>
    <mergeCell ref="P93:W93"/>
    <mergeCell ref="E94:F94"/>
    <mergeCell ref="G94:H94"/>
    <mergeCell ref="I94:K94"/>
    <mergeCell ref="L94:M94"/>
    <mergeCell ref="N94:O94"/>
    <mergeCell ref="P94:W94"/>
    <mergeCell ref="E95:F95"/>
    <mergeCell ref="G95:H95"/>
    <mergeCell ref="I95:K95"/>
    <mergeCell ref="L95:M95"/>
    <mergeCell ref="N95:O95"/>
    <mergeCell ref="P95:W95"/>
    <mergeCell ref="E96:F96"/>
    <mergeCell ref="G96:H96"/>
    <mergeCell ref="I96:K96"/>
    <mergeCell ref="L96:M96"/>
    <mergeCell ref="N96:O96"/>
    <mergeCell ref="P96:W96"/>
    <mergeCell ref="E97:F97"/>
    <mergeCell ref="G97:H97"/>
    <mergeCell ref="I97:K97"/>
    <mergeCell ref="L97:M97"/>
    <mergeCell ref="N97:O97"/>
    <mergeCell ref="P97:W97"/>
    <mergeCell ref="E98:F98"/>
    <mergeCell ref="G98:H98"/>
    <mergeCell ref="I98:K98"/>
    <mergeCell ref="L98:M98"/>
    <mergeCell ref="N98:O98"/>
    <mergeCell ref="P98:W98"/>
    <mergeCell ref="E99:F99"/>
    <mergeCell ref="G99:H99"/>
    <mergeCell ref="I99:K99"/>
    <mergeCell ref="L99:M99"/>
    <mergeCell ref="N99:O99"/>
    <mergeCell ref="P99:W99"/>
    <mergeCell ref="E100:F100"/>
    <mergeCell ref="G100:H100"/>
    <mergeCell ref="I100:K100"/>
    <mergeCell ref="L100:M100"/>
    <mergeCell ref="N100:O100"/>
    <mergeCell ref="P100:W100"/>
    <mergeCell ref="E101:F101"/>
    <mergeCell ref="G101:H101"/>
    <mergeCell ref="I101:K101"/>
    <mergeCell ref="L101:M101"/>
    <mergeCell ref="N101:O101"/>
    <mergeCell ref="P101:W101"/>
    <mergeCell ref="E102:F102"/>
    <mergeCell ref="G102:H102"/>
    <mergeCell ref="I102:K102"/>
    <mergeCell ref="L102:M102"/>
    <mergeCell ref="N102:O102"/>
    <mergeCell ref="P102:W102"/>
    <mergeCell ref="C105:W105"/>
    <mergeCell ref="C121:W121"/>
    <mergeCell ref="D122:K122"/>
    <mergeCell ref="L122:N122"/>
    <mergeCell ref="O122:Q122"/>
    <mergeCell ref="R122:W122"/>
    <mergeCell ref="D123:K123"/>
    <mergeCell ref="L123:N123"/>
    <mergeCell ref="O123:Q123"/>
    <mergeCell ref="R123:W123"/>
    <mergeCell ref="D124:K124"/>
    <mergeCell ref="L124:N124"/>
    <mergeCell ref="O124:Q124"/>
    <mergeCell ref="R124:W124"/>
    <mergeCell ref="D125:K125"/>
    <mergeCell ref="L125:N125"/>
    <mergeCell ref="O125:Q125"/>
    <mergeCell ref="R125:W125"/>
    <mergeCell ref="D126:K126"/>
    <mergeCell ref="L126:N126"/>
    <mergeCell ref="O126:Q126"/>
    <mergeCell ref="R126:W126"/>
    <mergeCell ref="D127:K127"/>
    <mergeCell ref="L127:N127"/>
    <mergeCell ref="O127:Q127"/>
    <mergeCell ref="R127:W127"/>
    <mergeCell ref="D128:K128"/>
    <mergeCell ref="L128:N128"/>
    <mergeCell ref="O128:Q128"/>
    <mergeCell ref="R128:W128"/>
    <mergeCell ref="D129:K129"/>
    <mergeCell ref="L129:N129"/>
    <mergeCell ref="O129:Q129"/>
    <mergeCell ref="R129:W129"/>
    <mergeCell ref="D130:K130"/>
    <mergeCell ref="L130:N130"/>
    <mergeCell ref="O130:Q130"/>
    <mergeCell ref="R130:W130"/>
    <mergeCell ref="D131:K131"/>
    <mergeCell ref="L131:N131"/>
    <mergeCell ref="O131:Q131"/>
    <mergeCell ref="R131:W131"/>
    <mergeCell ref="D132:K132"/>
    <mergeCell ref="L132:N132"/>
    <mergeCell ref="O132:Q132"/>
    <mergeCell ref="R132:W132"/>
    <mergeCell ref="C134:W134"/>
    <mergeCell ref="C146:W146"/>
    <mergeCell ref="C155:W155"/>
    <mergeCell ref="C170:W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992"/>
  <sheetViews>
    <sheetView showFormulas="false" showGridLines="true" showRowColHeaders="true" showZeros="true" rightToLeft="false" tabSelected="false" showOutlineSymbols="true" defaultGridColor="true" view="normal" topLeftCell="A768" colorId="64" zoomScale="91" zoomScaleNormal="91" zoomScalePageLayoutView="100" workbookViewId="0">
      <selection pane="top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84" width="19.42"/>
    <col collapsed="false" customWidth="true" hidden="false" outlineLevel="0" max="3" min="3" style="184" width="20.85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13"/>
    <col collapsed="false" customWidth="true" hidden="false" outlineLevel="0" max="8" min="8" style="184" width="21"/>
    <col collapsed="false" customWidth="true" hidden="false" outlineLevel="0" max="9" min="9" style="0" width="31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37"/>
    <col collapsed="false" customWidth="true" hidden="false" outlineLevel="0" max="13" min="13" style="0" width="25"/>
    <col collapsed="false" customWidth="true" hidden="false" outlineLevel="0" max="14" min="14" style="0" width="45"/>
    <col collapsed="false" customWidth="true" hidden="false" outlineLevel="0" max="15" min="15" style="0" width="31"/>
    <col collapsed="false" customWidth="true" hidden="false" outlineLevel="0" max="16" min="16" style="0" width="12"/>
    <col collapsed="false" customWidth="true" hidden="false" outlineLevel="0" max="17" min="17" style="0" width="27"/>
    <col collapsed="false" customWidth="true" hidden="false" outlineLevel="0" max="18" min="18" style="0" width="17"/>
    <col collapsed="false" customWidth="true" hidden="false" outlineLevel="0" max="19" min="19" style="0" width="19"/>
    <col collapsed="false" customWidth="true" hidden="false" outlineLevel="0" max="21" min="20" style="0" width="45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30"/>
    <col collapsed="false" customWidth="true" hidden="false" outlineLevel="0" max="25" min="25" style="0" width="13"/>
    <col collapsed="false" customWidth="true" hidden="false" outlineLevel="0" max="26" min="26" style="0" width="17"/>
    <col collapsed="false" customWidth="true" hidden="false" outlineLevel="0" max="27" min="27" style="0" width="117.14"/>
  </cols>
  <sheetData>
    <row r="1" customFormat="false" ht="30" hidden="false" customHeight="true" outlineLevel="0" collapsed="false">
      <c r="A1" s="185" t="s">
        <v>0</v>
      </c>
      <c r="B1" s="186" t="s">
        <v>1</v>
      </c>
      <c r="C1" s="186" t="s">
        <v>2</v>
      </c>
      <c r="D1" s="185" t="s">
        <v>3</v>
      </c>
      <c r="E1" s="185" t="s">
        <v>4</v>
      </c>
      <c r="F1" s="185" t="s">
        <v>5</v>
      </c>
      <c r="G1" s="185" t="s">
        <v>6</v>
      </c>
      <c r="H1" s="186" t="s">
        <v>7</v>
      </c>
      <c r="I1" s="185" t="s">
        <v>14</v>
      </c>
      <c r="J1" s="185" t="s">
        <v>9</v>
      </c>
      <c r="K1" s="185" t="s">
        <v>1029</v>
      </c>
      <c r="L1" s="185" t="s">
        <v>1030</v>
      </c>
      <c r="M1" s="185" t="s">
        <v>1031</v>
      </c>
      <c r="N1" s="185" t="s">
        <v>1032</v>
      </c>
      <c r="O1" s="185" t="s">
        <v>8</v>
      </c>
      <c r="P1" s="185" t="s">
        <v>12</v>
      </c>
      <c r="Q1" s="185" t="s">
        <v>13</v>
      </c>
      <c r="R1" s="185" t="s">
        <v>20</v>
      </c>
      <c r="S1" s="185" t="s">
        <v>95</v>
      </c>
      <c r="T1" s="185" t="s">
        <v>96</v>
      </c>
      <c r="U1" s="185" t="s">
        <v>97</v>
      </c>
      <c r="V1" s="185" t="s">
        <v>98</v>
      </c>
      <c r="W1" s="185" t="s">
        <v>99</v>
      </c>
      <c r="X1" s="185" t="s">
        <v>991</v>
      </c>
      <c r="Y1" s="185" t="s">
        <v>1033</v>
      </c>
      <c r="Z1" s="185" t="s">
        <v>1034</v>
      </c>
      <c r="AA1" s="185" t="s">
        <v>945</v>
      </c>
    </row>
    <row r="2" customFormat="false" ht="15" hidden="false" customHeight="true" outlineLevel="0" collapsed="false">
      <c r="A2" s="0" t="n">
        <v>1</v>
      </c>
      <c r="B2" s="187" t="n">
        <v>46150.5185496249</v>
      </c>
      <c r="C2" s="187" t="n">
        <v>46150.5350889768</v>
      </c>
      <c r="D2" s="188" t="s">
        <v>103</v>
      </c>
      <c r="E2" s="188" t="s">
        <v>104</v>
      </c>
      <c r="F2" s="188" t="s">
        <v>105</v>
      </c>
      <c r="G2" s="188" t="s">
        <v>106</v>
      </c>
      <c r="H2" s="187" t="n">
        <v>46142</v>
      </c>
      <c r="I2" s="188" t="s">
        <v>113</v>
      </c>
      <c r="J2" s="188" t="s">
        <v>108</v>
      </c>
      <c r="K2" s="188" t="s">
        <v>109</v>
      </c>
      <c r="L2" s="188" t="s">
        <v>110</v>
      </c>
      <c r="M2" s="188" t="s">
        <v>114</v>
      </c>
      <c r="N2" s="188" t="s">
        <v>115</v>
      </c>
      <c r="O2" s="188" t="s">
        <v>107</v>
      </c>
      <c r="P2" s="188" t="s">
        <v>111</v>
      </c>
      <c r="Q2" s="188" t="s">
        <v>112</v>
      </c>
      <c r="R2" s="188" t="s">
        <v>22</v>
      </c>
      <c r="S2" s="188" t="s">
        <v>120</v>
      </c>
      <c r="T2" s="188" t="s">
        <v>121</v>
      </c>
      <c r="U2" s="188" t="s">
        <v>122</v>
      </c>
      <c r="V2" s="188" t="s">
        <v>123</v>
      </c>
      <c r="W2" s="188" t="s">
        <v>124</v>
      </c>
      <c r="X2" s="188" t="s">
        <v>116</v>
      </c>
      <c r="Y2" s="188" t="s">
        <v>1035</v>
      </c>
      <c r="Z2" s="0" t="n">
        <v>1</v>
      </c>
      <c r="AA2" s="188" t="s">
        <v>1036</v>
      </c>
    </row>
    <row r="3" customFormat="false" ht="15" hidden="false" customHeight="true" outlineLevel="0" collapsed="false">
      <c r="A3" s="0" t="n">
        <v>1</v>
      </c>
      <c r="B3" s="187" t="n">
        <v>46150.5185496249</v>
      </c>
      <c r="C3" s="187" t="n">
        <v>46150.5350889768</v>
      </c>
      <c r="D3" s="188" t="s">
        <v>103</v>
      </c>
      <c r="E3" s="188" t="s">
        <v>104</v>
      </c>
      <c r="F3" s="188" t="s">
        <v>105</v>
      </c>
      <c r="G3" s="188" t="s">
        <v>106</v>
      </c>
      <c r="H3" s="187" t="n">
        <v>46142</v>
      </c>
      <c r="I3" s="188" t="s">
        <v>113</v>
      </c>
      <c r="J3" s="188" t="s">
        <v>108</v>
      </c>
      <c r="K3" s="188" t="s">
        <v>109</v>
      </c>
      <c r="L3" s="188" t="s">
        <v>110</v>
      </c>
      <c r="M3" s="188" t="s">
        <v>114</v>
      </c>
      <c r="N3" s="188" t="s">
        <v>115</v>
      </c>
      <c r="O3" s="188" t="s">
        <v>107</v>
      </c>
      <c r="P3" s="188" t="s">
        <v>111</v>
      </c>
      <c r="Q3" s="188" t="s">
        <v>112</v>
      </c>
      <c r="R3" s="188" t="s">
        <v>22</v>
      </c>
      <c r="S3" s="188" t="s">
        <v>120</v>
      </c>
      <c r="T3" s="188" t="s">
        <v>121</v>
      </c>
      <c r="U3" s="188" t="s">
        <v>122</v>
      </c>
      <c r="V3" s="188" t="s">
        <v>123</v>
      </c>
      <c r="W3" s="188" t="s">
        <v>124</v>
      </c>
      <c r="X3" s="188" t="s">
        <v>116</v>
      </c>
      <c r="Y3" s="188" t="s">
        <v>1037</v>
      </c>
      <c r="Z3" s="0" t="n">
        <v>1</v>
      </c>
      <c r="AA3" s="188" t="s">
        <v>1038</v>
      </c>
    </row>
    <row r="4" customFormat="false" ht="15" hidden="false" customHeight="true" outlineLevel="0" collapsed="false">
      <c r="A4" s="0" t="n">
        <v>1</v>
      </c>
      <c r="B4" s="187" t="n">
        <v>46150.5185496249</v>
      </c>
      <c r="C4" s="187" t="n">
        <v>46150.5350889768</v>
      </c>
      <c r="D4" s="188" t="s">
        <v>103</v>
      </c>
      <c r="E4" s="188" t="s">
        <v>104</v>
      </c>
      <c r="F4" s="188" t="s">
        <v>105</v>
      </c>
      <c r="G4" s="188" t="s">
        <v>106</v>
      </c>
      <c r="H4" s="187" t="n">
        <v>46142</v>
      </c>
      <c r="I4" s="188" t="s">
        <v>113</v>
      </c>
      <c r="J4" s="188" t="s">
        <v>108</v>
      </c>
      <c r="K4" s="188" t="s">
        <v>109</v>
      </c>
      <c r="L4" s="188" t="s">
        <v>110</v>
      </c>
      <c r="M4" s="188" t="s">
        <v>114</v>
      </c>
      <c r="N4" s="188" t="s">
        <v>115</v>
      </c>
      <c r="O4" s="188" t="s">
        <v>107</v>
      </c>
      <c r="P4" s="188" t="s">
        <v>111</v>
      </c>
      <c r="Q4" s="188" t="s">
        <v>112</v>
      </c>
      <c r="R4" s="188" t="s">
        <v>22</v>
      </c>
      <c r="S4" s="188" t="s">
        <v>120</v>
      </c>
      <c r="T4" s="188" t="s">
        <v>121</v>
      </c>
      <c r="U4" s="188" t="s">
        <v>122</v>
      </c>
      <c r="V4" s="188" t="s">
        <v>123</v>
      </c>
      <c r="W4" s="188" t="s">
        <v>124</v>
      </c>
      <c r="X4" s="188" t="s">
        <v>116</v>
      </c>
      <c r="Y4" s="188" t="s">
        <v>1037</v>
      </c>
      <c r="Z4" s="0" t="n">
        <v>2</v>
      </c>
      <c r="AA4" s="188" t="s">
        <v>1039</v>
      </c>
    </row>
    <row r="5" customFormat="false" ht="15" hidden="false" customHeight="true" outlineLevel="0" collapsed="false">
      <c r="A5" s="0" t="n">
        <v>1</v>
      </c>
      <c r="B5" s="187" t="n">
        <v>46150.5185496249</v>
      </c>
      <c r="C5" s="187" t="n">
        <v>46150.5350889768</v>
      </c>
      <c r="D5" s="188" t="s">
        <v>103</v>
      </c>
      <c r="E5" s="188" t="s">
        <v>104</v>
      </c>
      <c r="F5" s="188" t="s">
        <v>105</v>
      </c>
      <c r="G5" s="188" t="s">
        <v>106</v>
      </c>
      <c r="H5" s="187" t="n">
        <v>46142</v>
      </c>
      <c r="I5" s="188" t="s">
        <v>113</v>
      </c>
      <c r="J5" s="188" t="s">
        <v>108</v>
      </c>
      <c r="K5" s="188" t="s">
        <v>109</v>
      </c>
      <c r="L5" s="188" t="s">
        <v>110</v>
      </c>
      <c r="M5" s="188" t="s">
        <v>114</v>
      </c>
      <c r="N5" s="188" t="s">
        <v>115</v>
      </c>
      <c r="O5" s="188" t="s">
        <v>107</v>
      </c>
      <c r="P5" s="188" t="s">
        <v>111</v>
      </c>
      <c r="Q5" s="188" t="s">
        <v>112</v>
      </c>
      <c r="R5" s="188" t="s">
        <v>22</v>
      </c>
      <c r="S5" s="188" t="s">
        <v>120</v>
      </c>
      <c r="T5" s="188" t="s">
        <v>121</v>
      </c>
      <c r="U5" s="188" t="s">
        <v>122</v>
      </c>
      <c r="V5" s="188" t="s">
        <v>123</v>
      </c>
      <c r="W5" s="188" t="s">
        <v>124</v>
      </c>
      <c r="X5" s="188" t="s">
        <v>116</v>
      </c>
      <c r="Y5" s="188" t="s">
        <v>1040</v>
      </c>
      <c r="Z5" s="0" t="n">
        <v>1</v>
      </c>
      <c r="AA5" s="188" t="s">
        <v>122</v>
      </c>
    </row>
    <row r="6" customFormat="false" ht="15" hidden="false" customHeight="true" outlineLevel="0" collapsed="false">
      <c r="A6" s="0" t="n">
        <v>1</v>
      </c>
      <c r="B6" s="187" t="n">
        <v>46150.5185496249</v>
      </c>
      <c r="C6" s="187" t="n">
        <v>46150.5350889768</v>
      </c>
      <c r="D6" s="188" t="s">
        <v>103</v>
      </c>
      <c r="E6" s="188" t="s">
        <v>104</v>
      </c>
      <c r="F6" s="188" t="s">
        <v>105</v>
      </c>
      <c r="G6" s="188" t="s">
        <v>106</v>
      </c>
      <c r="H6" s="187" t="n">
        <v>46142</v>
      </c>
      <c r="I6" s="188" t="s">
        <v>113</v>
      </c>
      <c r="J6" s="188" t="s">
        <v>108</v>
      </c>
      <c r="K6" s="188" t="s">
        <v>109</v>
      </c>
      <c r="L6" s="188" t="s">
        <v>110</v>
      </c>
      <c r="M6" s="188" t="s">
        <v>114</v>
      </c>
      <c r="N6" s="188" t="s">
        <v>115</v>
      </c>
      <c r="O6" s="188" t="s">
        <v>107</v>
      </c>
      <c r="P6" s="188" t="s">
        <v>111</v>
      </c>
      <c r="Q6" s="188" t="s">
        <v>112</v>
      </c>
      <c r="R6" s="188" t="s">
        <v>22</v>
      </c>
      <c r="S6" s="188" t="s">
        <v>120</v>
      </c>
      <c r="T6" s="188" t="s">
        <v>121</v>
      </c>
      <c r="U6" s="188" t="s">
        <v>122</v>
      </c>
      <c r="V6" s="188" t="s">
        <v>123</v>
      </c>
      <c r="W6" s="188" t="s">
        <v>124</v>
      </c>
      <c r="X6" s="188" t="s">
        <v>116</v>
      </c>
      <c r="Y6" s="188" t="s">
        <v>1040</v>
      </c>
      <c r="Z6" s="0" t="n">
        <v>2</v>
      </c>
      <c r="AA6" s="188" t="s">
        <v>1041</v>
      </c>
    </row>
    <row r="7" customFormat="false" ht="15" hidden="false" customHeight="true" outlineLevel="0" collapsed="false">
      <c r="A7" s="0" t="n">
        <v>2</v>
      </c>
      <c r="B7" s="187" t="n">
        <v>46110.8195408993</v>
      </c>
      <c r="C7" s="187" t="n">
        <v>46110.8400501586</v>
      </c>
      <c r="D7" s="188" t="s">
        <v>125</v>
      </c>
      <c r="E7" s="188" t="s">
        <v>126</v>
      </c>
      <c r="F7" s="188" t="s">
        <v>126</v>
      </c>
      <c r="G7" s="188" t="s">
        <v>127</v>
      </c>
      <c r="H7" s="187" t="n">
        <v>46093</v>
      </c>
      <c r="I7" s="188" t="s">
        <v>132</v>
      </c>
      <c r="J7" s="188" t="s">
        <v>128</v>
      </c>
      <c r="K7" s="188" t="s">
        <v>129</v>
      </c>
      <c r="L7" s="188" t="s">
        <v>130</v>
      </c>
      <c r="M7" s="188" t="s">
        <v>133</v>
      </c>
      <c r="N7" s="188" t="s">
        <v>134</v>
      </c>
      <c r="O7" s="188" t="s">
        <v>107</v>
      </c>
      <c r="P7" s="188" t="s">
        <v>131</v>
      </c>
      <c r="Q7" s="188" t="s">
        <v>112</v>
      </c>
      <c r="R7" s="188" t="s">
        <v>22</v>
      </c>
      <c r="S7" s="188" t="s">
        <v>120</v>
      </c>
      <c r="T7" s="188" t="s">
        <v>121</v>
      </c>
      <c r="V7" s="188" t="s">
        <v>123</v>
      </c>
      <c r="W7" s="188" t="s">
        <v>139</v>
      </c>
      <c r="X7" s="188" t="s">
        <v>135</v>
      </c>
      <c r="Y7" s="188" t="s">
        <v>1035</v>
      </c>
      <c r="Z7" s="0" t="n">
        <v>1</v>
      </c>
      <c r="AA7" s="188" t="s">
        <v>1042</v>
      </c>
    </row>
    <row r="8" customFormat="false" ht="15" hidden="false" customHeight="true" outlineLevel="0" collapsed="false">
      <c r="A8" s="0" t="n">
        <v>2</v>
      </c>
      <c r="B8" s="187" t="n">
        <v>46110.8195408993</v>
      </c>
      <c r="C8" s="187" t="n">
        <v>46110.8400501586</v>
      </c>
      <c r="D8" s="188" t="s">
        <v>125</v>
      </c>
      <c r="E8" s="188" t="s">
        <v>126</v>
      </c>
      <c r="F8" s="188" t="s">
        <v>126</v>
      </c>
      <c r="G8" s="188" t="s">
        <v>127</v>
      </c>
      <c r="H8" s="187" t="n">
        <v>46093</v>
      </c>
      <c r="I8" s="188" t="s">
        <v>132</v>
      </c>
      <c r="J8" s="188" t="s">
        <v>128</v>
      </c>
      <c r="K8" s="188" t="s">
        <v>129</v>
      </c>
      <c r="L8" s="188" t="s">
        <v>130</v>
      </c>
      <c r="M8" s="188" t="s">
        <v>133</v>
      </c>
      <c r="N8" s="188" t="s">
        <v>134</v>
      </c>
      <c r="O8" s="188" t="s">
        <v>107</v>
      </c>
      <c r="P8" s="188" t="s">
        <v>131</v>
      </c>
      <c r="Q8" s="188" t="s">
        <v>112</v>
      </c>
      <c r="R8" s="188" t="s">
        <v>22</v>
      </c>
      <c r="S8" s="188" t="s">
        <v>120</v>
      </c>
      <c r="T8" s="188" t="s">
        <v>121</v>
      </c>
      <c r="V8" s="188" t="s">
        <v>123</v>
      </c>
      <c r="W8" s="188" t="s">
        <v>139</v>
      </c>
      <c r="X8" s="188" t="s">
        <v>135</v>
      </c>
      <c r="Y8" s="188" t="s">
        <v>1035</v>
      </c>
      <c r="Z8" s="0" t="n">
        <v>2</v>
      </c>
      <c r="AA8" s="188" t="s">
        <v>1043</v>
      </c>
    </row>
    <row r="9" customFormat="false" ht="15" hidden="false" customHeight="true" outlineLevel="0" collapsed="false">
      <c r="A9" s="0" t="n">
        <v>2</v>
      </c>
      <c r="B9" s="187" t="n">
        <v>46110.8195408993</v>
      </c>
      <c r="C9" s="187" t="n">
        <v>46110.8400501586</v>
      </c>
      <c r="D9" s="188" t="s">
        <v>125</v>
      </c>
      <c r="E9" s="188" t="s">
        <v>126</v>
      </c>
      <c r="F9" s="188" t="s">
        <v>126</v>
      </c>
      <c r="G9" s="188" t="s">
        <v>127</v>
      </c>
      <c r="H9" s="187" t="n">
        <v>46093</v>
      </c>
      <c r="I9" s="188" t="s">
        <v>132</v>
      </c>
      <c r="J9" s="188" t="s">
        <v>128</v>
      </c>
      <c r="K9" s="188" t="s">
        <v>129</v>
      </c>
      <c r="L9" s="188" t="s">
        <v>130</v>
      </c>
      <c r="M9" s="188" t="s">
        <v>133</v>
      </c>
      <c r="N9" s="188" t="s">
        <v>134</v>
      </c>
      <c r="O9" s="188" t="s">
        <v>107</v>
      </c>
      <c r="P9" s="188" t="s">
        <v>131</v>
      </c>
      <c r="Q9" s="188" t="s">
        <v>112</v>
      </c>
      <c r="R9" s="188" t="s">
        <v>22</v>
      </c>
      <c r="S9" s="188" t="s">
        <v>120</v>
      </c>
      <c r="T9" s="188" t="s">
        <v>121</v>
      </c>
      <c r="V9" s="188" t="s">
        <v>123</v>
      </c>
      <c r="W9" s="188" t="s">
        <v>139</v>
      </c>
      <c r="X9" s="188" t="s">
        <v>135</v>
      </c>
      <c r="Y9" s="188" t="s">
        <v>1035</v>
      </c>
      <c r="Z9" s="0" t="n">
        <v>3</v>
      </c>
      <c r="AA9" s="188" t="s">
        <v>1044</v>
      </c>
    </row>
    <row r="10" customFormat="false" ht="14.25" hidden="false" customHeight="true" outlineLevel="0" collapsed="false">
      <c r="A10" s="0" t="n">
        <v>2</v>
      </c>
      <c r="B10" s="187" t="n">
        <v>46110.8195408993</v>
      </c>
      <c r="C10" s="187" t="n">
        <v>46110.8400501586</v>
      </c>
      <c r="D10" s="188" t="s">
        <v>125</v>
      </c>
      <c r="E10" s="188" t="s">
        <v>126</v>
      </c>
      <c r="F10" s="188" t="s">
        <v>126</v>
      </c>
      <c r="G10" s="188" t="s">
        <v>127</v>
      </c>
      <c r="H10" s="187" t="n">
        <v>46093</v>
      </c>
      <c r="I10" s="188" t="s">
        <v>132</v>
      </c>
      <c r="J10" s="188" t="s">
        <v>128</v>
      </c>
      <c r="K10" s="188" t="s">
        <v>129</v>
      </c>
      <c r="L10" s="188" t="s">
        <v>130</v>
      </c>
      <c r="M10" s="188" t="s">
        <v>133</v>
      </c>
      <c r="N10" s="188" t="s">
        <v>134</v>
      </c>
      <c r="O10" s="188" t="s">
        <v>107</v>
      </c>
      <c r="P10" s="188" t="s">
        <v>131</v>
      </c>
      <c r="Q10" s="188" t="s">
        <v>112</v>
      </c>
      <c r="R10" s="188" t="s">
        <v>22</v>
      </c>
      <c r="S10" s="188" t="s">
        <v>120</v>
      </c>
      <c r="T10" s="188" t="s">
        <v>121</v>
      </c>
      <c r="V10" s="188" t="s">
        <v>123</v>
      </c>
      <c r="W10" s="188" t="s">
        <v>139</v>
      </c>
      <c r="X10" s="188" t="s">
        <v>135</v>
      </c>
      <c r="Y10" s="188" t="s">
        <v>1037</v>
      </c>
      <c r="Z10" s="0" t="n">
        <v>1</v>
      </c>
      <c r="AA10" s="188" t="s">
        <v>1045</v>
      </c>
    </row>
    <row r="11" customFormat="false" ht="15" hidden="false" customHeight="true" outlineLevel="0" collapsed="false">
      <c r="A11" s="0" t="n">
        <v>2</v>
      </c>
      <c r="B11" s="187" t="n">
        <v>46110.8195408993</v>
      </c>
      <c r="C11" s="187" t="n">
        <v>46110.8400501586</v>
      </c>
      <c r="D11" s="188" t="s">
        <v>125</v>
      </c>
      <c r="E11" s="188" t="s">
        <v>126</v>
      </c>
      <c r="F11" s="188" t="s">
        <v>126</v>
      </c>
      <c r="G11" s="188" t="s">
        <v>127</v>
      </c>
      <c r="H11" s="187" t="n">
        <v>46093</v>
      </c>
      <c r="I11" s="188" t="s">
        <v>132</v>
      </c>
      <c r="J11" s="188" t="s">
        <v>128</v>
      </c>
      <c r="K11" s="188" t="s">
        <v>129</v>
      </c>
      <c r="L11" s="188" t="s">
        <v>130</v>
      </c>
      <c r="M11" s="188" t="s">
        <v>133</v>
      </c>
      <c r="N11" s="188" t="s">
        <v>134</v>
      </c>
      <c r="O11" s="188" t="s">
        <v>107</v>
      </c>
      <c r="P11" s="188" t="s">
        <v>131</v>
      </c>
      <c r="Q11" s="188" t="s">
        <v>112</v>
      </c>
      <c r="R11" s="188" t="s">
        <v>22</v>
      </c>
      <c r="S11" s="188" t="s">
        <v>120</v>
      </c>
      <c r="T11" s="188" t="s">
        <v>121</v>
      </c>
      <c r="V11" s="188" t="s">
        <v>123</v>
      </c>
      <c r="W11" s="188" t="s">
        <v>139</v>
      </c>
      <c r="X11" s="188" t="s">
        <v>135</v>
      </c>
      <c r="Y11" s="188" t="s">
        <v>1040</v>
      </c>
      <c r="Z11" s="0" t="n">
        <v>1</v>
      </c>
      <c r="AA11" s="188" t="s">
        <v>1046</v>
      </c>
    </row>
    <row r="12" customFormat="false" ht="15" hidden="false" customHeight="true" outlineLevel="0" collapsed="false">
      <c r="A12" s="0" t="n">
        <v>2</v>
      </c>
      <c r="B12" s="187" t="n">
        <v>46110.8195408993</v>
      </c>
      <c r="C12" s="187" t="n">
        <v>46110.8400501586</v>
      </c>
      <c r="D12" s="188" t="s">
        <v>125</v>
      </c>
      <c r="E12" s="188" t="s">
        <v>126</v>
      </c>
      <c r="F12" s="188" t="s">
        <v>126</v>
      </c>
      <c r="G12" s="188" t="s">
        <v>127</v>
      </c>
      <c r="H12" s="187" t="n">
        <v>46093</v>
      </c>
      <c r="I12" s="188" t="s">
        <v>132</v>
      </c>
      <c r="J12" s="188" t="s">
        <v>128</v>
      </c>
      <c r="K12" s="188" t="s">
        <v>129</v>
      </c>
      <c r="L12" s="188" t="s">
        <v>130</v>
      </c>
      <c r="M12" s="188" t="s">
        <v>133</v>
      </c>
      <c r="N12" s="188" t="s">
        <v>134</v>
      </c>
      <c r="O12" s="188" t="s">
        <v>107</v>
      </c>
      <c r="P12" s="188" t="s">
        <v>131</v>
      </c>
      <c r="Q12" s="188" t="s">
        <v>112</v>
      </c>
      <c r="R12" s="188" t="s">
        <v>22</v>
      </c>
      <c r="S12" s="188" t="s">
        <v>120</v>
      </c>
      <c r="T12" s="188" t="s">
        <v>121</v>
      </c>
      <c r="V12" s="188" t="s">
        <v>123</v>
      </c>
      <c r="W12" s="188" t="s">
        <v>139</v>
      </c>
      <c r="X12" s="188" t="s">
        <v>135</v>
      </c>
      <c r="Y12" s="188" t="s">
        <v>1040</v>
      </c>
      <c r="Z12" s="0" t="n">
        <v>2</v>
      </c>
      <c r="AA12" s="188" t="s">
        <v>122</v>
      </c>
    </row>
    <row r="13" customFormat="false" ht="15" hidden="false" customHeight="true" outlineLevel="0" collapsed="false">
      <c r="A13" s="0" t="n">
        <v>3</v>
      </c>
      <c r="B13" s="187" t="n">
        <v>46143.6908287966</v>
      </c>
      <c r="C13" s="187" t="n">
        <v>46143.7094977781</v>
      </c>
      <c r="D13" s="188" t="s">
        <v>140</v>
      </c>
      <c r="E13" s="188" t="s">
        <v>141</v>
      </c>
      <c r="F13" s="188" t="s">
        <v>141</v>
      </c>
      <c r="G13" s="188" t="s">
        <v>142</v>
      </c>
      <c r="H13" s="187" t="n">
        <v>46131</v>
      </c>
      <c r="I13" s="188" t="s">
        <v>113</v>
      </c>
      <c r="J13" s="188" t="s">
        <v>128</v>
      </c>
      <c r="K13" s="188" t="s">
        <v>143</v>
      </c>
      <c r="L13" s="188" t="s">
        <v>144</v>
      </c>
      <c r="M13" s="188" t="s">
        <v>146</v>
      </c>
      <c r="N13" s="188" t="s">
        <v>147</v>
      </c>
      <c r="O13" s="188" t="s">
        <v>107</v>
      </c>
      <c r="P13" s="188" t="s">
        <v>131</v>
      </c>
      <c r="Q13" s="188" t="s">
        <v>145</v>
      </c>
      <c r="R13" s="188" t="s">
        <v>22</v>
      </c>
      <c r="S13" s="188" t="s">
        <v>152</v>
      </c>
      <c r="T13" s="188" t="s">
        <v>121</v>
      </c>
      <c r="U13" s="188" t="s">
        <v>153</v>
      </c>
      <c r="V13" s="188" t="s">
        <v>123</v>
      </c>
      <c r="W13" s="188" t="s">
        <v>124</v>
      </c>
      <c r="X13" s="188" t="s">
        <v>148</v>
      </c>
      <c r="Y13" s="188" t="s">
        <v>1035</v>
      </c>
      <c r="Z13" s="0" t="n">
        <v>1</v>
      </c>
      <c r="AA13" s="188" t="s">
        <v>1047</v>
      </c>
    </row>
    <row r="14" customFormat="false" ht="15" hidden="false" customHeight="true" outlineLevel="0" collapsed="false">
      <c r="A14" s="0" t="n">
        <v>3</v>
      </c>
      <c r="B14" s="187" t="n">
        <v>46143.6908287966</v>
      </c>
      <c r="C14" s="187" t="n">
        <v>46143.7094977781</v>
      </c>
      <c r="D14" s="188" t="s">
        <v>140</v>
      </c>
      <c r="E14" s="188" t="s">
        <v>141</v>
      </c>
      <c r="F14" s="188" t="s">
        <v>141</v>
      </c>
      <c r="G14" s="188" t="s">
        <v>142</v>
      </c>
      <c r="H14" s="187" t="n">
        <v>46131</v>
      </c>
      <c r="I14" s="188" t="s">
        <v>113</v>
      </c>
      <c r="J14" s="188" t="s">
        <v>128</v>
      </c>
      <c r="K14" s="188" t="s">
        <v>143</v>
      </c>
      <c r="L14" s="188" t="s">
        <v>144</v>
      </c>
      <c r="M14" s="188" t="s">
        <v>146</v>
      </c>
      <c r="N14" s="188" t="s">
        <v>147</v>
      </c>
      <c r="O14" s="188" t="s">
        <v>107</v>
      </c>
      <c r="P14" s="188" t="s">
        <v>131</v>
      </c>
      <c r="Q14" s="188" t="s">
        <v>145</v>
      </c>
      <c r="R14" s="188" t="s">
        <v>22</v>
      </c>
      <c r="S14" s="188" t="s">
        <v>152</v>
      </c>
      <c r="T14" s="188" t="s">
        <v>121</v>
      </c>
      <c r="U14" s="188" t="s">
        <v>153</v>
      </c>
      <c r="V14" s="188" t="s">
        <v>123</v>
      </c>
      <c r="W14" s="188" t="s">
        <v>124</v>
      </c>
      <c r="X14" s="188" t="s">
        <v>148</v>
      </c>
      <c r="Y14" s="188" t="s">
        <v>1037</v>
      </c>
      <c r="Z14" s="0" t="n">
        <v>1</v>
      </c>
      <c r="AA14" s="188" t="s">
        <v>1048</v>
      </c>
    </row>
    <row r="15" customFormat="false" ht="15" hidden="false" customHeight="true" outlineLevel="0" collapsed="false">
      <c r="A15" s="0" t="n">
        <v>3</v>
      </c>
      <c r="B15" s="187" t="n">
        <v>46143.6908287966</v>
      </c>
      <c r="C15" s="187" t="n">
        <v>46143.7094977781</v>
      </c>
      <c r="D15" s="188" t="s">
        <v>140</v>
      </c>
      <c r="E15" s="188" t="s">
        <v>141</v>
      </c>
      <c r="F15" s="188" t="s">
        <v>141</v>
      </c>
      <c r="G15" s="188" t="s">
        <v>142</v>
      </c>
      <c r="H15" s="187" t="n">
        <v>46131</v>
      </c>
      <c r="I15" s="188" t="s">
        <v>113</v>
      </c>
      <c r="J15" s="188" t="s">
        <v>128</v>
      </c>
      <c r="K15" s="188" t="s">
        <v>143</v>
      </c>
      <c r="L15" s="188" t="s">
        <v>144</v>
      </c>
      <c r="M15" s="188" t="s">
        <v>146</v>
      </c>
      <c r="N15" s="188" t="s">
        <v>147</v>
      </c>
      <c r="O15" s="188" t="s">
        <v>107</v>
      </c>
      <c r="P15" s="188" t="s">
        <v>131</v>
      </c>
      <c r="Q15" s="188" t="s">
        <v>145</v>
      </c>
      <c r="R15" s="188" t="s">
        <v>22</v>
      </c>
      <c r="S15" s="188" t="s">
        <v>152</v>
      </c>
      <c r="T15" s="188" t="s">
        <v>121</v>
      </c>
      <c r="U15" s="188" t="s">
        <v>153</v>
      </c>
      <c r="V15" s="188" t="s">
        <v>123</v>
      </c>
      <c r="W15" s="188" t="s">
        <v>124</v>
      </c>
      <c r="X15" s="188" t="s">
        <v>148</v>
      </c>
      <c r="Y15" s="188" t="s">
        <v>1037</v>
      </c>
      <c r="Z15" s="0" t="n">
        <v>2</v>
      </c>
      <c r="AA15" s="188" t="s">
        <v>1049</v>
      </c>
    </row>
    <row r="16" customFormat="false" ht="15" hidden="false" customHeight="true" outlineLevel="0" collapsed="false">
      <c r="A16" s="0" t="n">
        <v>3</v>
      </c>
      <c r="B16" s="187" t="n">
        <v>46143.6908287966</v>
      </c>
      <c r="C16" s="187" t="n">
        <v>46143.7094977781</v>
      </c>
      <c r="D16" s="188" t="s">
        <v>140</v>
      </c>
      <c r="E16" s="188" t="s">
        <v>141</v>
      </c>
      <c r="F16" s="188" t="s">
        <v>141</v>
      </c>
      <c r="G16" s="188" t="s">
        <v>142</v>
      </c>
      <c r="H16" s="187" t="n">
        <v>46131</v>
      </c>
      <c r="I16" s="188" t="s">
        <v>113</v>
      </c>
      <c r="J16" s="188" t="s">
        <v>128</v>
      </c>
      <c r="K16" s="188" t="s">
        <v>143</v>
      </c>
      <c r="L16" s="188" t="s">
        <v>144</v>
      </c>
      <c r="M16" s="188" t="s">
        <v>146</v>
      </c>
      <c r="N16" s="188" t="s">
        <v>147</v>
      </c>
      <c r="O16" s="188" t="s">
        <v>107</v>
      </c>
      <c r="P16" s="188" t="s">
        <v>131</v>
      </c>
      <c r="Q16" s="188" t="s">
        <v>145</v>
      </c>
      <c r="R16" s="188" t="s">
        <v>22</v>
      </c>
      <c r="S16" s="188" t="s">
        <v>152</v>
      </c>
      <c r="T16" s="188" t="s">
        <v>121</v>
      </c>
      <c r="U16" s="188" t="s">
        <v>153</v>
      </c>
      <c r="V16" s="188" t="s">
        <v>123</v>
      </c>
      <c r="W16" s="188" t="s">
        <v>124</v>
      </c>
      <c r="X16" s="188" t="s">
        <v>148</v>
      </c>
      <c r="Y16" s="188" t="s">
        <v>1040</v>
      </c>
      <c r="Z16" s="0" t="n">
        <v>1</v>
      </c>
      <c r="AA16" s="188" t="s">
        <v>1050</v>
      </c>
    </row>
    <row r="17" customFormat="false" ht="15" hidden="false" customHeight="true" outlineLevel="0" collapsed="false">
      <c r="A17" s="0" t="n">
        <v>3</v>
      </c>
      <c r="B17" s="187" t="n">
        <v>46143.6908287966</v>
      </c>
      <c r="C17" s="187" t="n">
        <v>46143.7094977781</v>
      </c>
      <c r="D17" s="188" t="s">
        <v>140</v>
      </c>
      <c r="E17" s="188" t="s">
        <v>141</v>
      </c>
      <c r="F17" s="188" t="s">
        <v>141</v>
      </c>
      <c r="G17" s="188" t="s">
        <v>142</v>
      </c>
      <c r="H17" s="187" t="n">
        <v>46131</v>
      </c>
      <c r="I17" s="188" t="s">
        <v>113</v>
      </c>
      <c r="J17" s="188" t="s">
        <v>128</v>
      </c>
      <c r="K17" s="188" t="s">
        <v>143</v>
      </c>
      <c r="L17" s="188" t="s">
        <v>144</v>
      </c>
      <c r="M17" s="188" t="s">
        <v>146</v>
      </c>
      <c r="N17" s="188" t="s">
        <v>147</v>
      </c>
      <c r="O17" s="188" t="s">
        <v>107</v>
      </c>
      <c r="P17" s="188" t="s">
        <v>131</v>
      </c>
      <c r="Q17" s="188" t="s">
        <v>145</v>
      </c>
      <c r="R17" s="188" t="s">
        <v>22</v>
      </c>
      <c r="S17" s="188" t="s">
        <v>152</v>
      </c>
      <c r="T17" s="188" t="s">
        <v>121</v>
      </c>
      <c r="U17" s="188" t="s">
        <v>153</v>
      </c>
      <c r="V17" s="188" t="s">
        <v>123</v>
      </c>
      <c r="W17" s="188" t="s">
        <v>124</v>
      </c>
      <c r="X17" s="188" t="s">
        <v>148</v>
      </c>
      <c r="Y17" s="188" t="s">
        <v>1040</v>
      </c>
      <c r="Z17" s="0" t="n">
        <v>2</v>
      </c>
      <c r="AA17" s="188" t="s">
        <v>1051</v>
      </c>
    </row>
    <row r="18" customFormat="false" ht="15" hidden="false" customHeight="true" outlineLevel="0" collapsed="false">
      <c r="A18" s="0" t="n">
        <v>4</v>
      </c>
      <c r="B18" s="187" t="n">
        <v>46115.8000054981</v>
      </c>
      <c r="C18" s="187" t="n">
        <v>46115.80466985</v>
      </c>
      <c r="D18" s="188" t="s">
        <v>154</v>
      </c>
      <c r="E18" s="188" t="s">
        <v>155</v>
      </c>
      <c r="F18" s="188" t="s">
        <v>155</v>
      </c>
      <c r="G18" s="188" t="s">
        <v>156</v>
      </c>
      <c r="H18" s="187" t="n">
        <v>46114</v>
      </c>
      <c r="I18" s="188" t="s">
        <v>113</v>
      </c>
      <c r="J18" s="188" t="s">
        <v>108</v>
      </c>
      <c r="K18" s="188" t="s">
        <v>158</v>
      </c>
      <c r="L18" s="188" t="s">
        <v>159</v>
      </c>
      <c r="M18" s="188" t="s">
        <v>160</v>
      </c>
      <c r="N18" s="188" t="s">
        <v>161</v>
      </c>
      <c r="O18" s="188" t="s">
        <v>157</v>
      </c>
      <c r="P18" s="188" t="s">
        <v>111</v>
      </c>
      <c r="Q18" s="188" t="s">
        <v>112</v>
      </c>
      <c r="R18" s="188" t="s">
        <v>22</v>
      </c>
      <c r="S18" s="188" t="s">
        <v>152</v>
      </c>
      <c r="T18" s="188" t="s">
        <v>165</v>
      </c>
      <c r="U18" s="188" t="s">
        <v>166</v>
      </c>
      <c r="V18" s="188" t="s">
        <v>167</v>
      </c>
      <c r="W18" s="188" t="s">
        <v>168</v>
      </c>
      <c r="X18" s="188" t="s">
        <v>116</v>
      </c>
      <c r="Y18" s="188" t="s">
        <v>1035</v>
      </c>
      <c r="Z18" s="0" t="n">
        <v>1</v>
      </c>
      <c r="AA18" s="188" t="s">
        <v>1052</v>
      </c>
    </row>
    <row r="19" customFormat="false" ht="15" hidden="false" customHeight="true" outlineLevel="0" collapsed="false">
      <c r="A19" s="0" t="n">
        <v>4</v>
      </c>
      <c r="B19" s="187" t="n">
        <v>46115.8000054981</v>
      </c>
      <c r="C19" s="187" t="n">
        <v>46115.80466985</v>
      </c>
      <c r="D19" s="188" t="s">
        <v>154</v>
      </c>
      <c r="E19" s="188" t="s">
        <v>155</v>
      </c>
      <c r="F19" s="188" t="s">
        <v>155</v>
      </c>
      <c r="G19" s="188" t="s">
        <v>156</v>
      </c>
      <c r="H19" s="187" t="n">
        <v>46114</v>
      </c>
      <c r="I19" s="188" t="s">
        <v>113</v>
      </c>
      <c r="J19" s="188" t="s">
        <v>108</v>
      </c>
      <c r="K19" s="188" t="s">
        <v>158</v>
      </c>
      <c r="L19" s="188" t="s">
        <v>159</v>
      </c>
      <c r="M19" s="188" t="s">
        <v>160</v>
      </c>
      <c r="N19" s="188" t="s">
        <v>161</v>
      </c>
      <c r="O19" s="188" t="s">
        <v>157</v>
      </c>
      <c r="P19" s="188" t="s">
        <v>111</v>
      </c>
      <c r="Q19" s="188" t="s">
        <v>112</v>
      </c>
      <c r="R19" s="188" t="s">
        <v>22</v>
      </c>
      <c r="S19" s="188" t="s">
        <v>152</v>
      </c>
      <c r="T19" s="188" t="s">
        <v>165</v>
      </c>
      <c r="U19" s="188" t="s">
        <v>166</v>
      </c>
      <c r="V19" s="188" t="s">
        <v>167</v>
      </c>
      <c r="W19" s="188" t="s">
        <v>168</v>
      </c>
      <c r="X19" s="188" t="s">
        <v>116</v>
      </c>
      <c r="Y19" s="188" t="s">
        <v>1037</v>
      </c>
      <c r="Z19" s="0" t="n">
        <v>1</v>
      </c>
      <c r="AA19" s="188" t="s">
        <v>1053</v>
      </c>
    </row>
    <row r="20" customFormat="false" ht="15" hidden="false" customHeight="true" outlineLevel="0" collapsed="false">
      <c r="A20" s="0" t="n">
        <v>4</v>
      </c>
      <c r="B20" s="187" t="n">
        <v>46115.8000054981</v>
      </c>
      <c r="C20" s="187" t="n">
        <v>46115.80466985</v>
      </c>
      <c r="D20" s="188" t="s">
        <v>154</v>
      </c>
      <c r="E20" s="188" t="s">
        <v>155</v>
      </c>
      <c r="F20" s="188" t="s">
        <v>155</v>
      </c>
      <c r="G20" s="188" t="s">
        <v>156</v>
      </c>
      <c r="H20" s="187" t="n">
        <v>46114</v>
      </c>
      <c r="I20" s="188" t="s">
        <v>113</v>
      </c>
      <c r="J20" s="188" t="s">
        <v>108</v>
      </c>
      <c r="K20" s="188" t="s">
        <v>158</v>
      </c>
      <c r="L20" s="188" t="s">
        <v>159</v>
      </c>
      <c r="M20" s="188" t="s">
        <v>160</v>
      </c>
      <c r="N20" s="188" t="s">
        <v>161</v>
      </c>
      <c r="O20" s="188" t="s">
        <v>157</v>
      </c>
      <c r="P20" s="188" t="s">
        <v>111</v>
      </c>
      <c r="Q20" s="188" t="s">
        <v>112</v>
      </c>
      <c r="R20" s="188" t="s">
        <v>22</v>
      </c>
      <c r="S20" s="188" t="s">
        <v>152</v>
      </c>
      <c r="T20" s="188" t="s">
        <v>165</v>
      </c>
      <c r="U20" s="188" t="s">
        <v>166</v>
      </c>
      <c r="V20" s="188" t="s">
        <v>167</v>
      </c>
      <c r="W20" s="188" t="s">
        <v>168</v>
      </c>
      <c r="X20" s="188" t="s">
        <v>116</v>
      </c>
      <c r="Y20" s="188" t="s">
        <v>1037</v>
      </c>
      <c r="Z20" s="0" t="n">
        <v>2</v>
      </c>
      <c r="AA20" s="188" t="s">
        <v>122</v>
      </c>
    </row>
    <row r="21" customFormat="false" ht="15" hidden="false" customHeight="true" outlineLevel="0" collapsed="false">
      <c r="A21" s="0" t="n">
        <v>4</v>
      </c>
      <c r="B21" s="187" t="n">
        <v>46115.8000054981</v>
      </c>
      <c r="C21" s="187" t="n">
        <v>46115.80466985</v>
      </c>
      <c r="D21" s="188" t="s">
        <v>154</v>
      </c>
      <c r="E21" s="188" t="s">
        <v>155</v>
      </c>
      <c r="F21" s="188" t="s">
        <v>155</v>
      </c>
      <c r="G21" s="188" t="s">
        <v>156</v>
      </c>
      <c r="H21" s="187" t="n">
        <v>46114</v>
      </c>
      <c r="I21" s="188" t="s">
        <v>113</v>
      </c>
      <c r="J21" s="188" t="s">
        <v>108</v>
      </c>
      <c r="K21" s="188" t="s">
        <v>158</v>
      </c>
      <c r="L21" s="188" t="s">
        <v>159</v>
      </c>
      <c r="M21" s="188" t="s">
        <v>160</v>
      </c>
      <c r="N21" s="188" t="s">
        <v>161</v>
      </c>
      <c r="O21" s="188" t="s">
        <v>157</v>
      </c>
      <c r="P21" s="188" t="s">
        <v>111</v>
      </c>
      <c r="Q21" s="188" t="s">
        <v>112</v>
      </c>
      <c r="R21" s="188" t="s">
        <v>22</v>
      </c>
      <c r="S21" s="188" t="s">
        <v>152</v>
      </c>
      <c r="T21" s="188" t="s">
        <v>165</v>
      </c>
      <c r="U21" s="188" t="s">
        <v>166</v>
      </c>
      <c r="V21" s="188" t="s">
        <v>167</v>
      </c>
      <c r="W21" s="188" t="s">
        <v>168</v>
      </c>
      <c r="X21" s="188" t="s">
        <v>116</v>
      </c>
      <c r="Y21" s="188" t="s">
        <v>1040</v>
      </c>
      <c r="Z21" s="0" t="n">
        <v>1</v>
      </c>
      <c r="AA21" s="188" t="s">
        <v>1054</v>
      </c>
    </row>
    <row r="22" customFormat="false" ht="15" hidden="false" customHeight="true" outlineLevel="0" collapsed="false">
      <c r="A22" s="0" t="n">
        <v>4</v>
      </c>
      <c r="B22" s="187" t="n">
        <v>46115.8000054981</v>
      </c>
      <c r="C22" s="187" t="n">
        <v>46115.80466985</v>
      </c>
      <c r="D22" s="188" t="s">
        <v>154</v>
      </c>
      <c r="E22" s="188" t="s">
        <v>155</v>
      </c>
      <c r="F22" s="188" t="s">
        <v>155</v>
      </c>
      <c r="G22" s="188" t="s">
        <v>156</v>
      </c>
      <c r="H22" s="187" t="n">
        <v>46114</v>
      </c>
      <c r="I22" s="188" t="s">
        <v>113</v>
      </c>
      <c r="J22" s="188" t="s">
        <v>108</v>
      </c>
      <c r="K22" s="188" t="s">
        <v>158</v>
      </c>
      <c r="L22" s="188" t="s">
        <v>159</v>
      </c>
      <c r="M22" s="188" t="s">
        <v>160</v>
      </c>
      <c r="N22" s="188" t="s">
        <v>161</v>
      </c>
      <c r="O22" s="188" t="s">
        <v>157</v>
      </c>
      <c r="P22" s="188" t="s">
        <v>111</v>
      </c>
      <c r="Q22" s="188" t="s">
        <v>112</v>
      </c>
      <c r="R22" s="188" t="s">
        <v>22</v>
      </c>
      <c r="S22" s="188" t="s">
        <v>152</v>
      </c>
      <c r="T22" s="188" t="s">
        <v>165</v>
      </c>
      <c r="U22" s="188" t="s">
        <v>166</v>
      </c>
      <c r="V22" s="188" t="s">
        <v>167</v>
      </c>
      <c r="W22" s="188" t="s">
        <v>168</v>
      </c>
      <c r="X22" s="188" t="s">
        <v>116</v>
      </c>
      <c r="Y22" s="188" t="s">
        <v>1040</v>
      </c>
      <c r="Z22" s="0" t="n">
        <v>2</v>
      </c>
      <c r="AA22" s="188" t="s">
        <v>1041</v>
      </c>
    </row>
    <row r="23" customFormat="false" ht="15" hidden="false" customHeight="true" outlineLevel="0" collapsed="false">
      <c r="A23" s="0" t="n">
        <v>5</v>
      </c>
      <c r="B23" s="187" t="n">
        <v>46084.5274476523</v>
      </c>
      <c r="C23" s="187" t="n">
        <v>46084.5439754301</v>
      </c>
      <c r="D23" s="188" t="s">
        <v>169</v>
      </c>
      <c r="E23" s="188" t="s">
        <v>170</v>
      </c>
      <c r="F23" s="188" t="s">
        <v>170</v>
      </c>
      <c r="G23" s="188" t="s">
        <v>171</v>
      </c>
      <c r="H23" s="187" t="n">
        <v>46080</v>
      </c>
      <c r="I23" s="188" t="s">
        <v>113</v>
      </c>
      <c r="J23" s="188" t="s">
        <v>108</v>
      </c>
      <c r="K23" s="188" t="s">
        <v>173</v>
      </c>
      <c r="L23" s="188" t="s">
        <v>144</v>
      </c>
      <c r="M23" s="188" t="s">
        <v>174</v>
      </c>
      <c r="N23" s="188" t="s">
        <v>175</v>
      </c>
      <c r="O23" s="188" t="s">
        <v>172</v>
      </c>
      <c r="P23" s="188" t="s">
        <v>111</v>
      </c>
      <c r="Q23" s="188" t="s">
        <v>112</v>
      </c>
      <c r="R23" s="188" t="s">
        <v>22</v>
      </c>
      <c r="S23" s="188" t="s">
        <v>152</v>
      </c>
      <c r="T23" s="188" t="s">
        <v>180</v>
      </c>
      <c r="U23" s="188" t="s">
        <v>122</v>
      </c>
      <c r="V23" s="188" t="s">
        <v>123</v>
      </c>
      <c r="W23" s="188" t="s">
        <v>124</v>
      </c>
      <c r="X23" s="188" t="s">
        <v>176</v>
      </c>
      <c r="Y23" s="188" t="s">
        <v>1035</v>
      </c>
      <c r="Z23" s="0" t="n">
        <v>1</v>
      </c>
      <c r="AA23" s="188" t="s">
        <v>1055</v>
      </c>
    </row>
    <row r="24" customFormat="false" ht="31.5" hidden="false" customHeight="true" outlineLevel="0" collapsed="false">
      <c r="A24" s="0" t="n">
        <v>5</v>
      </c>
      <c r="B24" s="187" t="n">
        <v>46084.5274476523</v>
      </c>
      <c r="C24" s="187" t="n">
        <v>46084.5439754301</v>
      </c>
      <c r="D24" s="188" t="s">
        <v>169</v>
      </c>
      <c r="E24" s="188" t="s">
        <v>170</v>
      </c>
      <c r="F24" s="188" t="s">
        <v>170</v>
      </c>
      <c r="G24" s="188" t="s">
        <v>171</v>
      </c>
      <c r="H24" s="187" t="n">
        <v>46080</v>
      </c>
      <c r="I24" s="188" t="s">
        <v>113</v>
      </c>
      <c r="J24" s="188" t="s">
        <v>108</v>
      </c>
      <c r="K24" s="188" t="s">
        <v>173</v>
      </c>
      <c r="L24" s="188" t="s">
        <v>144</v>
      </c>
      <c r="M24" s="188" t="s">
        <v>174</v>
      </c>
      <c r="N24" s="188" t="s">
        <v>175</v>
      </c>
      <c r="O24" s="188" t="s">
        <v>172</v>
      </c>
      <c r="P24" s="188" t="s">
        <v>111</v>
      </c>
      <c r="Q24" s="188" t="s">
        <v>112</v>
      </c>
      <c r="R24" s="188" t="s">
        <v>22</v>
      </c>
      <c r="S24" s="188" t="s">
        <v>152</v>
      </c>
      <c r="T24" s="188" t="s">
        <v>180</v>
      </c>
      <c r="U24" s="188" t="s">
        <v>122</v>
      </c>
      <c r="V24" s="188" t="s">
        <v>123</v>
      </c>
      <c r="W24" s="188" t="s">
        <v>124</v>
      </c>
      <c r="X24" s="188" t="s">
        <v>176</v>
      </c>
      <c r="Y24" s="188" t="s">
        <v>1035</v>
      </c>
      <c r="Z24" s="0" t="n">
        <v>2</v>
      </c>
      <c r="AA24" s="188" t="s">
        <v>1056</v>
      </c>
    </row>
    <row r="25" customFormat="false" ht="15" hidden="false" customHeight="true" outlineLevel="0" collapsed="false">
      <c r="A25" s="0" t="n">
        <v>5</v>
      </c>
      <c r="B25" s="187" t="n">
        <v>46084.5274476523</v>
      </c>
      <c r="C25" s="187" t="n">
        <v>46084.5439754301</v>
      </c>
      <c r="D25" s="188" t="s">
        <v>169</v>
      </c>
      <c r="E25" s="188" t="s">
        <v>170</v>
      </c>
      <c r="F25" s="188" t="s">
        <v>170</v>
      </c>
      <c r="G25" s="188" t="s">
        <v>171</v>
      </c>
      <c r="H25" s="187" t="n">
        <v>46080</v>
      </c>
      <c r="I25" s="188" t="s">
        <v>113</v>
      </c>
      <c r="J25" s="188" t="s">
        <v>108</v>
      </c>
      <c r="K25" s="188" t="s">
        <v>173</v>
      </c>
      <c r="L25" s="188" t="s">
        <v>144</v>
      </c>
      <c r="M25" s="188" t="s">
        <v>174</v>
      </c>
      <c r="N25" s="188" t="s">
        <v>175</v>
      </c>
      <c r="O25" s="188" t="s">
        <v>172</v>
      </c>
      <c r="P25" s="188" t="s">
        <v>111</v>
      </c>
      <c r="Q25" s="188" t="s">
        <v>112</v>
      </c>
      <c r="R25" s="188" t="s">
        <v>22</v>
      </c>
      <c r="S25" s="188" t="s">
        <v>152</v>
      </c>
      <c r="T25" s="188" t="s">
        <v>180</v>
      </c>
      <c r="U25" s="188" t="s">
        <v>122</v>
      </c>
      <c r="V25" s="188" t="s">
        <v>123</v>
      </c>
      <c r="W25" s="188" t="s">
        <v>124</v>
      </c>
      <c r="X25" s="188" t="s">
        <v>176</v>
      </c>
      <c r="Y25" s="188" t="s">
        <v>1035</v>
      </c>
      <c r="Z25" s="0" t="n">
        <v>3</v>
      </c>
      <c r="AA25" s="188" t="s">
        <v>1057</v>
      </c>
    </row>
    <row r="26" customFormat="false" ht="15" hidden="false" customHeight="true" outlineLevel="0" collapsed="false">
      <c r="A26" s="0" t="n">
        <v>5</v>
      </c>
      <c r="B26" s="187" t="n">
        <v>46084.5274476523</v>
      </c>
      <c r="C26" s="187" t="n">
        <v>46084.5439754301</v>
      </c>
      <c r="D26" s="188" t="s">
        <v>169</v>
      </c>
      <c r="E26" s="188" t="s">
        <v>170</v>
      </c>
      <c r="F26" s="188" t="s">
        <v>170</v>
      </c>
      <c r="G26" s="188" t="s">
        <v>171</v>
      </c>
      <c r="H26" s="187" t="n">
        <v>46080</v>
      </c>
      <c r="I26" s="188" t="s">
        <v>113</v>
      </c>
      <c r="J26" s="188" t="s">
        <v>108</v>
      </c>
      <c r="K26" s="188" t="s">
        <v>173</v>
      </c>
      <c r="L26" s="188" t="s">
        <v>144</v>
      </c>
      <c r="M26" s="188" t="s">
        <v>174</v>
      </c>
      <c r="N26" s="188" t="s">
        <v>175</v>
      </c>
      <c r="O26" s="188" t="s">
        <v>172</v>
      </c>
      <c r="P26" s="188" t="s">
        <v>111</v>
      </c>
      <c r="Q26" s="188" t="s">
        <v>112</v>
      </c>
      <c r="R26" s="188" t="s">
        <v>22</v>
      </c>
      <c r="S26" s="188" t="s">
        <v>152</v>
      </c>
      <c r="T26" s="188" t="s">
        <v>180</v>
      </c>
      <c r="U26" s="188" t="s">
        <v>122</v>
      </c>
      <c r="V26" s="188" t="s">
        <v>123</v>
      </c>
      <c r="W26" s="188" t="s">
        <v>124</v>
      </c>
      <c r="X26" s="188" t="s">
        <v>176</v>
      </c>
      <c r="Y26" s="188" t="s">
        <v>1037</v>
      </c>
      <c r="Z26" s="0" t="n">
        <v>1</v>
      </c>
      <c r="AA26" s="188" t="s">
        <v>1058</v>
      </c>
    </row>
    <row r="27" customFormat="false" ht="15" hidden="false" customHeight="true" outlineLevel="0" collapsed="false">
      <c r="A27" s="0" t="n">
        <v>5</v>
      </c>
      <c r="B27" s="187" t="n">
        <v>46084.5274476523</v>
      </c>
      <c r="C27" s="187" t="n">
        <v>46084.5439754301</v>
      </c>
      <c r="D27" s="188" t="s">
        <v>169</v>
      </c>
      <c r="E27" s="188" t="s">
        <v>170</v>
      </c>
      <c r="F27" s="188" t="s">
        <v>170</v>
      </c>
      <c r="G27" s="188" t="s">
        <v>171</v>
      </c>
      <c r="H27" s="187" t="n">
        <v>46080</v>
      </c>
      <c r="I27" s="188" t="s">
        <v>113</v>
      </c>
      <c r="J27" s="188" t="s">
        <v>108</v>
      </c>
      <c r="K27" s="188" t="s">
        <v>173</v>
      </c>
      <c r="L27" s="188" t="s">
        <v>144</v>
      </c>
      <c r="M27" s="188" t="s">
        <v>174</v>
      </c>
      <c r="N27" s="188" t="s">
        <v>175</v>
      </c>
      <c r="O27" s="188" t="s">
        <v>172</v>
      </c>
      <c r="P27" s="188" t="s">
        <v>111</v>
      </c>
      <c r="Q27" s="188" t="s">
        <v>112</v>
      </c>
      <c r="R27" s="188" t="s">
        <v>22</v>
      </c>
      <c r="S27" s="188" t="s">
        <v>152</v>
      </c>
      <c r="T27" s="188" t="s">
        <v>180</v>
      </c>
      <c r="U27" s="188" t="s">
        <v>122</v>
      </c>
      <c r="V27" s="188" t="s">
        <v>123</v>
      </c>
      <c r="W27" s="188" t="s">
        <v>124</v>
      </c>
      <c r="X27" s="188" t="s">
        <v>176</v>
      </c>
      <c r="Y27" s="188" t="s">
        <v>1037</v>
      </c>
      <c r="Z27" s="0" t="n">
        <v>2</v>
      </c>
      <c r="AA27" s="188" t="s">
        <v>122</v>
      </c>
    </row>
    <row r="28" customFormat="false" ht="15" hidden="false" customHeight="true" outlineLevel="0" collapsed="false">
      <c r="A28" s="0" t="n">
        <v>5</v>
      </c>
      <c r="B28" s="187" t="n">
        <v>46084.5274476523</v>
      </c>
      <c r="C28" s="187" t="n">
        <v>46084.5439754301</v>
      </c>
      <c r="D28" s="188" t="s">
        <v>169</v>
      </c>
      <c r="E28" s="188" t="s">
        <v>170</v>
      </c>
      <c r="F28" s="188" t="s">
        <v>170</v>
      </c>
      <c r="G28" s="188" t="s">
        <v>171</v>
      </c>
      <c r="H28" s="187" t="n">
        <v>46080</v>
      </c>
      <c r="I28" s="188" t="s">
        <v>113</v>
      </c>
      <c r="J28" s="188" t="s">
        <v>108</v>
      </c>
      <c r="K28" s="188" t="s">
        <v>173</v>
      </c>
      <c r="L28" s="188" t="s">
        <v>144</v>
      </c>
      <c r="M28" s="188" t="s">
        <v>174</v>
      </c>
      <c r="N28" s="188" t="s">
        <v>175</v>
      </c>
      <c r="O28" s="188" t="s">
        <v>172</v>
      </c>
      <c r="P28" s="188" t="s">
        <v>111</v>
      </c>
      <c r="Q28" s="188" t="s">
        <v>112</v>
      </c>
      <c r="R28" s="188" t="s">
        <v>22</v>
      </c>
      <c r="S28" s="188" t="s">
        <v>152</v>
      </c>
      <c r="T28" s="188" t="s">
        <v>180</v>
      </c>
      <c r="U28" s="188" t="s">
        <v>122</v>
      </c>
      <c r="V28" s="188" t="s">
        <v>123</v>
      </c>
      <c r="W28" s="188" t="s">
        <v>124</v>
      </c>
      <c r="X28" s="188" t="s">
        <v>176</v>
      </c>
      <c r="Y28" s="188" t="s">
        <v>1040</v>
      </c>
      <c r="Z28" s="0" t="n">
        <v>1</v>
      </c>
      <c r="AA28" s="188" t="s">
        <v>1059</v>
      </c>
    </row>
    <row r="29" customFormat="false" ht="15" hidden="false" customHeight="true" outlineLevel="0" collapsed="false">
      <c r="A29" s="0" t="n">
        <v>6</v>
      </c>
      <c r="B29" s="187" t="n">
        <v>46050.7383417041</v>
      </c>
      <c r="C29" s="187" t="n">
        <v>46050.7471148523</v>
      </c>
      <c r="D29" s="188" t="s">
        <v>181</v>
      </c>
      <c r="E29" s="188" t="s">
        <v>182</v>
      </c>
      <c r="F29" s="188" t="s">
        <v>182</v>
      </c>
      <c r="G29" s="188" t="s">
        <v>183</v>
      </c>
      <c r="H29" s="187" t="n">
        <v>46030</v>
      </c>
      <c r="I29" s="188" t="s">
        <v>113</v>
      </c>
      <c r="J29" s="188" t="s">
        <v>128</v>
      </c>
      <c r="K29" s="188" t="s">
        <v>143</v>
      </c>
      <c r="L29" s="188" t="s">
        <v>184</v>
      </c>
      <c r="M29" s="188" t="s">
        <v>185</v>
      </c>
      <c r="N29" s="188" t="s">
        <v>186</v>
      </c>
      <c r="O29" s="188" t="s">
        <v>172</v>
      </c>
      <c r="P29" s="188" t="s">
        <v>111</v>
      </c>
      <c r="Q29" s="188" t="s">
        <v>112</v>
      </c>
      <c r="R29" s="188" t="s">
        <v>21</v>
      </c>
      <c r="S29" s="188" t="s">
        <v>152</v>
      </c>
      <c r="T29" s="188" t="s">
        <v>121</v>
      </c>
      <c r="U29" s="188" t="s">
        <v>191</v>
      </c>
      <c r="V29" s="188" t="s">
        <v>192</v>
      </c>
      <c r="W29" s="188" t="s">
        <v>124</v>
      </c>
      <c r="X29" s="188" t="s">
        <v>187</v>
      </c>
      <c r="Y29" s="188" t="s">
        <v>1035</v>
      </c>
      <c r="Z29" s="0" t="n">
        <v>1</v>
      </c>
      <c r="AA29" s="188" t="s">
        <v>1060</v>
      </c>
    </row>
    <row r="30" customFormat="false" ht="15" hidden="false" customHeight="true" outlineLevel="0" collapsed="false">
      <c r="A30" s="0" t="n">
        <v>6</v>
      </c>
      <c r="B30" s="187" t="n">
        <v>46050.7383417041</v>
      </c>
      <c r="C30" s="187" t="n">
        <v>46050.7471148523</v>
      </c>
      <c r="D30" s="188" t="s">
        <v>181</v>
      </c>
      <c r="E30" s="188" t="s">
        <v>182</v>
      </c>
      <c r="F30" s="188" t="s">
        <v>182</v>
      </c>
      <c r="G30" s="188" t="s">
        <v>183</v>
      </c>
      <c r="H30" s="187" t="n">
        <v>46030</v>
      </c>
      <c r="I30" s="188" t="s">
        <v>113</v>
      </c>
      <c r="J30" s="188" t="s">
        <v>128</v>
      </c>
      <c r="K30" s="188" t="s">
        <v>143</v>
      </c>
      <c r="L30" s="188" t="s">
        <v>184</v>
      </c>
      <c r="M30" s="188" t="s">
        <v>185</v>
      </c>
      <c r="N30" s="188" t="s">
        <v>186</v>
      </c>
      <c r="O30" s="188" t="s">
        <v>172</v>
      </c>
      <c r="P30" s="188" t="s">
        <v>111</v>
      </c>
      <c r="Q30" s="188" t="s">
        <v>112</v>
      </c>
      <c r="R30" s="188" t="s">
        <v>21</v>
      </c>
      <c r="S30" s="188" t="s">
        <v>152</v>
      </c>
      <c r="T30" s="188" t="s">
        <v>121</v>
      </c>
      <c r="U30" s="188" t="s">
        <v>191</v>
      </c>
      <c r="V30" s="188" t="s">
        <v>192</v>
      </c>
      <c r="W30" s="188" t="s">
        <v>124</v>
      </c>
      <c r="X30" s="188" t="s">
        <v>187</v>
      </c>
      <c r="Y30" s="188" t="s">
        <v>1037</v>
      </c>
      <c r="Z30" s="0" t="n">
        <v>1</v>
      </c>
      <c r="AA30" s="188" t="s">
        <v>1061</v>
      </c>
    </row>
    <row r="31" customFormat="false" ht="15" hidden="false" customHeight="true" outlineLevel="0" collapsed="false">
      <c r="A31" s="0" t="n">
        <v>6</v>
      </c>
      <c r="B31" s="187" t="n">
        <v>46050.7383417041</v>
      </c>
      <c r="C31" s="187" t="n">
        <v>46050.7471148523</v>
      </c>
      <c r="D31" s="188" t="s">
        <v>181</v>
      </c>
      <c r="E31" s="188" t="s">
        <v>182</v>
      </c>
      <c r="F31" s="188" t="s">
        <v>182</v>
      </c>
      <c r="G31" s="188" t="s">
        <v>183</v>
      </c>
      <c r="H31" s="187" t="n">
        <v>46030</v>
      </c>
      <c r="I31" s="188" t="s">
        <v>113</v>
      </c>
      <c r="J31" s="188" t="s">
        <v>128</v>
      </c>
      <c r="K31" s="188" t="s">
        <v>143</v>
      </c>
      <c r="L31" s="188" t="s">
        <v>184</v>
      </c>
      <c r="M31" s="188" t="s">
        <v>185</v>
      </c>
      <c r="N31" s="188" t="s">
        <v>186</v>
      </c>
      <c r="O31" s="188" t="s">
        <v>172</v>
      </c>
      <c r="P31" s="188" t="s">
        <v>111</v>
      </c>
      <c r="Q31" s="188" t="s">
        <v>112</v>
      </c>
      <c r="R31" s="188" t="s">
        <v>21</v>
      </c>
      <c r="S31" s="188" t="s">
        <v>152</v>
      </c>
      <c r="T31" s="188" t="s">
        <v>121</v>
      </c>
      <c r="U31" s="188" t="s">
        <v>191</v>
      </c>
      <c r="V31" s="188" t="s">
        <v>192</v>
      </c>
      <c r="W31" s="188" t="s">
        <v>124</v>
      </c>
      <c r="X31" s="188" t="s">
        <v>187</v>
      </c>
      <c r="Y31" s="188" t="s">
        <v>1040</v>
      </c>
      <c r="Z31" s="0" t="n">
        <v>1</v>
      </c>
      <c r="AA31" s="188" t="s">
        <v>1062</v>
      </c>
    </row>
    <row r="32" customFormat="false" ht="15" hidden="false" customHeight="true" outlineLevel="0" collapsed="false">
      <c r="A32" s="0" t="n">
        <v>7</v>
      </c>
      <c r="B32" s="187" t="n">
        <v>46144.0024456155</v>
      </c>
      <c r="C32" s="187" t="n">
        <v>46144.0150382081</v>
      </c>
      <c r="D32" s="188" t="s">
        <v>193</v>
      </c>
      <c r="E32" s="188" t="s">
        <v>194</v>
      </c>
      <c r="F32" s="188" t="s">
        <v>194</v>
      </c>
      <c r="G32" s="188" t="s">
        <v>195</v>
      </c>
      <c r="H32" s="187" t="n">
        <v>46141</v>
      </c>
      <c r="I32" s="188" t="s">
        <v>113</v>
      </c>
      <c r="J32" s="188" t="s">
        <v>108</v>
      </c>
      <c r="K32" s="188" t="s">
        <v>196</v>
      </c>
      <c r="L32" s="188" t="s">
        <v>197</v>
      </c>
      <c r="M32" s="188" t="s">
        <v>199</v>
      </c>
      <c r="N32" s="188" t="s">
        <v>200</v>
      </c>
      <c r="O32" s="188" t="s">
        <v>107</v>
      </c>
      <c r="P32" s="188" t="s">
        <v>111</v>
      </c>
      <c r="Q32" s="188" t="s">
        <v>198</v>
      </c>
      <c r="R32" s="188" t="s">
        <v>22</v>
      </c>
      <c r="S32" s="188" t="s">
        <v>152</v>
      </c>
      <c r="T32" s="188" t="s">
        <v>121</v>
      </c>
      <c r="U32" s="188" t="s">
        <v>204</v>
      </c>
      <c r="V32" s="188" t="s">
        <v>123</v>
      </c>
      <c r="W32" s="188" t="s">
        <v>168</v>
      </c>
      <c r="X32" s="188" t="s">
        <v>148</v>
      </c>
      <c r="Y32" s="188" t="s">
        <v>1035</v>
      </c>
      <c r="Z32" s="0" t="n">
        <v>1</v>
      </c>
      <c r="AA32" s="188" t="s">
        <v>1063</v>
      </c>
    </row>
    <row r="33" customFormat="false" ht="15" hidden="false" customHeight="true" outlineLevel="0" collapsed="false">
      <c r="A33" s="0" t="n">
        <v>7</v>
      </c>
      <c r="B33" s="187" t="n">
        <v>46144.0024456155</v>
      </c>
      <c r="C33" s="187" t="n">
        <v>46144.0150382081</v>
      </c>
      <c r="D33" s="188" t="s">
        <v>193</v>
      </c>
      <c r="E33" s="188" t="s">
        <v>194</v>
      </c>
      <c r="F33" s="188" t="s">
        <v>194</v>
      </c>
      <c r="G33" s="188" t="s">
        <v>195</v>
      </c>
      <c r="H33" s="187" t="n">
        <v>46141</v>
      </c>
      <c r="I33" s="188" t="s">
        <v>113</v>
      </c>
      <c r="J33" s="188" t="s">
        <v>108</v>
      </c>
      <c r="K33" s="188" t="s">
        <v>196</v>
      </c>
      <c r="L33" s="188" t="s">
        <v>197</v>
      </c>
      <c r="M33" s="188" t="s">
        <v>199</v>
      </c>
      <c r="N33" s="188" t="s">
        <v>200</v>
      </c>
      <c r="O33" s="188" t="s">
        <v>107</v>
      </c>
      <c r="P33" s="188" t="s">
        <v>111</v>
      </c>
      <c r="Q33" s="188" t="s">
        <v>198</v>
      </c>
      <c r="R33" s="188" t="s">
        <v>22</v>
      </c>
      <c r="S33" s="188" t="s">
        <v>152</v>
      </c>
      <c r="T33" s="188" t="s">
        <v>121</v>
      </c>
      <c r="U33" s="188" t="s">
        <v>204</v>
      </c>
      <c r="V33" s="188" t="s">
        <v>123</v>
      </c>
      <c r="W33" s="188" t="s">
        <v>168</v>
      </c>
      <c r="X33" s="188" t="s">
        <v>148</v>
      </c>
      <c r="Y33" s="188" t="s">
        <v>1037</v>
      </c>
      <c r="Z33" s="0" t="n">
        <v>1</v>
      </c>
      <c r="AA33" s="188" t="s">
        <v>1064</v>
      </c>
    </row>
    <row r="34" customFormat="false" ht="41.25" hidden="false" customHeight="true" outlineLevel="0" collapsed="false">
      <c r="A34" s="0" t="n">
        <v>7</v>
      </c>
      <c r="B34" s="187" t="n">
        <v>46144.0024456155</v>
      </c>
      <c r="C34" s="187" t="n">
        <v>46144.0150382081</v>
      </c>
      <c r="D34" s="188" t="s">
        <v>193</v>
      </c>
      <c r="E34" s="188" t="s">
        <v>194</v>
      </c>
      <c r="F34" s="188" t="s">
        <v>194</v>
      </c>
      <c r="G34" s="188" t="s">
        <v>195</v>
      </c>
      <c r="H34" s="187" t="n">
        <v>46141</v>
      </c>
      <c r="I34" s="188" t="s">
        <v>113</v>
      </c>
      <c r="J34" s="188" t="s">
        <v>108</v>
      </c>
      <c r="K34" s="188" t="s">
        <v>196</v>
      </c>
      <c r="L34" s="188" t="s">
        <v>197</v>
      </c>
      <c r="M34" s="188" t="s">
        <v>199</v>
      </c>
      <c r="N34" s="188" t="s">
        <v>200</v>
      </c>
      <c r="O34" s="188" t="s">
        <v>107</v>
      </c>
      <c r="P34" s="188" t="s">
        <v>111</v>
      </c>
      <c r="Q34" s="188" t="s">
        <v>198</v>
      </c>
      <c r="R34" s="188" t="s">
        <v>22</v>
      </c>
      <c r="S34" s="188" t="s">
        <v>152</v>
      </c>
      <c r="T34" s="188" t="s">
        <v>121</v>
      </c>
      <c r="U34" s="188" t="s">
        <v>204</v>
      </c>
      <c r="V34" s="188" t="s">
        <v>123</v>
      </c>
      <c r="W34" s="188" t="s">
        <v>168</v>
      </c>
      <c r="X34" s="188" t="s">
        <v>148</v>
      </c>
      <c r="Y34" s="188" t="s">
        <v>1040</v>
      </c>
      <c r="Z34" s="0" t="n">
        <v>1</v>
      </c>
      <c r="AA34" s="188" t="s">
        <v>1065</v>
      </c>
    </row>
    <row r="35" customFormat="false" ht="41.25" hidden="false" customHeight="true" outlineLevel="0" collapsed="false">
      <c r="A35" s="0" t="n">
        <v>7</v>
      </c>
      <c r="B35" s="187" t="n">
        <v>46144.0024456155</v>
      </c>
      <c r="C35" s="187" t="n">
        <v>46144.0150382081</v>
      </c>
      <c r="D35" s="188" t="s">
        <v>193</v>
      </c>
      <c r="E35" s="188" t="s">
        <v>194</v>
      </c>
      <c r="F35" s="188" t="s">
        <v>194</v>
      </c>
      <c r="G35" s="188" t="s">
        <v>195</v>
      </c>
      <c r="H35" s="187" t="n">
        <v>46141</v>
      </c>
      <c r="I35" s="188" t="s">
        <v>113</v>
      </c>
      <c r="J35" s="188" t="s">
        <v>108</v>
      </c>
      <c r="K35" s="188" t="s">
        <v>196</v>
      </c>
      <c r="L35" s="188" t="s">
        <v>197</v>
      </c>
      <c r="M35" s="188" t="s">
        <v>199</v>
      </c>
      <c r="N35" s="188" t="s">
        <v>200</v>
      </c>
      <c r="O35" s="188" t="s">
        <v>107</v>
      </c>
      <c r="P35" s="188" t="s">
        <v>111</v>
      </c>
      <c r="Q35" s="188" t="s">
        <v>198</v>
      </c>
      <c r="R35" s="188" t="s">
        <v>22</v>
      </c>
      <c r="S35" s="188" t="s">
        <v>152</v>
      </c>
      <c r="T35" s="188" t="s">
        <v>121</v>
      </c>
      <c r="U35" s="188" t="s">
        <v>204</v>
      </c>
      <c r="V35" s="188" t="s">
        <v>123</v>
      </c>
      <c r="W35" s="188" t="s">
        <v>168</v>
      </c>
      <c r="X35" s="188" t="s">
        <v>148</v>
      </c>
      <c r="Y35" s="188" t="s">
        <v>1040</v>
      </c>
      <c r="Z35" s="0" t="n">
        <v>2</v>
      </c>
      <c r="AA35" s="188" t="s">
        <v>1051</v>
      </c>
    </row>
    <row r="36" customFormat="false" ht="41.25" hidden="false" customHeight="true" outlineLevel="0" collapsed="false">
      <c r="A36" s="0" t="n">
        <v>8</v>
      </c>
      <c r="B36" s="187" t="n">
        <v>46056.5936416143</v>
      </c>
      <c r="C36" s="187" t="n">
        <v>46056.5953777255</v>
      </c>
      <c r="D36" s="188" t="s">
        <v>206</v>
      </c>
      <c r="E36" s="188" t="s">
        <v>207</v>
      </c>
      <c r="F36" s="188" t="s">
        <v>207</v>
      </c>
      <c r="G36" s="188" t="s">
        <v>208</v>
      </c>
      <c r="H36" s="187" t="n">
        <v>46049</v>
      </c>
      <c r="I36" s="188" t="s">
        <v>113</v>
      </c>
      <c r="J36" s="188" t="s">
        <v>108</v>
      </c>
      <c r="K36" s="188" t="s">
        <v>209</v>
      </c>
      <c r="L36" s="188" t="s">
        <v>210</v>
      </c>
      <c r="M36" s="188" t="s">
        <v>212</v>
      </c>
      <c r="N36" s="188" t="s">
        <v>213</v>
      </c>
      <c r="O36" s="188" t="s">
        <v>107</v>
      </c>
      <c r="P36" s="188" t="s">
        <v>211</v>
      </c>
      <c r="Q36" s="188" t="s">
        <v>112</v>
      </c>
      <c r="R36" s="188" t="s">
        <v>24</v>
      </c>
      <c r="S36" s="188" t="s">
        <v>152</v>
      </c>
      <c r="T36" s="188" t="s">
        <v>121</v>
      </c>
      <c r="U36" s="188" t="s">
        <v>218</v>
      </c>
      <c r="V36" s="188" t="s">
        <v>123</v>
      </c>
      <c r="W36" s="188" t="s">
        <v>124</v>
      </c>
      <c r="X36" s="188" t="s">
        <v>214</v>
      </c>
      <c r="Y36" s="188" t="s">
        <v>1035</v>
      </c>
      <c r="Z36" s="0" t="n">
        <v>1</v>
      </c>
      <c r="AA36" s="188" t="s">
        <v>1066</v>
      </c>
    </row>
    <row r="37" customFormat="false" ht="41.25" hidden="false" customHeight="true" outlineLevel="0" collapsed="false">
      <c r="A37" s="0" t="n">
        <v>8</v>
      </c>
      <c r="B37" s="187" t="n">
        <v>46056.5936416143</v>
      </c>
      <c r="C37" s="187" t="n">
        <v>46056.5953777255</v>
      </c>
      <c r="D37" s="188" t="s">
        <v>206</v>
      </c>
      <c r="E37" s="188" t="s">
        <v>207</v>
      </c>
      <c r="F37" s="188" t="s">
        <v>207</v>
      </c>
      <c r="G37" s="188" t="s">
        <v>208</v>
      </c>
      <c r="H37" s="187" t="n">
        <v>46049</v>
      </c>
      <c r="I37" s="188" t="s">
        <v>113</v>
      </c>
      <c r="J37" s="188" t="s">
        <v>108</v>
      </c>
      <c r="K37" s="188" t="s">
        <v>209</v>
      </c>
      <c r="L37" s="188" t="s">
        <v>210</v>
      </c>
      <c r="M37" s="188" t="s">
        <v>212</v>
      </c>
      <c r="N37" s="188" t="s">
        <v>213</v>
      </c>
      <c r="O37" s="188" t="s">
        <v>107</v>
      </c>
      <c r="P37" s="188" t="s">
        <v>211</v>
      </c>
      <c r="Q37" s="188" t="s">
        <v>112</v>
      </c>
      <c r="R37" s="188" t="s">
        <v>24</v>
      </c>
      <c r="S37" s="188" t="s">
        <v>152</v>
      </c>
      <c r="T37" s="188" t="s">
        <v>121</v>
      </c>
      <c r="U37" s="188" t="s">
        <v>218</v>
      </c>
      <c r="V37" s="188" t="s">
        <v>123</v>
      </c>
      <c r="W37" s="188" t="s">
        <v>124</v>
      </c>
      <c r="X37" s="188" t="s">
        <v>214</v>
      </c>
      <c r="Y37" s="188" t="s">
        <v>1035</v>
      </c>
      <c r="Z37" s="0" t="n">
        <v>2</v>
      </c>
      <c r="AA37" s="188" t="s">
        <v>1036</v>
      </c>
    </row>
    <row r="38" customFormat="false" ht="41.25" hidden="false" customHeight="true" outlineLevel="0" collapsed="false">
      <c r="A38" s="0" t="n">
        <v>8</v>
      </c>
      <c r="B38" s="187" t="n">
        <v>46056.5936416143</v>
      </c>
      <c r="C38" s="187" t="n">
        <v>46056.5953777255</v>
      </c>
      <c r="D38" s="188" t="s">
        <v>206</v>
      </c>
      <c r="E38" s="188" t="s">
        <v>207</v>
      </c>
      <c r="F38" s="188" t="s">
        <v>207</v>
      </c>
      <c r="G38" s="188" t="s">
        <v>208</v>
      </c>
      <c r="H38" s="187" t="n">
        <v>46049</v>
      </c>
      <c r="I38" s="188" t="s">
        <v>113</v>
      </c>
      <c r="J38" s="188" t="s">
        <v>108</v>
      </c>
      <c r="K38" s="188" t="s">
        <v>209</v>
      </c>
      <c r="L38" s="188" t="s">
        <v>210</v>
      </c>
      <c r="M38" s="188" t="s">
        <v>212</v>
      </c>
      <c r="N38" s="188" t="s">
        <v>213</v>
      </c>
      <c r="O38" s="188" t="s">
        <v>107</v>
      </c>
      <c r="P38" s="188" t="s">
        <v>211</v>
      </c>
      <c r="Q38" s="188" t="s">
        <v>112</v>
      </c>
      <c r="R38" s="188" t="s">
        <v>24</v>
      </c>
      <c r="S38" s="188" t="s">
        <v>152</v>
      </c>
      <c r="T38" s="188" t="s">
        <v>121</v>
      </c>
      <c r="U38" s="188" t="s">
        <v>218</v>
      </c>
      <c r="V38" s="188" t="s">
        <v>123</v>
      </c>
      <c r="W38" s="188" t="s">
        <v>124</v>
      </c>
      <c r="X38" s="188" t="s">
        <v>214</v>
      </c>
      <c r="Y38" s="188" t="s">
        <v>1037</v>
      </c>
      <c r="Z38" s="0" t="n">
        <v>1</v>
      </c>
      <c r="AA38" s="188" t="s">
        <v>1038</v>
      </c>
    </row>
    <row r="39" customFormat="false" ht="15" hidden="false" customHeight="true" outlineLevel="0" collapsed="false">
      <c r="A39" s="0" t="n">
        <v>8</v>
      </c>
      <c r="B39" s="187" t="n">
        <v>46056.5936416143</v>
      </c>
      <c r="C39" s="187" t="n">
        <v>46056.5953777255</v>
      </c>
      <c r="D39" s="188" t="s">
        <v>206</v>
      </c>
      <c r="E39" s="188" t="s">
        <v>207</v>
      </c>
      <c r="F39" s="188" t="s">
        <v>207</v>
      </c>
      <c r="G39" s="188" t="s">
        <v>208</v>
      </c>
      <c r="H39" s="187" t="n">
        <v>46049</v>
      </c>
      <c r="I39" s="188" t="s">
        <v>113</v>
      </c>
      <c r="J39" s="188" t="s">
        <v>108</v>
      </c>
      <c r="K39" s="188" t="s">
        <v>209</v>
      </c>
      <c r="L39" s="188" t="s">
        <v>210</v>
      </c>
      <c r="M39" s="188" t="s">
        <v>212</v>
      </c>
      <c r="N39" s="188" t="s">
        <v>213</v>
      </c>
      <c r="O39" s="188" t="s">
        <v>107</v>
      </c>
      <c r="P39" s="188" t="s">
        <v>211</v>
      </c>
      <c r="Q39" s="188" t="s">
        <v>112</v>
      </c>
      <c r="R39" s="188" t="s">
        <v>24</v>
      </c>
      <c r="S39" s="188" t="s">
        <v>152</v>
      </c>
      <c r="T39" s="188" t="s">
        <v>121</v>
      </c>
      <c r="U39" s="188" t="s">
        <v>218</v>
      </c>
      <c r="V39" s="188" t="s">
        <v>123</v>
      </c>
      <c r="W39" s="188" t="s">
        <v>124</v>
      </c>
      <c r="X39" s="188" t="s">
        <v>214</v>
      </c>
      <c r="Y39" s="188" t="s">
        <v>1040</v>
      </c>
      <c r="Z39" s="0" t="n">
        <v>1</v>
      </c>
      <c r="AA39" s="188" t="s">
        <v>1041</v>
      </c>
    </row>
    <row r="40" customFormat="false" ht="15" hidden="false" customHeight="true" outlineLevel="0" collapsed="false">
      <c r="A40" s="0" t="n">
        <v>8</v>
      </c>
      <c r="B40" s="187" t="n">
        <v>46056.5936416143</v>
      </c>
      <c r="C40" s="187" t="n">
        <v>46056.5953777255</v>
      </c>
      <c r="D40" s="188" t="s">
        <v>206</v>
      </c>
      <c r="E40" s="188" t="s">
        <v>207</v>
      </c>
      <c r="F40" s="188" t="s">
        <v>207</v>
      </c>
      <c r="G40" s="188" t="s">
        <v>208</v>
      </c>
      <c r="H40" s="187" t="n">
        <v>46049</v>
      </c>
      <c r="I40" s="188" t="s">
        <v>113</v>
      </c>
      <c r="J40" s="188" t="s">
        <v>108</v>
      </c>
      <c r="K40" s="188" t="s">
        <v>209</v>
      </c>
      <c r="L40" s="188" t="s">
        <v>210</v>
      </c>
      <c r="M40" s="188" t="s">
        <v>212</v>
      </c>
      <c r="N40" s="188" t="s">
        <v>213</v>
      </c>
      <c r="O40" s="188" t="s">
        <v>107</v>
      </c>
      <c r="P40" s="188" t="s">
        <v>211</v>
      </c>
      <c r="Q40" s="188" t="s">
        <v>112</v>
      </c>
      <c r="R40" s="188" t="s">
        <v>24</v>
      </c>
      <c r="S40" s="188" t="s">
        <v>152</v>
      </c>
      <c r="T40" s="188" t="s">
        <v>121</v>
      </c>
      <c r="U40" s="188" t="s">
        <v>218</v>
      </c>
      <c r="V40" s="188" t="s">
        <v>123</v>
      </c>
      <c r="W40" s="188" t="s">
        <v>124</v>
      </c>
      <c r="X40" s="188" t="s">
        <v>214</v>
      </c>
      <c r="Y40" s="188" t="s">
        <v>1040</v>
      </c>
      <c r="Z40" s="0" t="n">
        <v>2</v>
      </c>
      <c r="AA40" s="188" t="s">
        <v>122</v>
      </c>
    </row>
    <row r="41" customFormat="false" ht="15" hidden="false" customHeight="true" outlineLevel="0" collapsed="false">
      <c r="A41" s="0" t="n">
        <v>9</v>
      </c>
      <c r="B41" s="187" t="n">
        <v>46068.906883864</v>
      </c>
      <c r="C41" s="187" t="n">
        <v>46068.9101709011</v>
      </c>
      <c r="D41" s="188" t="s">
        <v>220</v>
      </c>
      <c r="E41" s="188" t="s">
        <v>221</v>
      </c>
      <c r="F41" s="188" t="s">
        <v>221</v>
      </c>
      <c r="G41" s="188" t="s">
        <v>222</v>
      </c>
      <c r="H41" s="187" t="n">
        <v>46049</v>
      </c>
      <c r="I41" s="188" t="s">
        <v>113</v>
      </c>
      <c r="J41" s="188" t="s">
        <v>128</v>
      </c>
      <c r="K41" s="188" t="s">
        <v>143</v>
      </c>
      <c r="L41" s="188" t="s">
        <v>197</v>
      </c>
      <c r="M41" s="188" t="s">
        <v>144</v>
      </c>
      <c r="N41" s="188" t="s">
        <v>147</v>
      </c>
      <c r="O41" s="188" t="s">
        <v>107</v>
      </c>
      <c r="P41" s="188" t="s">
        <v>111</v>
      </c>
      <c r="Q41" s="188" t="s">
        <v>112</v>
      </c>
      <c r="R41" s="188" t="s">
        <v>24</v>
      </c>
      <c r="S41" s="188" t="s">
        <v>227</v>
      </c>
      <c r="T41" s="188" t="s">
        <v>228</v>
      </c>
      <c r="U41" s="188" t="s">
        <v>122</v>
      </c>
      <c r="V41" s="188" t="s">
        <v>192</v>
      </c>
      <c r="W41" s="188" t="s">
        <v>124</v>
      </c>
      <c r="X41" s="188" t="s">
        <v>223</v>
      </c>
      <c r="Y41" s="188" t="s">
        <v>1035</v>
      </c>
      <c r="Z41" s="0" t="n">
        <v>1</v>
      </c>
      <c r="AA41" s="188" t="s">
        <v>1067</v>
      </c>
    </row>
    <row r="42" customFormat="false" ht="15" hidden="false" customHeight="true" outlineLevel="0" collapsed="false">
      <c r="A42" s="0" t="n">
        <v>9</v>
      </c>
      <c r="B42" s="187" t="n">
        <v>46068.906883864</v>
      </c>
      <c r="C42" s="187" t="n">
        <v>46068.9101709011</v>
      </c>
      <c r="D42" s="188" t="s">
        <v>220</v>
      </c>
      <c r="E42" s="188" t="s">
        <v>221</v>
      </c>
      <c r="F42" s="188" t="s">
        <v>221</v>
      </c>
      <c r="G42" s="188" t="s">
        <v>222</v>
      </c>
      <c r="H42" s="187" t="n">
        <v>46049</v>
      </c>
      <c r="I42" s="188" t="s">
        <v>113</v>
      </c>
      <c r="J42" s="188" t="s">
        <v>128</v>
      </c>
      <c r="K42" s="188" t="s">
        <v>143</v>
      </c>
      <c r="L42" s="188" t="s">
        <v>197</v>
      </c>
      <c r="M42" s="188" t="s">
        <v>144</v>
      </c>
      <c r="N42" s="188" t="s">
        <v>147</v>
      </c>
      <c r="O42" s="188" t="s">
        <v>107</v>
      </c>
      <c r="P42" s="188" t="s">
        <v>111</v>
      </c>
      <c r="Q42" s="188" t="s">
        <v>112</v>
      </c>
      <c r="R42" s="188" t="s">
        <v>24</v>
      </c>
      <c r="S42" s="188" t="s">
        <v>227</v>
      </c>
      <c r="T42" s="188" t="s">
        <v>228</v>
      </c>
      <c r="U42" s="188" t="s">
        <v>122</v>
      </c>
      <c r="V42" s="188" t="s">
        <v>192</v>
      </c>
      <c r="W42" s="188" t="s">
        <v>124</v>
      </c>
      <c r="X42" s="188" t="s">
        <v>223</v>
      </c>
      <c r="Y42" s="188" t="s">
        <v>1035</v>
      </c>
      <c r="Z42" s="0" t="n">
        <v>2</v>
      </c>
      <c r="AA42" s="188" t="s">
        <v>1068</v>
      </c>
    </row>
    <row r="43" customFormat="false" ht="15" hidden="false" customHeight="true" outlineLevel="0" collapsed="false">
      <c r="A43" s="0" t="n">
        <v>9</v>
      </c>
      <c r="B43" s="187" t="n">
        <v>46068.906883864</v>
      </c>
      <c r="C43" s="187" t="n">
        <v>46068.9101709011</v>
      </c>
      <c r="D43" s="188" t="s">
        <v>220</v>
      </c>
      <c r="E43" s="188" t="s">
        <v>221</v>
      </c>
      <c r="F43" s="188" t="s">
        <v>221</v>
      </c>
      <c r="G43" s="188" t="s">
        <v>222</v>
      </c>
      <c r="H43" s="187" t="n">
        <v>46049</v>
      </c>
      <c r="I43" s="188" t="s">
        <v>113</v>
      </c>
      <c r="J43" s="188" t="s">
        <v>128</v>
      </c>
      <c r="K43" s="188" t="s">
        <v>143</v>
      </c>
      <c r="L43" s="188" t="s">
        <v>197</v>
      </c>
      <c r="M43" s="188" t="s">
        <v>144</v>
      </c>
      <c r="N43" s="188" t="s">
        <v>147</v>
      </c>
      <c r="O43" s="188" t="s">
        <v>107</v>
      </c>
      <c r="P43" s="188" t="s">
        <v>111</v>
      </c>
      <c r="Q43" s="188" t="s">
        <v>112</v>
      </c>
      <c r="R43" s="188" t="s">
        <v>24</v>
      </c>
      <c r="S43" s="188" t="s">
        <v>227</v>
      </c>
      <c r="T43" s="188" t="s">
        <v>228</v>
      </c>
      <c r="U43" s="188" t="s">
        <v>122</v>
      </c>
      <c r="V43" s="188" t="s">
        <v>192</v>
      </c>
      <c r="W43" s="188" t="s">
        <v>124</v>
      </c>
      <c r="X43" s="188" t="s">
        <v>223</v>
      </c>
      <c r="Y43" s="188" t="s">
        <v>1035</v>
      </c>
      <c r="Z43" s="0" t="n">
        <v>3</v>
      </c>
      <c r="AA43" s="188" t="s">
        <v>1069</v>
      </c>
    </row>
    <row r="44" customFormat="false" ht="15" hidden="false" customHeight="true" outlineLevel="0" collapsed="false">
      <c r="A44" s="0" t="n">
        <v>9</v>
      </c>
      <c r="B44" s="187" t="n">
        <v>46068.906883864</v>
      </c>
      <c r="C44" s="187" t="n">
        <v>46068.9101709011</v>
      </c>
      <c r="D44" s="188" t="s">
        <v>220</v>
      </c>
      <c r="E44" s="188" t="s">
        <v>221</v>
      </c>
      <c r="F44" s="188" t="s">
        <v>221</v>
      </c>
      <c r="G44" s="188" t="s">
        <v>222</v>
      </c>
      <c r="H44" s="187" t="n">
        <v>46049</v>
      </c>
      <c r="I44" s="188" t="s">
        <v>113</v>
      </c>
      <c r="J44" s="188" t="s">
        <v>128</v>
      </c>
      <c r="K44" s="188" t="s">
        <v>143</v>
      </c>
      <c r="L44" s="188" t="s">
        <v>197</v>
      </c>
      <c r="M44" s="188" t="s">
        <v>144</v>
      </c>
      <c r="N44" s="188" t="s">
        <v>147</v>
      </c>
      <c r="O44" s="188" t="s">
        <v>107</v>
      </c>
      <c r="P44" s="188" t="s">
        <v>111</v>
      </c>
      <c r="Q44" s="188" t="s">
        <v>112</v>
      </c>
      <c r="R44" s="188" t="s">
        <v>24</v>
      </c>
      <c r="S44" s="188" t="s">
        <v>227</v>
      </c>
      <c r="T44" s="188" t="s">
        <v>228</v>
      </c>
      <c r="U44" s="188" t="s">
        <v>122</v>
      </c>
      <c r="V44" s="188" t="s">
        <v>192</v>
      </c>
      <c r="W44" s="188" t="s">
        <v>124</v>
      </c>
      <c r="X44" s="188" t="s">
        <v>223</v>
      </c>
      <c r="Y44" s="188" t="s">
        <v>1037</v>
      </c>
      <c r="Z44" s="0" t="n">
        <v>1</v>
      </c>
      <c r="AA44" s="188" t="s">
        <v>1070</v>
      </c>
    </row>
    <row r="45" customFormat="false" ht="15" hidden="false" customHeight="true" outlineLevel="0" collapsed="false">
      <c r="A45" s="0" t="n">
        <v>9</v>
      </c>
      <c r="B45" s="187" t="n">
        <v>46068.906883864</v>
      </c>
      <c r="C45" s="187" t="n">
        <v>46068.9101709011</v>
      </c>
      <c r="D45" s="188" t="s">
        <v>220</v>
      </c>
      <c r="E45" s="188" t="s">
        <v>221</v>
      </c>
      <c r="F45" s="188" t="s">
        <v>221</v>
      </c>
      <c r="G45" s="188" t="s">
        <v>222</v>
      </c>
      <c r="H45" s="187" t="n">
        <v>46049</v>
      </c>
      <c r="I45" s="188" t="s">
        <v>113</v>
      </c>
      <c r="J45" s="188" t="s">
        <v>128</v>
      </c>
      <c r="K45" s="188" t="s">
        <v>143</v>
      </c>
      <c r="L45" s="188" t="s">
        <v>197</v>
      </c>
      <c r="M45" s="188" t="s">
        <v>144</v>
      </c>
      <c r="N45" s="188" t="s">
        <v>147</v>
      </c>
      <c r="O45" s="188" t="s">
        <v>107</v>
      </c>
      <c r="P45" s="188" t="s">
        <v>111</v>
      </c>
      <c r="Q45" s="188" t="s">
        <v>112</v>
      </c>
      <c r="R45" s="188" t="s">
        <v>24</v>
      </c>
      <c r="S45" s="188" t="s">
        <v>227</v>
      </c>
      <c r="T45" s="188" t="s">
        <v>228</v>
      </c>
      <c r="U45" s="188" t="s">
        <v>122</v>
      </c>
      <c r="V45" s="188" t="s">
        <v>192</v>
      </c>
      <c r="W45" s="188" t="s">
        <v>124</v>
      </c>
      <c r="X45" s="188" t="s">
        <v>223</v>
      </c>
      <c r="Y45" s="188" t="s">
        <v>1037</v>
      </c>
      <c r="Z45" s="0" t="n">
        <v>2</v>
      </c>
      <c r="AA45" s="188" t="s">
        <v>1071</v>
      </c>
    </row>
    <row r="46" customFormat="false" ht="15" hidden="false" customHeight="true" outlineLevel="0" collapsed="false">
      <c r="A46" s="0" t="n">
        <v>9</v>
      </c>
      <c r="B46" s="187" t="n">
        <v>46068.906883864</v>
      </c>
      <c r="C46" s="187" t="n">
        <v>46068.9101709011</v>
      </c>
      <c r="D46" s="188" t="s">
        <v>220</v>
      </c>
      <c r="E46" s="188" t="s">
        <v>221</v>
      </c>
      <c r="F46" s="188" t="s">
        <v>221</v>
      </c>
      <c r="G46" s="188" t="s">
        <v>222</v>
      </c>
      <c r="H46" s="187" t="n">
        <v>46049</v>
      </c>
      <c r="I46" s="188" t="s">
        <v>113</v>
      </c>
      <c r="J46" s="188" t="s">
        <v>128</v>
      </c>
      <c r="K46" s="188" t="s">
        <v>143</v>
      </c>
      <c r="L46" s="188" t="s">
        <v>197</v>
      </c>
      <c r="M46" s="188" t="s">
        <v>144</v>
      </c>
      <c r="N46" s="188" t="s">
        <v>147</v>
      </c>
      <c r="O46" s="188" t="s">
        <v>107</v>
      </c>
      <c r="P46" s="188" t="s">
        <v>111</v>
      </c>
      <c r="Q46" s="188" t="s">
        <v>112</v>
      </c>
      <c r="R46" s="188" t="s">
        <v>24</v>
      </c>
      <c r="S46" s="188" t="s">
        <v>227</v>
      </c>
      <c r="T46" s="188" t="s">
        <v>228</v>
      </c>
      <c r="U46" s="188" t="s">
        <v>122</v>
      </c>
      <c r="V46" s="188" t="s">
        <v>192</v>
      </c>
      <c r="W46" s="188" t="s">
        <v>124</v>
      </c>
      <c r="X46" s="188" t="s">
        <v>223</v>
      </c>
      <c r="Y46" s="188" t="s">
        <v>1040</v>
      </c>
      <c r="Z46" s="0" t="n">
        <v>1</v>
      </c>
      <c r="AA46" s="188" t="s">
        <v>1072</v>
      </c>
    </row>
    <row r="47" customFormat="false" ht="15" hidden="false" customHeight="true" outlineLevel="0" collapsed="false">
      <c r="A47" s="0" t="n">
        <v>9</v>
      </c>
      <c r="B47" s="187" t="n">
        <v>46068.906883864</v>
      </c>
      <c r="C47" s="187" t="n">
        <v>46068.9101709011</v>
      </c>
      <c r="D47" s="188" t="s">
        <v>220</v>
      </c>
      <c r="E47" s="188" t="s">
        <v>221</v>
      </c>
      <c r="F47" s="188" t="s">
        <v>221</v>
      </c>
      <c r="G47" s="188" t="s">
        <v>222</v>
      </c>
      <c r="H47" s="187" t="n">
        <v>46049</v>
      </c>
      <c r="I47" s="188" t="s">
        <v>113</v>
      </c>
      <c r="J47" s="188" t="s">
        <v>128</v>
      </c>
      <c r="K47" s="188" t="s">
        <v>143</v>
      </c>
      <c r="L47" s="188" t="s">
        <v>197</v>
      </c>
      <c r="M47" s="188" t="s">
        <v>144</v>
      </c>
      <c r="N47" s="188" t="s">
        <v>147</v>
      </c>
      <c r="O47" s="188" t="s">
        <v>107</v>
      </c>
      <c r="P47" s="188" t="s">
        <v>111</v>
      </c>
      <c r="Q47" s="188" t="s">
        <v>112</v>
      </c>
      <c r="R47" s="188" t="s">
        <v>24</v>
      </c>
      <c r="S47" s="188" t="s">
        <v>227</v>
      </c>
      <c r="T47" s="188" t="s">
        <v>228</v>
      </c>
      <c r="U47" s="188" t="s">
        <v>122</v>
      </c>
      <c r="V47" s="188" t="s">
        <v>192</v>
      </c>
      <c r="W47" s="188" t="s">
        <v>124</v>
      </c>
      <c r="X47" s="188" t="s">
        <v>223</v>
      </c>
      <c r="Y47" s="188" t="s">
        <v>1040</v>
      </c>
      <c r="Z47" s="0" t="n">
        <v>2</v>
      </c>
      <c r="AA47" s="188" t="s">
        <v>1073</v>
      </c>
    </row>
    <row r="48" customFormat="false" ht="15" hidden="false" customHeight="true" outlineLevel="0" collapsed="false">
      <c r="A48" s="0" t="n">
        <v>10</v>
      </c>
      <c r="B48" s="187" t="n">
        <v>46174.9108039311</v>
      </c>
      <c r="C48" s="187" t="n">
        <v>46174.9204567089</v>
      </c>
      <c r="D48" s="188" t="s">
        <v>229</v>
      </c>
      <c r="E48" s="188" t="s">
        <v>230</v>
      </c>
      <c r="F48" s="188" t="s">
        <v>230</v>
      </c>
      <c r="G48" s="188" t="s">
        <v>231</v>
      </c>
      <c r="H48" s="187" t="n">
        <v>46163</v>
      </c>
      <c r="I48" s="188" t="s">
        <v>113</v>
      </c>
      <c r="J48" s="188" t="s">
        <v>108</v>
      </c>
      <c r="K48" s="188" t="s">
        <v>232</v>
      </c>
      <c r="L48" s="188" t="s">
        <v>233</v>
      </c>
      <c r="M48" s="188" t="s">
        <v>234</v>
      </c>
      <c r="N48" s="188" t="s">
        <v>235</v>
      </c>
      <c r="O48" s="188" t="s">
        <v>172</v>
      </c>
      <c r="P48" s="188" t="s">
        <v>111</v>
      </c>
      <c r="Q48" s="188" t="s">
        <v>145</v>
      </c>
      <c r="R48" s="188" t="s">
        <v>24</v>
      </c>
      <c r="S48" s="188" t="s">
        <v>152</v>
      </c>
      <c r="T48" s="188" t="s">
        <v>180</v>
      </c>
      <c r="U48" s="188" t="s">
        <v>239</v>
      </c>
      <c r="V48" s="188" t="s">
        <v>192</v>
      </c>
      <c r="W48" s="188" t="s">
        <v>168</v>
      </c>
      <c r="X48" s="188" t="s">
        <v>223</v>
      </c>
      <c r="Y48" s="188" t="s">
        <v>1035</v>
      </c>
      <c r="Z48" s="0" t="n">
        <v>1</v>
      </c>
      <c r="AA48" s="188" t="s">
        <v>1074</v>
      </c>
    </row>
    <row r="49" customFormat="false" ht="15" hidden="false" customHeight="true" outlineLevel="0" collapsed="false">
      <c r="A49" s="0" t="n">
        <v>10</v>
      </c>
      <c r="B49" s="187" t="n">
        <v>46174.9108039311</v>
      </c>
      <c r="C49" s="187" t="n">
        <v>46174.9204567089</v>
      </c>
      <c r="D49" s="188" t="s">
        <v>229</v>
      </c>
      <c r="E49" s="188" t="s">
        <v>230</v>
      </c>
      <c r="F49" s="188" t="s">
        <v>230</v>
      </c>
      <c r="G49" s="188" t="s">
        <v>231</v>
      </c>
      <c r="H49" s="187" t="n">
        <v>46163</v>
      </c>
      <c r="I49" s="188" t="s">
        <v>113</v>
      </c>
      <c r="J49" s="188" t="s">
        <v>108</v>
      </c>
      <c r="K49" s="188" t="s">
        <v>232</v>
      </c>
      <c r="L49" s="188" t="s">
        <v>233</v>
      </c>
      <c r="M49" s="188" t="s">
        <v>234</v>
      </c>
      <c r="N49" s="188" t="s">
        <v>235</v>
      </c>
      <c r="O49" s="188" t="s">
        <v>172</v>
      </c>
      <c r="P49" s="188" t="s">
        <v>111</v>
      </c>
      <c r="Q49" s="188" t="s">
        <v>145</v>
      </c>
      <c r="R49" s="188" t="s">
        <v>24</v>
      </c>
      <c r="S49" s="188" t="s">
        <v>152</v>
      </c>
      <c r="T49" s="188" t="s">
        <v>180</v>
      </c>
      <c r="U49" s="188" t="s">
        <v>239</v>
      </c>
      <c r="V49" s="188" t="s">
        <v>192</v>
      </c>
      <c r="W49" s="188" t="s">
        <v>168</v>
      </c>
      <c r="X49" s="188" t="s">
        <v>223</v>
      </c>
      <c r="Y49" s="188" t="s">
        <v>1035</v>
      </c>
      <c r="Z49" s="0" t="n">
        <v>2</v>
      </c>
      <c r="AA49" s="188" t="s">
        <v>1075</v>
      </c>
    </row>
    <row r="50" customFormat="false" ht="15" hidden="false" customHeight="true" outlineLevel="0" collapsed="false">
      <c r="A50" s="0" t="n">
        <v>10</v>
      </c>
      <c r="B50" s="187" t="n">
        <v>46174.9108039311</v>
      </c>
      <c r="C50" s="187" t="n">
        <v>46174.9204567089</v>
      </c>
      <c r="D50" s="188" t="s">
        <v>229</v>
      </c>
      <c r="E50" s="188" t="s">
        <v>230</v>
      </c>
      <c r="F50" s="188" t="s">
        <v>230</v>
      </c>
      <c r="G50" s="188" t="s">
        <v>231</v>
      </c>
      <c r="H50" s="187" t="n">
        <v>46163</v>
      </c>
      <c r="I50" s="188" t="s">
        <v>113</v>
      </c>
      <c r="J50" s="188" t="s">
        <v>108</v>
      </c>
      <c r="K50" s="188" t="s">
        <v>232</v>
      </c>
      <c r="L50" s="188" t="s">
        <v>233</v>
      </c>
      <c r="M50" s="188" t="s">
        <v>234</v>
      </c>
      <c r="N50" s="188" t="s">
        <v>235</v>
      </c>
      <c r="O50" s="188" t="s">
        <v>172</v>
      </c>
      <c r="P50" s="188" t="s">
        <v>111</v>
      </c>
      <c r="Q50" s="188" t="s">
        <v>145</v>
      </c>
      <c r="R50" s="188" t="s">
        <v>24</v>
      </c>
      <c r="S50" s="188" t="s">
        <v>152</v>
      </c>
      <c r="T50" s="188" t="s">
        <v>180</v>
      </c>
      <c r="U50" s="188" t="s">
        <v>239</v>
      </c>
      <c r="V50" s="188" t="s">
        <v>192</v>
      </c>
      <c r="W50" s="188" t="s">
        <v>168</v>
      </c>
      <c r="X50" s="188" t="s">
        <v>223</v>
      </c>
      <c r="Y50" s="188" t="s">
        <v>1037</v>
      </c>
      <c r="Z50" s="0" t="n">
        <v>1</v>
      </c>
      <c r="AA50" s="188" t="s">
        <v>1076</v>
      </c>
    </row>
    <row r="51" customFormat="false" ht="15" hidden="false" customHeight="true" outlineLevel="0" collapsed="false">
      <c r="A51" s="0" t="n">
        <v>10</v>
      </c>
      <c r="B51" s="187" t="n">
        <v>46174.9108039311</v>
      </c>
      <c r="C51" s="187" t="n">
        <v>46174.9204567089</v>
      </c>
      <c r="D51" s="188" t="s">
        <v>229</v>
      </c>
      <c r="E51" s="188" t="s">
        <v>230</v>
      </c>
      <c r="F51" s="188" t="s">
        <v>230</v>
      </c>
      <c r="G51" s="188" t="s">
        <v>231</v>
      </c>
      <c r="H51" s="187" t="n">
        <v>46163</v>
      </c>
      <c r="I51" s="188" t="s">
        <v>113</v>
      </c>
      <c r="J51" s="188" t="s">
        <v>108</v>
      </c>
      <c r="K51" s="188" t="s">
        <v>232</v>
      </c>
      <c r="L51" s="188" t="s">
        <v>233</v>
      </c>
      <c r="M51" s="188" t="s">
        <v>234</v>
      </c>
      <c r="N51" s="188" t="s">
        <v>235</v>
      </c>
      <c r="O51" s="188" t="s">
        <v>172</v>
      </c>
      <c r="P51" s="188" t="s">
        <v>111</v>
      </c>
      <c r="Q51" s="188" t="s">
        <v>145</v>
      </c>
      <c r="R51" s="188" t="s">
        <v>24</v>
      </c>
      <c r="S51" s="188" t="s">
        <v>152</v>
      </c>
      <c r="T51" s="188" t="s">
        <v>180</v>
      </c>
      <c r="U51" s="188" t="s">
        <v>239</v>
      </c>
      <c r="V51" s="188" t="s">
        <v>192</v>
      </c>
      <c r="W51" s="188" t="s">
        <v>168</v>
      </c>
      <c r="X51" s="188" t="s">
        <v>223</v>
      </c>
      <c r="Y51" s="188" t="s">
        <v>1040</v>
      </c>
      <c r="Z51" s="0" t="n">
        <v>1</v>
      </c>
      <c r="AA51" s="188" t="s">
        <v>1073</v>
      </c>
    </row>
    <row r="52" customFormat="false" ht="15" hidden="false" customHeight="true" outlineLevel="0" collapsed="false">
      <c r="A52" s="0" t="n">
        <v>10</v>
      </c>
      <c r="B52" s="187" t="n">
        <v>46174.9108039311</v>
      </c>
      <c r="C52" s="187" t="n">
        <v>46174.9204567089</v>
      </c>
      <c r="D52" s="188" t="s">
        <v>229</v>
      </c>
      <c r="E52" s="188" t="s">
        <v>230</v>
      </c>
      <c r="F52" s="188" t="s">
        <v>230</v>
      </c>
      <c r="G52" s="188" t="s">
        <v>231</v>
      </c>
      <c r="H52" s="187" t="n">
        <v>46163</v>
      </c>
      <c r="I52" s="188" t="s">
        <v>113</v>
      </c>
      <c r="J52" s="188" t="s">
        <v>108</v>
      </c>
      <c r="K52" s="188" t="s">
        <v>232</v>
      </c>
      <c r="L52" s="188" t="s">
        <v>233</v>
      </c>
      <c r="M52" s="188" t="s">
        <v>234</v>
      </c>
      <c r="N52" s="188" t="s">
        <v>235</v>
      </c>
      <c r="O52" s="188" t="s">
        <v>172</v>
      </c>
      <c r="P52" s="188" t="s">
        <v>111</v>
      </c>
      <c r="Q52" s="188" t="s">
        <v>145</v>
      </c>
      <c r="R52" s="188" t="s">
        <v>24</v>
      </c>
      <c r="S52" s="188" t="s">
        <v>152</v>
      </c>
      <c r="T52" s="188" t="s">
        <v>180</v>
      </c>
      <c r="U52" s="188" t="s">
        <v>239</v>
      </c>
      <c r="V52" s="188" t="s">
        <v>192</v>
      </c>
      <c r="W52" s="188" t="s">
        <v>168</v>
      </c>
      <c r="X52" s="188" t="s">
        <v>223</v>
      </c>
      <c r="Y52" s="188" t="s">
        <v>1040</v>
      </c>
      <c r="Z52" s="0" t="n">
        <v>2</v>
      </c>
      <c r="AA52" s="188" t="s">
        <v>1077</v>
      </c>
    </row>
    <row r="53" customFormat="false" ht="15" hidden="false" customHeight="true" outlineLevel="0" collapsed="false">
      <c r="A53" s="0" t="n">
        <v>11</v>
      </c>
      <c r="B53" s="187" t="n">
        <v>46103.1910089645</v>
      </c>
      <c r="C53" s="187" t="n">
        <v>46103.1989487793</v>
      </c>
      <c r="D53" s="188" t="s">
        <v>240</v>
      </c>
      <c r="E53" s="188" t="s">
        <v>241</v>
      </c>
      <c r="F53" s="188" t="s">
        <v>242</v>
      </c>
      <c r="G53" s="188" t="s">
        <v>243</v>
      </c>
      <c r="H53" s="187" t="n">
        <v>46099</v>
      </c>
      <c r="I53" s="188" t="s">
        <v>113</v>
      </c>
      <c r="J53" s="188" t="s">
        <v>108</v>
      </c>
      <c r="K53" s="188" t="s">
        <v>245</v>
      </c>
      <c r="L53" s="188" t="s">
        <v>246</v>
      </c>
      <c r="M53" s="188" t="s">
        <v>248</v>
      </c>
      <c r="N53" s="188" t="s">
        <v>249</v>
      </c>
      <c r="O53" s="188" t="s">
        <v>244</v>
      </c>
      <c r="P53" s="188" t="s">
        <v>111</v>
      </c>
      <c r="Q53" s="188" t="s">
        <v>247</v>
      </c>
      <c r="R53" s="188" t="s">
        <v>21</v>
      </c>
      <c r="S53" s="188" t="s">
        <v>120</v>
      </c>
      <c r="T53" s="188" t="s">
        <v>121</v>
      </c>
      <c r="V53" s="188" t="s">
        <v>192</v>
      </c>
      <c r="W53" s="188" t="s">
        <v>168</v>
      </c>
      <c r="X53" s="188" t="s">
        <v>250</v>
      </c>
      <c r="Y53" s="188" t="s">
        <v>1035</v>
      </c>
      <c r="Z53" s="0" t="n">
        <v>1</v>
      </c>
      <c r="AA53" s="188" t="s">
        <v>1036</v>
      </c>
    </row>
    <row r="54" customFormat="false" ht="15" hidden="false" customHeight="true" outlineLevel="0" collapsed="false">
      <c r="A54" s="0" t="n">
        <v>11</v>
      </c>
      <c r="B54" s="187" t="n">
        <v>46103.1910089645</v>
      </c>
      <c r="C54" s="187" t="n">
        <v>46103.1989487793</v>
      </c>
      <c r="D54" s="188" t="s">
        <v>240</v>
      </c>
      <c r="E54" s="188" t="s">
        <v>241</v>
      </c>
      <c r="F54" s="188" t="s">
        <v>242</v>
      </c>
      <c r="G54" s="188" t="s">
        <v>243</v>
      </c>
      <c r="H54" s="187" t="n">
        <v>46099</v>
      </c>
      <c r="I54" s="188" t="s">
        <v>113</v>
      </c>
      <c r="J54" s="188" t="s">
        <v>108</v>
      </c>
      <c r="K54" s="188" t="s">
        <v>245</v>
      </c>
      <c r="L54" s="188" t="s">
        <v>246</v>
      </c>
      <c r="M54" s="188" t="s">
        <v>248</v>
      </c>
      <c r="N54" s="188" t="s">
        <v>249</v>
      </c>
      <c r="O54" s="188" t="s">
        <v>244</v>
      </c>
      <c r="P54" s="188" t="s">
        <v>111</v>
      </c>
      <c r="Q54" s="188" t="s">
        <v>247</v>
      </c>
      <c r="R54" s="188" t="s">
        <v>21</v>
      </c>
      <c r="S54" s="188" t="s">
        <v>120</v>
      </c>
      <c r="T54" s="188" t="s">
        <v>121</v>
      </c>
      <c r="V54" s="188" t="s">
        <v>192</v>
      </c>
      <c r="W54" s="188" t="s">
        <v>168</v>
      </c>
      <c r="X54" s="188" t="s">
        <v>250</v>
      </c>
      <c r="Y54" s="188" t="s">
        <v>1035</v>
      </c>
      <c r="Z54" s="0" t="n">
        <v>2</v>
      </c>
      <c r="AA54" s="188" t="s">
        <v>1078</v>
      </c>
    </row>
    <row r="55" customFormat="false" ht="15" hidden="false" customHeight="true" outlineLevel="0" collapsed="false">
      <c r="A55" s="0" t="n">
        <v>11</v>
      </c>
      <c r="B55" s="187" t="n">
        <v>46103.1910089645</v>
      </c>
      <c r="C55" s="187" t="n">
        <v>46103.1989487793</v>
      </c>
      <c r="D55" s="188" t="s">
        <v>240</v>
      </c>
      <c r="E55" s="188" t="s">
        <v>241</v>
      </c>
      <c r="F55" s="188" t="s">
        <v>242</v>
      </c>
      <c r="G55" s="188" t="s">
        <v>243</v>
      </c>
      <c r="H55" s="187" t="n">
        <v>46099</v>
      </c>
      <c r="I55" s="188" t="s">
        <v>113</v>
      </c>
      <c r="J55" s="188" t="s">
        <v>108</v>
      </c>
      <c r="K55" s="188" t="s">
        <v>245</v>
      </c>
      <c r="L55" s="188" t="s">
        <v>246</v>
      </c>
      <c r="M55" s="188" t="s">
        <v>248</v>
      </c>
      <c r="N55" s="188" t="s">
        <v>249</v>
      </c>
      <c r="O55" s="188" t="s">
        <v>244</v>
      </c>
      <c r="P55" s="188" t="s">
        <v>111</v>
      </c>
      <c r="Q55" s="188" t="s">
        <v>247</v>
      </c>
      <c r="R55" s="188" t="s">
        <v>21</v>
      </c>
      <c r="S55" s="188" t="s">
        <v>120</v>
      </c>
      <c r="T55" s="188" t="s">
        <v>121</v>
      </c>
      <c r="V55" s="188" t="s">
        <v>192</v>
      </c>
      <c r="W55" s="188" t="s">
        <v>168</v>
      </c>
      <c r="X55" s="188" t="s">
        <v>250</v>
      </c>
      <c r="Y55" s="188" t="s">
        <v>1035</v>
      </c>
      <c r="Z55" s="0" t="n">
        <v>3</v>
      </c>
      <c r="AA55" s="188" t="s">
        <v>1066</v>
      </c>
    </row>
    <row r="56" customFormat="false" ht="15" hidden="false" customHeight="true" outlineLevel="0" collapsed="false">
      <c r="A56" s="0" t="n">
        <v>11</v>
      </c>
      <c r="B56" s="187" t="n">
        <v>46103.1910089645</v>
      </c>
      <c r="C56" s="187" t="n">
        <v>46103.1989487793</v>
      </c>
      <c r="D56" s="188" t="s">
        <v>240</v>
      </c>
      <c r="E56" s="188" t="s">
        <v>241</v>
      </c>
      <c r="F56" s="188" t="s">
        <v>242</v>
      </c>
      <c r="G56" s="188" t="s">
        <v>243</v>
      </c>
      <c r="H56" s="187" t="n">
        <v>46099</v>
      </c>
      <c r="I56" s="188" t="s">
        <v>113</v>
      </c>
      <c r="J56" s="188" t="s">
        <v>108</v>
      </c>
      <c r="K56" s="188" t="s">
        <v>245</v>
      </c>
      <c r="L56" s="188" t="s">
        <v>246</v>
      </c>
      <c r="M56" s="188" t="s">
        <v>248</v>
      </c>
      <c r="N56" s="188" t="s">
        <v>249</v>
      </c>
      <c r="O56" s="188" t="s">
        <v>244</v>
      </c>
      <c r="P56" s="188" t="s">
        <v>111</v>
      </c>
      <c r="Q56" s="188" t="s">
        <v>247</v>
      </c>
      <c r="R56" s="188" t="s">
        <v>21</v>
      </c>
      <c r="S56" s="188" t="s">
        <v>120</v>
      </c>
      <c r="T56" s="188" t="s">
        <v>121</v>
      </c>
      <c r="V56" s="188" t="s">
        <v>192</v>
      </c>
      <c r="W56" s="188" t="s">
        <v>168</v>
      </c>
      <c r="X56" s="188" t="s">
        <v>250</v>
      </c>
      <c r="Y56" s="188" t="s">
        <v>1037</v>
      </c>
      <c r="Z56" s="0" t="n">
        <v>1</v>
      </c>
      <c r="AA56" s="188" t="s">
        <v>122</v>
      </c>
    </row>
    <row r="57" customFormat="false" ht="15" hidden="false" customHeight="true" outlineLevel="0" collapsed="false">
      <c r="A57" s="0" t="n">
        <v>11</v>
      </c>
      <c r="B57" s="187" t="n">
        <v>46103.1910089645</v>
      </c>
      <c r="C57" s="187" t="n">
        <v>46103.1989487793</v>
      </c>
      <c r="D57" s="188" t="s">
        <v>240</v>
      </c>
      <c r="E57" s="188" t="s">
        <v>241</v>
      </c>
      <c r="F57" s="188" t="s">
        <v>242</v>
      </c>
      <c r="G57" s="188" t="s">
        <v>243</v>
      </c>
      <c r="H57" s="187" t="n">
        <v>46099</v>
      </c>
      <c r="I57" s="188" t="s">
        <v>113</v>
      </c>
      <c r="J57" s="188" t="s">
        <v>108</v>
      </c>
      <c r="K57" s="188" t="s">
        <v>245</v>
      </c>
      <c r="L57" s="188" t="s">
        <v>246</v>
      </c>
      <c r="M57" s="188" t="s">
        <v>248</v>
      </c>
      <c r="N57" s="188" t="s">
        <v>249</v>
      </c>
      <c r="O57" s="188" t="s">
        <v>244</v>
      </c>
      <c r="P57" s="188" t="s">
        <v>111</v>
      </c>
      <c r="Q57" s="188" t="s">
        <v>247</v>
      </c>
      <c r="R57" s="188" t="s">
        <v>21</v>
      </c>
      <c r="S57" s="188" t="s">
        <v>120</v>
      </c>
      <c r="T57" s="188" t="s">
        <v>121</v>
      </c>
      <c r="V57" s="188" t="s">
        <v>192</v>
      </c>
      <c r="W57" s="188" t="s">
        <v>168</v>
      </c>
      <c r="X57" s="188" t="s">
        <v>250</v>
      </c>
      <c r="Y57" s="188" t="s">
        <v>1040</v>
      </c>
      <c r="Z57" s="0" t="n">
        <v>1</v>
      </c>
      <c r="AA57" s="188" t="s">
        <v>1079</v>
      </c>
    </row>
    <row r="58" customFormat="false" ht="15" hidden="false" customHeight="true" outlineLevel="0" collapsed="false">
      <c r="A58" s="0" t="n">
        <v>11</v>
      </c>
      <c r="B58" s="187" t="n">
        <v>46103.1910089645</v>
      </c>
      <c r="C58" s="187" t="n">
        <v>46103.1989487793</v>
      </c>
      <c r="D58" s="188" t="s">
        <v>240</v>
      </c>
      <c r="E58" s="188" t="s">
        <v>241</v>
      </c>
      <c r="F58" s="188" t="s">
        <v>242</v>
      </c>
      <c r="G58" s="188" t="s">
        <v>243</v>
      </c>
      <c r="H58" s="187" t="n">
        <v>46099</v>
      </c>
      <c r="I58" s="188" t="s">
        <v>113</v>
      </c>
      <c r="J58" s="188" t="s">
        <v>108</v>
      </c>
      <c r="K58" s="188" t="s">
        <v>245</v>
      </c>
      <c r="L58" s="188" t="s">
        <v>246</v>
      </c>
      <c r="M58" s="188" t="s">
        <v>248</v>
      </c>
      <c r="N58" s="188" t="s">
        <v>249</v>
      </c>
      <c r="O58" s="188" t="s">
        <v>244</v>
      </c>
      <c r="P58" s="188" t="s">
        <v>111</v>
      </c>
      <c r="Q58" s="188" t="s">
        <v>247</v>
      </c>
      <c r="R58" s="188" t="s">
        <v>21</v>
      </c>
      <c r="S58" s="188" t="s">
        <v>120</v>
      </c>
      <c r="T58" s="188" t="s">
        <v>121</v>
      </c>
      <c r="V58" s="188" t="s">
        <v>192</v>
      </c>
      <c r="W58" s="188" t="s">
        <v>168</v>
      </c>
      <c r="X58" s="188" t="s">
        <v>250</v>
      </c>
      <c r="Y58" s="188" t="s">
        <v>1040</v>
      </c>
      <c r="Z58" s="0" t="n">
        <v>2</v>
      </c>
      <c r="AA58" s="188" t="s">
        <v>122</v>
      </c>
    </row>
    <row r="59" customFormat="false" ht="15" hidden="false" customHeight="true" outlineLevel="0" collapsed="false">
      <c r="A59" s="0" t="n">
        <v>12</v>
      </c>
      <c r="B59" s="187" t="n">
        <v>46156.1307431978</v>
      </c>
      <c r="C59" s="187" t="n">
        <v>46156.1377339385</v>
      </c>
      <c r="D59" s="188" t="s">
        <v>254</v>
      </c>
      <c r="E59" s="188" t="s">
        <v>255</v>
      </c>
      <c r="F59" s="188" t="s">
        <v>255</v>
      </c>
      <c r="G59" s="188" t="s">
        <v>256</v>
      </c>
      <c r="H59" s="187" t="n">
        <v>46151</v>
      </c>
      <c r="I59" s="188" t="s">
        <v>132</v>
      </c>
      <c r="J59" s="188" t="s">
        <v>108</v>
      </c>
      <c r="K59" s="188" t="s">
        <v>257</v>
      </c>
      <c r="L59" s="188" t="s">
        <v>159</v>
      </c>
      <c r="M59" s="188" t="s">
        <v>258</v>
      </c>
      <c r="N59" s="188" t="s">
        <v>259</v>
      </c>
      <c r="O59" s="188" t="s">
        <v>157</v>
      </c>
      <c r="P59" s="188" t="s">
        <v>131</v>
      </c>
      <c r="Q59" s="188" t="s">
        <v>145</v>
      </c>
      <c r="R59" s="188" t="s">
        <v>24</v>
      </c>
      <c r="S59" s="188" t="s">
        <v>120</v>
      </c>
      <c r="T59" s="188" t="s">
        <v>264</v>
      </c>
      <c r="U59" s="188" t="s">
        <v>122</v>
      </c>
      <c r="V59" s="188" t="s">
        <v>123</v>
      </c>
      <c r="W59" s="188" t="s">
        <v>124</v>
      </c>
      <c r="X59" s="188" t="s">
        <v>260</v>
      </c>
      <c r="Y59" s="188" t="s">
        <v>1035</v>
      </c>
      <c r="Z59" s="0" t="n">
        <v>1</v>
      </c>
      <c r="AA59" s="188" t="s">
        <v>1080</v>
      </c>
    </row>
    <row r="60" customFormat="false" ht="15" hidden="false" customHeight="true" outlineLevel="0" collapsed="false">
      <c r="A60" s="0" t="n">
        <v>12</v>
      </c>
      <c r="B60" s="187" t="n">
        <v>46156.1307431978</v>
      </c>
      <c r="C60" s="187" t="n">
        <v>46156.1377339385</v>
      </c>
      <c r="D60" s="188" t="s">
        <v>254</v>
      </c>
      <c r="E60" s="188" t="s">
        <v>255</v>
      </c>
      <c r="F60" s="188" t="s">
        <v>255</v>
      </c>
      <c r="G60" s="188" t="s">
        <v>256</v>
      </c>
      <c r="H60" s="187" t="n">
        <v>46151</v>
      </c>
      <c r="I60" s="188" t="s">
        <v>132</v>
      </c>
      <c r="J60" s="188" t="s">
        <v>108</v>
      </c>
      <c r="K60" s="188" t="s">
        <v>257</v>
      </c>
      <c r="L60" s="188" t="s">
        <v>159</v>
      </c>
      <c r="M60" s="188" t="s">
        <v>258</v>
      </c>
      <c r="N60" s="188" t="s">
        <v>259</v>
      </c>
      <c r="O60" s="188" t="s">
        <v>157</v>
      </c>
      <c r="P60" s="188" t="s">
        <v>131</v>
      </c>
      <c r="Q60" s="188" t="s">
        <v>145</v>
      </c>
      <c r="R60" s="188" t="s">
        <v>24</v>
      </c>
      <c r="S60" s="188" t="s">
        <v>120</v>
      </c>
      <c r="T60" s="188" t="s">
        <v>264</v>
      </c>
      <c r="U60" s="188" t="s">
        <v>122</v>
      </c>
      <c r="V60" s="188" t="s">
        <v>123</v>
      </c>
      <c r="W60" s="188" t="s">
        <v>124</v>
      </c>
      <c r="X60" s="188" t="s">
        <v>260</v>
      </c>
      <c r="Y60" s="188" t="s">
        <v>1035</v>
      </c>
      <c r="Z60" s="0" t="n">
        <v>2</v>
      </c>
      <c r="AA60" s="188" t="s">
        <v>1081</v>
      </c>
    </row>
    <row r="61" customFormat="false" ht="15" hidden="false" customHeight="true" outlineLevel="0" collapsed="false">
      <c r="A61" s="0" t="n">
        <v>12</v>
      </c>
      <c r="B61" s="187" t="n">
        <v>46156.1307431978</v>
      </c>
      <c r="C61" s="187" t="n">
        <v>46156.1377339385</v>
      </c>
      <c r="D61" s="188" t="s">
        <v>254</v>
      </c>
      <c r="E61" s="188" t="s">
        <v>255</v>
      </c>
      <c r="F61" s="188" t="s">
        <v>255</v>
      </c>
      <c r="G61" s="188" t="s">
        <v>256</v>
      </c>
      <c r="H61" s="187" t="n">
        <v>46151</v>
      </c>
      <c r="I61" s="188" t="s">
        <v>132</v>
      </c>
      <c r="J61" s="188" t="s">
        <v>108</v>
      </c>
      <c r="K61" s="188" t="s">
        <v>257</v>
      </c>
      <c r="L61" s="188" t="s">
        <v>159</v>
      </c>
      <c r="M61" s="188" t="s">
        <v>258</v>
      </c>
      <c r="N61" s="188" t="s">
        <v>259</v>
      </c>
      <c r="O61" s="188" t="s">
        <v>157</v>
      </c>
      <c r="P61" s="188" t="s">
        <v>131</v>
      </c>
      <c r="Q61" s="188" t="s">
        <v>145</v>
      </c>
      <c r="R61" s="188" t="s">
        <v>24</v>
      </c>
      <c r="S61" s="188" t="s">
        <v>120</v>
      </c>
      <c r="T61" s="188" t="s">
        <v>264</v>
      </c>
      <c r="U61" s="188" t="s">
        <v>122</v>
      </c>
      <c r="V61" s="188" t="s">
        <v>123</v>
      </c>
      <c r="W61" s="188" t="s">
        <v>124</v>
      </c>
      <c r="X61" s="188" t="s">
        <v>260</v>
      </c>
      <c r="Y61" s="188" t="s">
        <v>1037</v>
      </c>
      <c r="Z61" s="0" t="n">
        <v>1</v>
      </c>
      <c r="AA61" s="188" t="s">
        <v>1082</v>
      </c>
    </row>
    <row r="62" customFormat="false" ht="15" hidden="false" customHeight="true" outlineLevel="0" collapsed="false">
      <c r="A62" s="0" t="n">
        <v>12</v>
      </c>
      <c r="B62" s="187" t="n">
        <v>46156.1307431978</v>
      </c>
      <c r="C62" s="187" t="n">
        <v>46156.1377339385</v>
      </c>
      <c r="D62" s="188" t="s">
        <v>254</v>
      </c>
      <c r="E62" s="188" t="s">
        <v>255</v>
      </c>
      <c r="F62" s="188" t="s">
        <v>255</v>
      </c>
      <c r="G62" s="188" t="s">
        <v>256</v>
      </c>
      <c r="H62" s="187" t="n">
        <v>46151</v>
      </c>
      <c r="I62" s="188" t="s">
        <v>132</v>
      </c>
      <c r="J62" s="188" t="s">
        <v>108</v>
      </c>
      <c r="K62" s="188" t="s">
        <v>257</v>
      </c>
      <c r="L62" s="188" t="s">
        <v>159</v>
      </c>
      <c r="M62" s="188" t="s">
        <v>258</v>
      </c>
      <c r="N62" s="188" t="s">
        <v>259</v>
      </c>
      <c r="O62" s="188" t="s">
        <v>157</v>
      </c>
      <c r="P62" s="188" t="s">
        <v>131</v>
      </c>
      <c r="Q62" s="188" t="s">
        <v>145</v>
      </c>
      <c r="R62" s="188" t="s">
        <v>24</v>
      </c>
      <c r="S62" s="188" t="s">
        <v>120</v>
      </c>
      <c r="T62" s="188" t="s">
        <v>264</v>
      </c>
      <c r="U62" s="188" t="s">
        <v>122</v>
      </c>
      <c r="V62" s="188" t="s">
        <v>123</v>
      </c>
      <c r="W62" s="188" t="s">
        <v>124</v>
      </c>
      <c r="X62" s="188" t="s">
        <v>260</v>
      </c>
      <c r="Y62" s="188" t="s">
        <v>1040</v>
      </c>
      <c r="Z62" s="0" t="n">
        <v>1</v>
      </c>
      <c r="AA62" s="188" t="s">
        <v>1083</v>
      </c>
    </row>
    <row r="63" customFormat="false" ht="15" hidden="false" customHeight="true" outlineLevel="0" collapsed="false">
      <c r="A63" s="0" t="n">
        <v>12</v>
      </c>
      <c r="B63" s="187" t="n">
        <v>46156.1307431978</v>
      </c>
      <c r="C63" s="187" t="n">
        <v>46156.1377339385</v>
      </c>
      <c r="D63" s="188" t="s">
        <v>254</v>
      </c>
      <c r="E63" s="188" t="s">
        <v>255</v>
      </c>
      <c r="F63" s="188" t="s">
        <v>255</v>
      </c>
      <c r="G63" s="188" t="s">
        <v>256</v>
      </c>
      <c r="H63" s="187" t="n">
        <v>46151</v>
      </c>
      <c r="I63" s="188" t="s">
        <v>132</v>
      </c>
      <c r="J63" s="188" t="s">
        <v>108</v>
      </c>
      <c r="K63" s="188" t="s">
        <v>257</v>
      </c>
      <c r="L63" s="188" t="s">
        <v>159</v>
      </c>
      <c r="M63" s="188" t="s">
        <v>258</v>
      </c>
      <c r="N63" s="188" t="s">
        <v>259</v>
      </c>
      <c r="O63" s="188" t="s">
        <v>157</v>
      </c>
      <c r="P63" s="188" t="s">
        <v>131</v>
      </c>
      <c r="Q63" s="188" t="s">
        <v>145</v>
      </c>
      <c r="R63" s="188" t="s">
        <v>24</v>
      </c>
      <c r="S63" s="188" t="s">
        <v>120</v>
      </c>
      <c r="T63" s="188" t="s">
        <v>264</v>
      </c>
      <c r="U63" s="188" t="s">
        <v>122</v>
      </c>
      <c r="V63" s="188" t="s">
        <v>123</v>
      </c>
      <c r="W63" s="188" t="s">
        <v>124</v>
      </c>
      <c r="X63" s="188" t="s">
        <v>260</v>
      </c>
      <c r="Y63" s="188" t="s">
        <v>1040</v>
      </c>
      <c r="Z63" s="0" t="n">
        <v>2</v>
      </c>
      <c r="AA63" s="188" t="s">
        <v>1084</v>
      </c>
    </row>
    <row r="64" customFormat="false" ht="15" hidden="false" customHeight="true" outlineLevel="0" collapsed="false">
      <c r="A64" s="0" t="n">
        <v>13</v>
      </c>
      <c r="B64" s="187" t="n">
        <v>46166.8905935323</v>
      </c>
      <c r="C64" s="187" t="n">
        <v>46166.9040541804</v>
      </c>
      <c r="D64" s="188" t="s">
        <v>265</v>
      </c>
      <c r="E64" s="188" t="s">
        <v>266</v>
      </c>
      <c r="F64" s="188" t="s">
        <v>266</v>
      </c>
      <c r="G64" s="188" t="s">
        <v>267</v>
      </c>
      <c r="H64" s="187" t="n">
        <v>46149</v>
      </c>
      <c r="I64" s="188" t="s">
        <v>113</v>
      </c>
      <c r="J64" s="188" t="s">
        <v>108</v>
      </c>
      <c r="K64" s="188" t="s">
        <v>232</v>
      </c>
      <c r="L64" s="188" t="s">
        <v>268</v>
      </c>
      <c r="M64" s="188" t="s">
        <v>269</v>
      </c>
      <c r="N64" s="188" t="s">
        <v>270</v>
      </c>
      <c r="O64" s="188" t="s">
        <v>172</v>
      </c>
      <c r="P64" s="188" t="s">
        <v>111</v>
      </c>
      <c r="Q64" s="188" t="s">
        <v>198</v>
      </c>
      <c r="R64" s="188" t="s">
        <v>22</v>
      </c>
      <c r="S64" s="188" t="s">
        <v>152</v>
      </c>
      <c r="T64" s="188" t="s">
        <v>228</v>
      </c>
      <c r="U64" s="188" t="s">
        <v>122</v>
      </c>
      <c r="V64" s="188" t="s">
        <v>192</v>
      </c>
      <c r="W64" s="188" t="s">
        <v>124</v>
      </c>
      <c r="X64" s="188" t="s">
        <v>271</v>
      </c>
      <c r="Y64" s="188" t="s">
        <v>1035</v>
      </c>
      <c r="Z64" s="0" t="n">
        <v>1</v>
      </c>
      <c r="AA64" s="188" t="s">
        <v>1085</v>
      </c>
    </row>
    <row r="65" customFormat="false" ht="15" hidden="false" customHeight="true" outlineLevel="0" collapsed="false">
      <c r="A65" s="0" t="n">
        <v>13</v>
      </c>
      <c r="B65" s="187" t="n">
        <v>46166.8905935323</v>
      </c>
      <c r="C65" s="187" t="n">
        <v>46166.9040541804</v>
      </c>
      <c r="D65" s="188" t="s">
        <v>265</v>
      </c>
      <c r="E65" s="188" t="s">
        <v>266</v>
      </c>
      <c r="F65" s="188" t="s">
        <v>266</v>
      </c>
      <c r="G65" s="188" t="s">
        <v>267</v>
      </c>
      <c r="H65" s="187" t="n">
        <v>46149</v>
      </c>
      <c r="I65" s="188" t="s">
        <v>113</v>
      </c>
      <c r="J65" s="188" t="s">
        <v>108</v>
      </c>
      <c r="K65" s="188" t="s">
        <v>232</v>
      </c>
      <c r="L65" s="188" t="s">
        <v>268</v>
      </c>
      <c r="M65" s="188" t="s">
        <v>269</v>
      </c>
      <c r="N65" s="188" t="s">
        <v>270</v>
      </c>
      <c r="O65" s="188" t="s">
        <v>172</v>
      </c>
      <c r="P65" s="188" t="s">
        <v>111</v>
      </c>
      <c r="Q65" s="188" t="s">
        <v>198</v>
      </c>
      <c r="R65" s="188" t="s">
        <v>22</v>
      </c>
      <c r="S65" s="188" t="s">
        <v>152</v>
      </c>
      <c r="T65" s="188" t="s">
        <v>228</v>
      </c>
      <c r="U65" s="188" t="s">
        <v>122</v>
      </c>
      <c r="V65" s="188" t="s">
        <v>192</v>
      </c>
      <c r="W65" s="188" t="s">
        <v>124</v>
      </c>
      <c r="X65" s="188" t="s">
        <v>271</v>
      </c>
      <c r="Y65" s="188" t="s">
        <v>1035</v>
      </c>
      <c r="Z65" s="0" t="n">
        <v>2</v>
      </c>
      <c r="AA65" s="188" t="s">
        <v>1086</v>
      </c>
    </row>
    <row r="66" customFormat="false" ht="15" hidden="false" customHeight="true" outlineLevel="0" collapsed="false">
      <c r="A66" s="0" t="n">
        <v>13</v>
      </c>
      <c r="B66" s="187" t="n">
        <v>46166.8905935323</v>
      </c>
      <c r="C66" s="187" t="n">
        <v>46166.9040541804</v>
      </c>
      <c r="D66" s="188" t="s">
        <v>265</v>
      </c>
      <c r="E66" s="188" t="s">
        <v>266</v>
      </c>
      <c r="F66" s="188" t="s">
        <v>266</v>
      </c>
      <c r="G66" s="188" t="s">
        <v>267</v>
      </c>
      <c r="H66" s="187" t="n">
        <v>46149</v>
      </c>
      <c r="I66" s="188" t="s">
        <v>113</v>
      </c>
      <c r="J66" s="188" t="s">
        <v>108</v>
      </c>
      <c r="K66" s="188" t="s">
        <v>232</v>
      </c>
      <c r="L66" s="188" t="s">
        <v>268</v>
      </c>
      <c r="M66" s="188" t="s">
        <v>269</v>
      </c>
      <c r="N66" s="188" t="s">
        <v>270</v>
      </c>
      <c r="O66" s="188" t="s">
        <v>172</v>
      </c>
      <c r="P66" s="188" t="s">
        <v>111</v>
      </c>
      <c r="Q66" s="188" t="s">
        <v>198</v>
      </c>
      <c r="R66" s="188" t="s">
        <v>22</v>
      </c>
      <c r="S66" s="188" t="s">
        <v>152</v>
      </c>
      <c r="T66" s="188" t="s">
        <v>228</v>
      </c>
      <c r="U66" s="188" t="s">
        <v>122</v>
      </c>
      <c r="V66" s="188" t="s">
        <v>192</v>
      </c>
      <c r="W66" s="188" t="s">
        <v>124</v>
      </c>
      <c r="X66" s="188" t="s">
        <v>271</v>
      </c>
      <c r="Y66" s="188" t="s">
        <v>1037</v>
      </c>
      <c r="Z66" s="0" t="n">
        <v>1</v>
      </c>
      <c r="AA66" s="188" t="s">
        <v>1087</v>
      </c>
    </row>
    <row r="67" customFormat="false" ht="15" hidden="false" customHeight="true" outlineLevel="0" collapsed="false">
      <c r="A67" s="0" t="n">
        <v>13</v>
      </c>
      <c r="B67" s="187" t="n">
        <v>46166.8905935323</v>
      </c>
      <c r="C67" s="187" t="n">
        <v>46166.9040541804</v>
      </c>
      <c r="D67" s="188" t="s">
        <v>265</v>
      </c>
      <c r="E67" s="188" t="s">
        <v>266</v>
      </c>
      <c r="F67" s="188" t="s">
        <v>266</v>
      </c>
      <c r="G67" s="188" t="s">
        <v>267</v>
      </c>
      <c r="H67" s="187" t="n">
        <v>46149</v>
      </c>
      <c r="I67" s="188" t="s">
        <v>113</v>
      </c>
      <c r="J67" s="188" t="s">
        <v>108</v>
      </c>
      <c r="K67" s="188" t="s">
        <v>232</v>
      </c>
      <c r="L67" s="188" t="s">
        <v>268</v>
      </c>
      <c r="M67" s="188" t="s">
        <v>269</v>
      </c>
      <c r="N67" s="188" t="s">
        <v>270</v>
      </c>
      <c r="O67" s="188" t="s">
        <v>172</v>
      </c>
      <c r="P67" s="188" t="s">
        <v>111</v>
      </c>
      <c r="Q67" s="188" t="s">
        <v>198</v>
      </c>
      <c r="R67" s="188" t="s">
        <v>22</v>
      </c>
      <c r="S67" s="188" t="s">
        <v>152</v>
      </c>
      <c r="T67" s="188" t="s">
        <v>228</v>
      </c>
      <c r="U67" s="188" t="s">
        <v>122</v>
      </c>
      <c r="V67" s="188" t="s">
        <v>192</v>
      </c>
      <c r="W67" s="188" t="s">
        <v>124</v>
      </c>
      <c r="X67" s="188" t="s">
        <v>271</v>
      </c>
      <c r="Y67" s="188" t="s">
        <v>1037</v>
      </c>
      <c r="Z67" s="0" t="n">
        <v>2</v>
      </c>
      <c r="AA67" s="188" t="s">
        <v>1088</v>
      </c>
    </row>
    <row r="68" customFormat="false" ht="15" hidden="false" customHeight="true" outlineLevel="0" collapsed="false">
      <c r="A68" s="0" t="n">
        <v>13</v>
      </c>
      <c r="B68" s="187" t="n">
        <v>46166.8905935323</v>
      </c>
      <c r="C68" s="187" t="n">
        <v>46166.9040541804</v>
      </c>
      <c r="D68" s="188" t="s">
        <v>265</v>
      </c>
      <c r="E68" s="188" t="s">
        <v>266</v>
      </c>
      <c r="F68" s="188" t="s">
        <v>266</v>
      </c>
      <c r="G68" s="188" t="s">
        <v>267</v>
      </c>
      <c r="H68" s="187" t="n">
        <v>46149</v>
      </c>
      <c r="I68" s="188" t="s">
        <v>113</v>
      </c>
      <c r="J68" s="188" t="s">
        <v>108</v>
      </c>
      <c r="K68" s="188" t="s">
        <v>232</v>
      </c>
      <c r="L68" s="188" t="s">
        <v>268</v>
      </c>
      <c r="M68" s="188" t="s">
        <v>269</v>
      </c>
      <c r="N68" s="188" t="s">
        <v>270</v>
      </c>
      <c r="O68" s="188" t="s">
        <v>172</v>
      </c>
      <c r="P68" s="188" t="s">
        <v>111</v>
      </c>
      <c r="Q68" s="188" t="s">
        <v>198</v>
      </c>
      <c r="R68" s="188" t="s">
        <v>22</v>
      </c>
      <c r="S68" s="188" t="s">
        <v>152</v>
      </c>
      <c r="T68" s="188" t="s">
        <v>228</v>
      </c>
      <c r="U68" s="188" t="s">
        <v>122</v>
      </c>
      <c r="V68" s="188" t="s">
        <v>192</v>
      </c>
      <c r="W68" s="188" t="s">
        <v>124</v>
      </c>
      <c r="X68" s="188" t="s">
        <v>271</v>
      </c>
      <c r="Y68" s="188" t="s">
        <v>1040</v>
      </c>
      <c r="Z68" s="0" t="n">
        <v>1</v>
      </c>
      <c r="AA68" s="188" t="s">
        <v>1089</v>
      </c>
    </row>
    <row r="69" customFormat="false" ht="15" hidden="false" customHeight="true" outlineLevel="0" collapsed="false">
      <c r="A69" s="0" t="n">
        <v>13</v>
      </c>
      <c r="B69" s="187" t="n">
        <v>46166.8905935323</v>
      </c>
      <c r="C69" s="187" t="n">
        <v>46166.9040541804</v>
      </c>
      <c r="D69" s="188" t="s">
        <v>265</v>
      </c>
      <c r="E69" s="188" t="s">
        <v>266</v>
      </c>
      <c r="F69" s="188" t="s">
        <v>266</v>
      </c>
      <c r="G69" s="188" t="s">
        <v>267</v>
      </c>
      <c r="H69" s="187" t="n">
        <v>46149</v>
      </c>
      <c r="I69" s="188" t="s">
        <v>113</v>
      </c>
      <c r="J69" s="188" t="s">
        <v>108</v>
      </c>
      <c r="K69" s="188" t="s">
        <v>232</v>
      </c>
      <c r="L69" s="188" t="s">
        <v>268</v>
      </c>
      <c r="M69" s="188" t="s">
        <v>269</v>
      </c>
      <c r="N69" s="188" t="s">
        <v>270</v>
      </c>
      <c r="O69" s="188" t="s">
        <v>172</v>
      </c>
      <c r="P69" s="188" t="s">
        <v>111</v>
      </c>
      <c r="Q69" s="188" t="s">
        <v>198</v>
      </c>
      <c r="R69" s="188" t="s">
        <v>22</v>
      </c>
      <c r="S69" s="188" t="s">
        <v>152</v>
      </c>
      <c r="T69" s="188" t="s">
        <v>228</v>
      </c>
      <c r="U69" s="188" t="s">
        <v>122</v>
      </c>
      <c r="V69" s="188" t="s">
        <v>192</v>
      </c>
      <c r="W69" s="188" t="s">
        <v>124</v>
      </c>
      <c r="X69" s="188" t="s">
        <v>271</v>
      </c>
      <c r="Y69" s="188" t="s">
        <v>1040</v>
      </c>
      <c r="Z69" s="0" t="n">
        <v>2</v>
      </c>
      <c r="AA69" s="188" t="s">
        <v>1090</v>
      </c>
    </row>
    <row r="70" customFormat="false" ht="15" hidden="false" customHeight="true" outlineLevel="0" collapsed="false">
      <c r="A70" s="0" t="n">
        <v>14</v>
      </c>
      <c r="B70" s="187" t="n">
        <v>46083.081247715</v>
      </c>
      <c r="C70" s="187" t="n">
        <v>46083.090460678</v>
      </c>
      <c r="D70" s="188" t="s">
        <v>275</v>
      </c>
      <c r="E70" s="188" t="s">
        <v>276</v>
      </c>
      <c r="F70" s="188" t="s">
        <v>276</v>
      </c>
      <c r="G70" s="188" t="s">
        <v>277</v>
      </c>
      <c r="H70" s="187" t="n">
        <v>46080</v>
      </c>
      <c r="I70" s="188" t="s">
        <v>113</v>
      </c>
      <c r="J70" s="188" t="s">
        <v>108</v>
      </c>
      <c r="K70" s="188" t="s">
        <v>245</v>
      </c>
      <c r="L70" s="188" t="s">
        <v>144</v>
      </c>
      <c r="M70" s="188" t="s">
        <v>279</v>
      </c>
      <c r="N70" s="188" t="s">
        <v>280</v>
      </c>
      <c r="O70" s="188" t="s">
        <v>278</v>
      </c>
      <c r="P70" s="188" t="s">
        <v>111</v>
      </c>
      <c r="Q70" s="188" t="s">
        <v>112</v>
      </c>
      <c r="R70" s="188" t="s">
        <v>24</v>
      </c>
      <c r="S70" s="188" t="s">
        <v>120</v>
      </c>
      <c r="T70" s="188" t="s">
        <v>180</v>
      </c>
      <c r="V70" s="188" t="s">
        <v>192</v>
      </c>
      <c r="W70" s="188" t="s">
        <v>124</v>
      </c>
      <c r="X70" s="188" t="s">
        <v>223</v>
      </c>
      <c r="Y70" s="188" t="s">
        <v>1035</v>
      </c>
      <c r="Z70" s="0" t="n">
        <v>1</v>
      </c>
      <c r="AA70" s="188" t="s">
        <v>1091</v>
      </c>
    </row>
    <row r="71" customFormat="false" ht="15" hidden="false" customHeight="true" outlineLevel="0" collapsed="false">
      <c r="A71" s="0" t="n">
        <v>14</v>
      </c>
      <c r="B71" s="187" t="n">
        <v>46083.081247715</v>
      </c>
      <c r="C71" s="187" t="n">
        <v>46083.090460678</v>
      </c>
      <c r="D71" s="188" t="s">
        <v>275</v>
      </c>
      <c r="E71" s="188" t="s">
        <v>276</v>
      </c>
      <c r="F71" s="188" t="s">
        <v>276</v>
      </c>
      <c r="G71" s="188" t="s">
        <v>277</v>
      </c>
      <c r="H71" s="187" t="n">
        <v>46080</v>
      </c>
      <c r="I71" s="188" t="s">
        <v>113</v>
      </c>
      <c r="J71" s="188" t="s">
        <v>108</v>
      </c>
      <c r="K71" s="188" t="s">
        <v>245</v>
      </c>
      <c r="L71" s="188" t="s">
        <v>144</v>
      </c>
      <c r="M71" s="188" t="s">
        <v>279</v>
      </c>
      <c r="N71" s="188" t="s">
        <v>280</v>
      </c>
      <c r="O71" s="188" t="s">
        <v>278</v>
      </c>
      <c r="P71" s="188" t="s">
        <v>111</v>
      </c>
      <c r="Q71" s="188" t="s">
        <v>112</v>
      </c>
      <c r="R71" s="188" t="s">
        <v>24</v>
      </c>
      <c r="S71" s="188" t="s">
        <v>120</v>
      </c>
      <c r="T71" s="188" t="s">
        <v>180</v>
      </c>
      <c r="V71" s="188" t="s">
        <v>192</v>
      </c>
      <c r="W71" s="188" t="s">
        <v>124</v>
      </c>
      <c r="X71" s="188" t="s">
        <v>223</v>
      </c>
      <c r="Y71" s="188" t="s">
        <v>1035</v>
      </c>
      <c r="Z71" s="0" t="n">
        <v>2</v>
      </c>
      <c r="AA71" s="188" t="s">
        <v>1068</v>
      </c>
    </row>
    <row r="72" customFormat="false" ht="15" hidden="false" customHeight="true" outlineLevel="0" collapsed="false">
      <c r="A72" s="0" t="n">
        <v>14</v>
      </c>
      <c r="B72" s="187" t="n">
        <v>46083.081247715</v>
      </c>
      <c r="C72" s="187" t="n">
        <v>46083.090460678</v>
      </c>
      <c r="D72" s="188" t="s">
        <v>275</v>
      </c>
      <c r="E72" s="188" t="s">
        <v>276</v>
      </c>
      <c r="F72" s="188" t="s">
        <v>276</v>
      </c>
      <c r="G72" s="188" t="s">
        <v>277</v>
      </c>
      <c r="H72" s="187" t="n">
        <v>46080</v>
      </c>
      <c r="I72" s="188" t="s">
        <v>113</v>
      </c>
      <c r="J72" s="188" t="s">
        <v>108</v>
      </c>
      <c r="K72" s="188" t="s">
        <v>245</v>
      </c>
      <c r="L72" s="188" t="s">
        <v>144</v>
      </c>
      <c r="M72" s="188" t="s">
        <v>279</v>
      </c>
      <c r="N72" s="188" t="s">
        <v>280</v>
      </c>
      <c r="O72" s="188" t="s">
        <v>278</v>
      </c>
      <c r="P72" s="188" t="s">
        <v>111</v>
      </c>
      <c r="Q72" s="188" t="s">
        <v>112</v>
      </c>
      <c r="R72" s="188" t="s">
        <v>24</v>
      </c>
      <c r="S72" s="188" t="s">
        <v>120</v>
      </c>
      <c r="T72" s="188" t="s">
        <v>180</v>
      </c>
      <c r="V72" s="188" t="s">
        <v>192</v>
      </c>
      <c r="W72" s="188" t="s">
        <v>124</v>
      </c>
      <c r="X72" s="188" t="s">
        <v>223</v>
      </c>
      <c r="Y72" s="188" t="s">
        <v>1035</v>
      </c>
      <c r="Z72" s="0" t="n">
        <v>3</v>
      </c>
      <c r="AA72" s="188" t="s">
        <v>1092</v>
      </c>
    </row>
    <row r="73" customFormat="false" ht="15" hidden="false" customHeight="true" outlineLevel="0" collapsed="false">
      <c r="A73" s="0" t="n">
        <v>14</v>
      </c>
      <c r="B73" s="187" t="n">
        <v>46083.081247715</v>
      </c>
      <c r="C73" s="187" t="n">
        <v>46083.090460678</v>
      </c>
      <c r="D73" s="188" t="s">
        <v>275</v>
      </c>
      <c r="E73" s="188" t="s">
        <v>276</v>
      </c>
      <c r="F73" s="188" t="s">
        <v>276</v>
      </c>
      <c r="G73" s="188" t="s">
        <v>277</v>
      </c>
      <c r="H73" s="187" t="n">
        <v>46080</v>
      </c>
      <c r="I73" s="188" t="s">
        <v>113</v>
      </c>
      <c r="J73" s="188" t="s">
        <v>108</v>
      </c>
      <c r="K73" s="188" t="s">
        <v>245</v>
      </c>
      <c r="L73" s="188" t="s">
        <v>144</v>
      </c>
      <c r="M73" s="188" t="s">
        <v>279</v>
      </c>
      <c r="N73" s="188" t="s">
        <v>280</v>
      </c>
      <c r="O73" s="188" t="s">
        <v>278</v>
      </c>
      <c r="P73" s="188" t="s">
        <v>111</v>
      </c>
      <c r="Q73" s="188" t="s">
        <v>112</v>
      </c>
      <c r="R73" s="188" t="s">
        <v>24</v>
      </c>
      <c r="S73" s="188" t="s">
        <v>120</v>
      </c>
      <c r="T73" s="188" t="s">
        <v>180</v>
      </c>
      <c r="V73" s="188" t="s">
        <v>192</v>
      </c>
      <c r="W73" s="188" t="s">
        <v>124</v>
      </c>
      <c r="X73" s="188" t="s">
        <v>223</v>
      </c>
      <c r="Y73" s="188" t="s">
        <v>1037</v>
      </c>
      <c r="Z73" s="0" t="n">
        <v>1</v>
      </c>
      <c r="AA73" s="188" t="s">
        <v>1076</v>
      </c>
    </row>
    <row r="74" customFormat="false" ht="15" hidden="false" customHeight="true" outlineLevel="0" collapsed="false">
      <c r="A74" s="0" t="n">
        <v>14</v>
      </c>
      <c r="B74" s="187" t="n">
        <v>46083.081247715</v>
      </c>
      <c r="C74" s="187" t="n">
        <v>46083.090460678</v>
      </c>
      <c r="D74" s="188" t="s">
        <v>275</v>
      </c>
      <c r="E74" s="188" t="s">
        <v>276</v>
      </c>
      <c r="F74" s="188" t="s">
        <v>276</v>
      </c>
      <c r="G74" s="188" t="s">
        <v>277</v>
      </c>
      <c r="H74" s="187" t="n">
        <v>46080</v>
      </c>
      <c r="I74" s="188" t="s">
        <v>113</v>
      </c>
      <c r="J74" s="188" t="s">
        <v>108</v>
      </c>
      <c r="K74" s="188" t="s">
        <v>245</v>
      </c>
      <c r="L74" s="188" t="s">
        <v>144</v>
      </c>
      <c r="M74" s="188" t="s">
        <v>279</v>
      </c>
      <c r="N74" s="188" t="s">
        <v>280</v>
      </c>
      <c r="O74" s="188" t="s">
        <v>278</v>
      </c>
      <c r="P74" s="188" t="s">
        <v>111</v>
      </c>
      <c r="Q74" s="188" t="s">
        <v>112</v>
      </c>
      <c r="R74" s="188" t="s">
        <v>24</v>
      </c>
      <c r="S74" s="188" t="s">
        <v>120</v>
      </c>
      <c r="T74" s="188" t="s">
        <v>180</v>
      </c>
      <c r="V74" s="188" t="s">
        <v>192</v>
      </c>
      <c r="W74" s="188" t="s">
        <v>124</v>
      </c>
      <c r="X74" s="188" t="s">
        <v>223</v>
      </c>
      <c r="Y74" s="188" t="s">
        <v>1040</v>
      </c>
      <c r="Z74" s="0" t="n">
        <v>1</v>
      </c>
      <c r="AA74" s="188" t="s">
        <v>1073</v>
      </c>
    </row>
    <row r="75" customFormat="false" ht="15" hidden="false" customHeight="true" outlineLevel="0" collapsed="false">
      <c r="A75" s="0" t="n">
        <v>14</v>
      </c>
      <c r="B75" s="187" t="n">
        <v>46083.081247715</v>
      </c>
      <c r="C75" s="187" t="n">
        <v>46083.090460678</v>
      </c>
      <c r="D75" s="188" t="s">
        <v>275</v>
      </c>
      <c r="E75" s="188" t="s">
        <v>276</v>
      </c>
      <c r="F75" s="188" t="s">
        <v>276</v>
      </c>
      <c r="G75" s="188" t="s">
        <v>277</v>
      </c>
      <c r="H75" s="187" t="n">
        <v>46080</v>
      </c>
      <c r="I75" s="188" t="s">
        <v>113</v>
      </c>
      <c r="J75" s="188" t="s">
        <v>108</v>
      </c>
      <c r="K75" s="188" t="s">
        <v>245</v>
      </c>
      <c r="L75" s="188" t="s">
        <v>144</v>
      </c>
      <c r="M75" s="188" t="s">
        <v>279</v>
      </c>
      <c r="N75" s="188" t="s">
        <v>280</v>
      </c>
      <c r="O75" s="188" t="s">
        <v>278</v>
      </c>
      <c r="P75" s="188" t="s">
        <v>111</v>
      </c>
      <c r="Q75" s="188" t="s">
        <v>112</v>
      </c>
      <c r="R75" s="188" t="s">
        <v>24</v>
      </c>
      <c r="S75" s="188" t="s">
        <v>120</v>
      </c>
      <c r="T75" s="188" t="s">
        <v>180</v>
      </c>
      <c r="V75" s="188" t="s">
        <v>192</v>
      </c>
      <c r="W75" s="188" t="s">
        <v>124</v>
      </c>
      <c r="X75" s="188" t="s">
        <v>223</v>
      </c>
      <c r="Y75" s="188" t="s">
        <v>1040</v>
      </c>
      <c r="Z75" s="0" t="n">
        <v>2</v>
      </c>
      <c r="AA75" s="188" t="s">
        <v>1072</v>
      </c>
    </row>
    <row r="76" customFormat="false" ht="15" hidden="false" customHeight="true" outlineLevel="0" collapsed="false">
      <c r="A76" s="0" t="n">
        <v>15</v>
      </c>
      <c r="B76" s="187" t="n">
        <v>46075.6162244653</v>
      </c>
      <c r="C76" s="187" t="n">
        <v>46075.6332267801</v>
      </c>
      <c r="D76" s="188" t="s">
        <v>283</v>
      </c>
      <c r="E76" s="188" t="s">
        <v>284</v>
      </c>
      <c r="F76" s="188" t="s">
        <v>284</v>
      </c>
      <c r="G76" s="188" t="s">
        <v>285</v>
      </c>
      <c r="H76" s="187" t="n">
        <v>46055</v>
      </c>
      <c r="I76" s="188" t="s">
        <v>113</v>
      </c>
      <c r="J76" s="188" t="s">
        <v>108</v>
      </c>
      <c r="K76" s="188" t="s">
        <v>143</v>
      </c>
      <c r="L76" s="188" t="s">
        <v>130</v>
      </c>
      <c r="M76" s="188" t="s">
        <v>286</v>
      </c>
      <c r="N76" s="188" t="s">
        <v>287</v>
      </c>
      <c r="O76" s="188" t="s">
        <v>244</v>
      </c>
      <c r="P76" s="188" t="s">
        <v>111</v>
      </c>
      <c r="Q76" s="188" t="s">
        <v>112</v>
      </c>
      <c r="R76" s="188" t="s">
        <v>22</v>
      </c>
      <c r="S76" s="188" t="s">
        <v>120</v>
      </c>
      <c r="T76" s="188" t="s">
        <v>121</v>
      </c>
      <c r="U76" s="188" t="s">
        <v>291</v>
      </c>
      <c r="V76" s="188" t="s">
        <v>192</v>
      </c>
      <c r="W76" s="188" t="s">
        <v>124</v>
      </c>
      <c r="X76" s="188" t="s">
        <v>148</v>
      </c>
      <c r="Y76" s="188" t="s">
        <v>1035</v>
      </c>
      <c r="Z76" s="0" t="n">
        <v>1</v>
      </c>
      <c r="AA76" s="188" t="s">
        <v>1093</v>
      </c>
    </row>
    <row r="77" customFormat="false" ht="15" hidden="false" customHeight="true" outlineLevel="0" collapsed="false">
      <c r="A77" s="0" t="n">
        <v>15</v>
      </c>
      <c r="B77" s="187" t="n">
        <v>46075.6162244653</v>
      </c>
      <c r="C77" s="187" t="n">
        <v>46075.6332267801</v>
      </c>
      <c r="D77" s="188" t="s">
        <v>283</v>
      </c>
      <c r="E77" s="188" t="s">
        <v>284</v>
      </c>
      <c r="F77" s="188" t="s">
        <v>284</v>
      </c>
      <c r="G77" s="188" t="s">
        <v>285</v>
      </c>
      <c r="H77" s="187" t="n">
        <v>46055</v>
      </c>
      <c r="I77" s="188" t="s">
        <v>113</v>
      </c>
      <c r="J77" s="188" t="s">
        <v>108</v>
      </c>
      <c r="K77" s="188" t="s">
        <v>143</v>
      </c>
      <c r="L77" s="188" t="s">
        <v>130</v>
      </c>
      <c r="M77" s="188" t="s">
        <v>286</v>
      </c>
      <c r="N77" s="188" t="s">
        <v>287</v>
      </c>
      <c r="O77" s="188" t="s">
        <v>244</v>
      </c>
      <c r="P77" s="188" t="s">
        <v>111</v>
      </c>
      <c r="Q77" s="188" t="s">
        <v>112</v>
      </c>
      <c r="R77" s="188" t="s">
        <v>22</v>
      </c>
      <c r="S77" s="188" t="s">
        <v>120</v>
      </c>
      <c r="T77" s="188" t="s">
        <v>121</v>
      </c>
      <c r="U77" s="188" t="s">
        <v>291</v>
      </c>
      <c r="V77" s="188" t="s">
        <v>192</v>
      </c>
      <c r="W77" s="188" t="s">
        <v>124</v>
      </c>
      <c r="X77" s="188" t="s">
        <v>148</v>
      </c>
      <c r="Y77" s="188" t="s">
        <v>1035</v>
      </c>
      <c r="Z77" s="0" t="n">
        <v>2</v>
      </c>
      <c r="AA77" s="188" t="s">
        <v>1063</v>
      </c>
    </row>
    <row r="78" customFormat="false" ht="15" hidden="false" customHeight="true" outlineLevel="0" collapsed="false">
      <c r="A78" s="0" t="n">
        <v>15</v>
      </c>
      <c r="B78" s="187" t="n">
        <v>46075.6162244653</v>
      </c>
      <c r="C78" s="187" t="n">
        <v>46075.6332267801</v>
      </c>
      <c r="D78" s="188" t="s">
        <v>283</v>
      </c>
      <c r="E78" s="188" t="s">
        <v>284</v>
      </c>
      <c r="F78" s="188" t="s">
        <v>284</v>
      </c>
      <c r="G78" s="188" t="s">
        <v>285</v>
      </c>
      <c r="H78" s="187" t="n">
        <v>46055</v>
      </c>
      <c r="I78" s="188" t="s">
        <v>113</v>
      </c>
      <c r="J78" s="188" t="s">
        <v>108</v>
      </c>
      <c r="K78" s="188" t="s">
        <v>143</v>
      </c>
      <c r="L78" s="188" t="s">
        <v>130</v>
      </c>
      <c r="M78" s="188" t="s">
        <v>286</v>
      </c>
      <c r="N78" s="188" t="s">
        <v>287</v>
      </c>
      <c r="O78" s="188" t="s">
        <v>244</v>
      </c>
      <c r="P78" s="188" t="s">
        <v>111</v>
      </c>
      <c r="Q78" s="188" t="s">
        <v>112</v>
      </c>
      <c r="R78" s="188" t="s">
        <v>22</v>
      </c>
      <c r="S78" s="188" t="s">
        <v>120</v>
      </c>
      <c r="T78" s="188" t="s">
        <v>121</v>
      </c>
      <c r="U78" s="188" t="s">
        <v>291</v>
      </c>
      <c r="V78" s="188" t="s">
        <v>192</v>
      </c>
      <c r="W78" s="188" t="s">
        <v>124</v>
      </c>
      <c r="X78" s="188" t="s">
        <v>148</v>
      </c>
      <c r="Y78" s="188" t="s">
        <v>1037</v>
      </c>
      <c r="Z78" s="0" t="n">
        <v>1</v>
      </c>
      <c r="AA78" s="188" t="s">
        <v>1049</v>
      </c>
    </row>
    <row r="79" customFormat="false" ht="15" hidden="false" customHeight="true" outlineLevel="0" collapsed="false">
      <c r="A79" s="0" t="n">
        <v>15</v>
      </c>
      <c r="B79" s="187" t="n">
        <v>46075.6162244653</v>
      </c>
      <c r="C79" s="187" t="n">
        <v>46075.6332267801</v>
      </c>
      <c r="D79" s="188" t="s">
        <v>283</v>
      </c>
      <c r="E79" s="188" t="s">
        <v>284</v>
      </c>
      <c r="F79" s="188" t="s">
        <v>284</v>
      </c>
      <c r="G79" s="188" t="s">
        <v>285</v>
      </c>
      <c r="H79" s="187" t="n">
        <v>46055</v>
      </c>
      <c r="I79" s="188" t="s">
        <v>113</v>
      </c>
      <c r="J79" s="188" t="s">
        <v>108</v>
      </c>
      <c r="K79" s="188" t="s">
        <v>143</v>
      </c>
      <c r="L79" s="188" t="s">
        <v>130</v>
      </c>
      <c r="M79" s="188" t="s">
        <v>286</v>
      </c>
      <c r="N79" s="188" t="s">
        <v>287</v>
      </c>
      <c r="O79" s="188" t="s">
        <v>244</v>
      </c>
      <c r="P79" s="188" t="s">
        <v>111</v>
      </c>
      <c r="Q79" s="188" t="s">
        <v>112</v>
      </c>
      <c r="R79" s="188" t="s">
        <v>22</v>
      </c>
      <c r="S79" s="188" t="s">
        <v>120</v>
      </c>
      <c r="T79" s="188" t="s">
        <v>121</v>
      </c>
      <c r="U79" s="188" t="s">
        <v>291</v>
      </c>
      <c r="V79" s="188" t="s">
        <v>192</v>
      </c>
      <c r="W79" s="188" t="s">
        <v>124</v>
      </c>
      <c r="X79" s="188" t="s">
        <v>148</v>
      </c>
      <c r="Y79" s="188" t="s">
        <v>1037</v>
      </c>
      <c r="Z79" s="0" t="n">
        <v>2</v>
      </c>
      <c r="AA79" s="188" t="s">
        <v>122</v>
      </c>
    </row>
    <row r="80" customFormat="false" ht="15" hidden="false" customHeight="true" outlineLevel="0" collapsed="false">
      <c r="A80" s="0" t="n">
        <v>15</v>
      </c>
      <c r="B80" s="187" t="n">
        <v>46075.6162244653</v>
      </c>
      <c r="C80" s="187" t="n">
        <v>46075.6332267801</v>
      </c>
      <c r="D80" s="188" t="s">
        <v>283</v>
      </c>
      <c r="E80" s="188" t="s">
        <v>284</v>
      </c>
      <c r="F80" s="188" t="s">
        <v>284</v>
      </c>
      <c r="G80" s="188" t="s">
        <v>285</v>
      </c>
      <c r="H80" s="187" t="n">
        <v>46055</v>
      </c>
      <c r="I80" s="188" t="s">
        <v>113</v>
      </c>
      <c r="J80" s="188" t="s">
        <v>108</v>
      </c>
      <c r="K80" s="188" t="s">
        <v>143</v>
      </c>
      <c r="L80" s="188" t="s">
        <v>130</v>
      </c>
      <c r="M80" s="188" t="s">
        <v>286</v>
      </c>
      <c r="N80" s="188" t="s">
        <v>287</v>
      </c>
      <c r="O80" s="188" t="s">
        <v>244</v>
      </c>
      <c r="P80" s="188" t="s">
        <v>111</v>
      </c>
      <c r="Q80" s="188" t="s">
        <v>112</v>
      </c>
      <c r="R80" s="188" t="s">
        <v>22</v>
      </c>
      <c r="S80" s="188" t="s">
        <v>120</v>
      </c>
      <c r="T80" s="188" t="s">
        <v>121</v>
      </c>
      <c r="U80" s="188" t="s">
        <v>291</v>
      </c>
      <c r="V80" s="188" t="s">
        <v>192</v>
      </c>
      <c r="W80" s="188" t="s">
        <v>124</v>
      </c>
      <c r="X80" s="188" t="s">
        <v>148</v>
      </c>
      <c r="Y80" s="188" t="s">
        <v>1040</v>
      </c>
      <c r="Z80" s="0" t="n">
        <v>1</v>
      </c>
      <c r="AA80" s="188" t="s">
        <v>1065</v>
      </c>
    </row>
    <row r="81" customFormat="false" ht="15" hidden="false" customHeight="true" outlineLevel="0" collapsed="false">
      <c r="A81" s="0" t="n">
        <v>16</v>
      </c>
      <c r="B81" s="187" t="n">
        <v>46082.6784350535</v>
      </c>
      <c r="C81" s="187" t="n">
        <v>46082.6930299609</v>
      </c>
      <c r="D81" s="188" t="s">
        <v>292</v>
      </c>
      <c r="E81" s="188" t="s">
        <v>293</v>
      </c>
      <c r="F81" s="188" t="s">
        <v>293</v>
      </c>
      <c r="G81" s="188" t="s">
        <v>294</v>
      </c>
      <c r="H81" s="187" t="n">
        <v>46079</v>
      </c>
      <c r="I81" s="188" t="s">
        <v>113</v>
      </c>
      <c r="J81" s="188" t="s">
        <v>295</v>
      </c>
      <c r="K81" s="188" t="s">
        <v>257</v>
      </c>
      <c r="L81" s="188" t="s">
        <v>296</v>
      </c>
      <c r="M81" s="188" t="s">
        <v>174</v>
      </c>
      <c r="N81" s="188" t="s">
        <v>297</v>
      </c>
      <c r="O81" s="188" t="s">
        <v>172</v>
      </c>
      <c r="P81" s="188" t="s">
        <v>111</v>
      </c>
      <c r="Q81" s="188" t="s">
        <v>145</v>
      </c>
      <c r="R81" s="188" t="s">
        <v>22</v>
      </c>
      <c r="S81" s="188" t="s">
        <v>152</v>
      </c>
      <c r="T81" s="188" t="s">
        <v>121</v>
      </c>
      <c r="U81" s="188" t="s">
        <v>122</v>
      </c>
      <c r="V81" s="188" t="s">
        <v>123</v>
      </c>
      <c r="W81" s="188" t="s">
        <v>124</v>
      </c>
      <c r="X81" s="188" t="s">
        <v>298</v>
      </c>
      <c r="Y81" s="188" t="s">
        <v>1035</v>
      </c>
      <c r="Z81" s="0" t="n">
        <v>1</v>
      </c>
      <c r="AA81" s="188" t="s">
        <v>1094</v>
      </c>
    </row>
    <row r="82" customFormat="false" ht="15" hidden="false" customHeight="true" outlineLevel="0" collapsed="false">
      <c r="A82" s="0" t="n">
        <v>16</v>
      </c>
      <c r="B82" s="187" t="n">
        <v>46082.6784350535</v>
      </c>
      <c r="C82" s="187" t="n">
        <v>46082.6930299609</v>
      </c>
      <c r="D82" s="188" t="s">
        <v>292</v>
      </c>
      <c r="E82" s="188" t="s">
        <v>293</v>
      </c>
      <c r="F82" s="188" t="s">
        <v>293</v>
      </c>
      <c r="G82" s="188" t="s">
        <v>294</v>
      </c>
      <c r="H82" s="187" t="n">
        <v>46079</v>
      </c>
      <c r="I82" s="188" t="s">
        <v>113</v>
      </c>
      <c r="J82" s="188" t="s">
        <v>295</v>
      </c>
      <c r="K82" s="188" t="s">
        <v>257</v>
      </c>
      <c r="L82" s="188" t="s">
        <v>296</v>
      </c>
      <c r="M82" s="188" t="s">
        <v>174</v>
      </c>
      <c r="N82" s="188" t="s">
        <v>297</v>
      </c>
      <c r="O82" s="188" t="s">
        <v>172</v>
      </c>
      <c r="P82" s="188" t="s">
        <v>111</v>
      </c>
      <c r="Q82" s="188" t="s">
        <v>145</v>
      </c>
      <c r="R82" s="188" t="s">
        <v>22</v>
      </c>
      <c r="S82" s="188" t="s">
        <v>152</v>
      </c>
      <c r="T82" s="188" t="s">
        <v>121</v>
      </c>
      <c r="U82" s="188" t="s">
        <v>122</v>
      </c>
      <c r="V82" s="188" t="s">
        <v>123</v>
      </c>
      <c r="W82" s="188" t="s">
        <v>124</v>
      </c>
      <c r="X82" s="188" t="s">
        <v>298</v>
      </c>
      <c r="Y82" s="188" t="s">
        <v>1035</v>
      </c>
      <c r="Z82" s="0" t="n">
        <v>2</v>
      </c>
      <c r="AA82" s="188" t="s">
        <v>1095</v>
      </c>
    </row>
    <row r="83" customFormat="false" ht="15" hidden="false" customHeight="true" outlineLevel="0" collapsed="false">
      <c r="A83" s="0" t="n">
        <v>16</v>
      </c>
      <c r="B83" s="187" t="n">
        <v>46082.6784350535</v>
      </c>
      <c r="C83" s="187" t="n">
        <v>46082.6930299609</v>
      </c>
      <c r="D83" s="188" t="s">
        <v>292</v>
      </c>
      <c r="E83" s="188" t="s">
        <v>293</v>
      </c>
      <c r="F83" s="188" t="s">
        <v>293</v>
      </c>
      <c r="G83" s="188" t="s">
        <v>294</v>
      </c>
      <c r="H83" s="187" t="n">
        <v>46079</v>
      </c>
      <c r="I83" s="188" t="s">
        <v>113</v>
      </c>
      <c r="J83" s="188" t="s">
        <v>295</v>
      </c>
      <c r="K83" s="188" t="s">
        <v>257</v>
      </c>
      <c r="L83" s="188" t="s">
        <v>296</v>
      </c>
      <c r="M83" s="188" t="s">
        <v>174</v>
      </c>
      <c r="N83" s="188" t="s">
        <v>297</v>
      </c>
      <c r="O83" s="188" t="s">
        <v>172</v>
      </c>
      <c r="P83" s="188" t="s">
        <v>111</v>
      </c>
      <c r="Q83" s="188" t="s">
        <v>145</v>
      </c>
      <c r="R83" s="188" t="s">
        <v>22</v>
      </c>
      <c r="S83" s="188" t="s">
        <v>152</v>
      </c>
      <c r="T83" s="188" t="s">
        <v>121</v>
      </c>
      <c r="U83" s="188" t="s">
        <v>122</v>
      </c>
      <c r="V83" s="188" t="s">
        <v>123</v>
      </c>
      <c r="W83" s="188" t="s">
        <v>124</v>
      </c>
      <c r="X83" s="188" t="s">
        <v>298</v>
      </c>
      <c r="Y83" s="188" t="s">
        <v>1035</v>
      </c>
      <c r="Z83" s="0" t="n">
        <v>3</v>
      </c>
      <c r="AA83" s="188" t="s">
        <v>1096</v>
      </c>
    </row>
    <row r="84" customFormat="false" ht="15" hidden="false" customHeight="true" outlineLevel="0" collapsed="false">
      <c r="A84" s="0" t="n">
        <v>16</v>
      </c>
      <c r="B84" s="187" t="n">
        <v>46082.6784350535</v>
      </c>
      <c r="C84" s="187" t="n">
        <v>46082.6930299609</v>
      </c>
      <c r="D84" s="188" t="s">
        <v>292</v>
      </c>
      <c r="E84" s="188" t="s">
        <v>293</v>
      </c>
      <c r="F84" s="188" t="s">
        <v>293</v>
      </c>
      <c r="G84" s="188" t="s">
        <v>294</v>
      </c>
      <c r="H84" s="187" t="n">
        <v>46079</v>
      </c>
      <c r="I84" s="188" t="s">
        <v>113</v>
      </c>
      <c r="J84" s="188" t="s">
        <v>295</v>
      </c>
      <c r="K84" s="188" t="s">
        <v>257</v>
      </c>
      <c r="L84" s="188" t="s">
        <v>296</v>
      </c>
      <c r="M84" s="188" t="s">
        <v>174</v>
      </c>
      <c r="N84" s="188" t="s">
        <v>297</v>
      </c>
      <c r="O84" s="188" t="s">
        <v>172</v>
      </c>
      <c r="P84" s="188" t="s">
        <v>111</v>
      </c>
      <c r="Q84" s="188" t="s">
        <v>145</v>
      </c>
      <c r="R84" s="188" t="s">
        <v>22</v>
      </c>
      <c r="S84" s="188" t="s">
        <v>152</v>
      </c>
      <c r="T84" s="188" t="s">
        <v>121</v>
      </c>
      <c r="U84" s="188" t="s">
        <v>122</v>
      </c>
      <c r="V84" s="188" t="s">
        <v>123</v>
      </c>
      <c r="W84" s="188" t="s">
        <v>124</v>
      </c>
      <c r="X84" s="188" t="s">
        <v>298</v>
      </c>
      <c r="Y84" s="188" t="s">
        <v>1037</v>
      </c>
      <c r="Z84" s="0" t="n">
        <v>1</v>
      </c>
      <c r="AA84" s="188" t="s">
        <v>1097</v>
      </c>
    </row>
    <row r="85" customFormat="false" ht="15" hidden="false" customHeight="true" outlineLevel="0" collapsed="false">
      <c r="A85" s="0" t="n">
        <v>16</v>
      </c>
      <c r="B85" s="187" t="n">
        <v>46082.6784350535</v>
      </c>
      <c r="C85" s="187" t="n">
        <v>46082.6930299609</v>
      </c>
      <c r="D85" s="188" t="s">
        <v>292</v>
      </c>
      <c r="E85" s="188" t="s">
        <v>293</v>
      </c>
      <c r="F85" s="188" t="s">
        <v>293</v>
      </c>
      <c r="G85" s="188" t="s">
        <v>294</v>
      </c>
      <c r="H85" s="187" t="n">
        <v>46079</v>
      </c>
      <c r="I85" s="188" t="s">
        <v>113</v>
      </c>
      <c r="J85" s="188" t="s">
        <v>295</v>
      </c>
      <c r="K85" s="188" t="s">
        <v>257</v>
      </c>
      <c r="L85" s="188" t="s">
        <v>296</v>
      </c>
      <c r="M85" s="188" t="s">
        <v>174</v>
      </c>
      <c r="N85" s="188" t="s">
        <v>297</v>
      </c>
      <c r="O85" s="188" t="s">
        <v>172</v>
      </c>
      <c r="P85" s="188" t="s">
        <v>111</v>
      </c>
      <c r="Q85" s="188" t="s">
        <v>145</v>
      </c>
      <c r="R85" s="188" t="s">
        <v>22</v>
      </c>
      <c r="S85" s="188" t="s">
        <v>152</v>
      </c>
      <c r="T85" s="188" t="s">
        <v>121</v>
      </c>
      <c r="U85" s="188" t="s">
        <v>122</v>
      </c>
      <c r="V85" s="188" t="s">
        <v>123</v>
      </c>
      <c r="W85" s="188" t="s">
        <v>124</v>
      </c>
      <c r="X85" s="188" t="s">
        <v>298</v>
      </c>
      <c r="Y85" s="188" t="s">
        <v>1040</v>
      </c>
      <c r="Z85" s="0" t="n">
        <v>1</v>
      </c>
      <c r="AA85" s="188" t="s">
        <v>1098</v>
      </c>
    </row>
    <row r="86" customFormat="false" ht="15" hidden="false" customHeight="true" outlineLevel="0" collapsed="false">
      <c r="A86" s="0" t="n">
        <v>16</v>
      </c>
      <c r="B86" s="187" t="n">
        <v>46082.6784350535</v>
      </c>
      <c r="C86" s="187" t="n">
        <v>46082.6930299609</v>
      </c>
      <c r="D86" s="188" t="s">
        <v>292</v>
      </c>
      <c r="E86" s="188" t="s">
        <v>293</v>
      </c>
      <c r="F86" s="188" t="s">
        <v>293</v>
      </c>
      <c r="G86" s="188" t="s">
        <v>294</v>
      </c>
      <c r="H86" s="187" t="n">
        <v>46079</v>
      </c>
      <c r="I86" s="188" t="s">
        <v>113</v>
      </c>
      <c r="J86" s="188" t="s">
        <v>295</v>
      </c>
      <c r="K86" s="188" t="s">
        <v>257</v>
      </c>
      <c r="L86" s="188" t="s">
        <v>296</v>
      </c>
      <c r="M86" s="188" t="s">
        <v>174</v>
      </c>
      <c r="N86" s="188" t="s">
        <v>297</v>
      </c>
      <c r="O86" s="188" t="s">
        <v>172</v>
      </c>
      <c r="P86" s="188" t="s">
        <v>111</v>
      </c>
      <c r="Q86" s="188" t="s">
        <v>145</v>
      </c>
      <c r="R86" s="188" t="s">
        <v>22</v>
      </c>
      <c r="S86" s="188" t="s">
        <v>152</v>
      </c>
      <c r="T86" s="188" t="s">
        <v>121</v>
      </c>
      <c r="U86" s="188" t="s">
        <v>122</v>
      </c>
      <c r="V86" s="188" t="s">
        <v>123</v>
      </c>
      <c r="W86" s="188" t="s">
        <v>124</v>
      </c>
      <c r="X86" s="188" t="s">
        <v>298</v>
      </c>
      <c r="Y86" s="188" t="s">
        <v>1040</v>
      </c>
      <c r="Z86" s="0" t="n">
        <v>2</v>
      </c>
      <c r="AA86" s="188" t="s">
        <v>1099</v>
      </c>
    </row>
    <row r="87" customFormat="false" ht="15" hidden="false" customHeight="true" outlineLevel="0" collapsed="false">
      <c r="A87" s="0" t="n">
        <v>17</v>
      </c>
      <c r="B87" s="187" t="n">
        <v>46153.44103556</v>
      </c>
      <c r="C87" s="187" t="n">
        <v>46153.451498523</v>
      </c>
      <c r="D87" s="188" t="s">
        <v>302</v>
      </c>
      <c r="E87" s="188" t="s">
        <v>303</v>
      </c>
      <c r="F87" s="188" t="s">
        <v>303</v>
      </c>
      <c r="G87" s="188" t="s">
        <v>304</v>
      </c>
      <c r="H87" s="187" t="n">
        <v>46147</v>
      </c>
      <c r="I87" s="188" t="s">
        <v>305</v>
      </c>
      <c r="J87" s="188" t="s">
        <v>108</v>
      </c>
      <c r="K87" s="188" t="s">
        <v>245</v>
      </c>
      <c r="L87" s="188" t="s">
        <v>197</v>
      </c>
      <c r="M87" s="188" t="s">
        <v>185</v>
      </c>
      <c r="N87" s="188" t="s">
        <v>306</v>
      </c>
      <c r="O87" s="188" t="s">
        <v>107</v>
      </c>
      <c r="P87" s="188" t="s">
        <v>111</v>
      </c>
      <c r="Q87" s="188" t="s">
        <v>112</v>
      </c>
      <c r="R87" s="188" t="s">
        <v>21</v>
      </c>
      <c r="S87" s="188" t="s">
        <v>152</v>
      </c>
      <c r="T87" s="188" t="s">
        <v>121</v>
      </c>
      <c r="V87" s="188" t="s">
        <v>192</v>
      </c>
      <c r="W87" s="188" t="s">
        <v>124</v>
      </c>
      <c r="X87" s="188" t="s">
        <v>307</v>
      </c>
      <c r="Y87" s="188" t="s">
        <v>1035</v>
      </c>
      <c r="Z87" s="0" t="n">
        <v>1</v>
      </c>
      <c r="AA87" s="188" t="s">
        <v>1100</v>
      </c>
    </row>
    <row r="88" customFormat="false" ht="15" hidden="false" customHeight="true" outlineLevel="0" collapsed="false">
      <c r="A88" s="0" t="n">
        <v>17</v>
      </c>
      <c r="B88" s="187" t="n">
        <v>46153.44103556</v>
      </c>
      <c r="C88" s="187" t="n">
        <v>46153.451498523</v>
      </c>
      <c r="D88" s="188" t="s">
        <v>302</v>
      </c>
      <c r="E88" s="188" t="s">
        <v>303</v>
      </c>
      <c r="F88" s="188" t="s">
        <v>303</v>
      </c>
      <c r="G88" s="188" t="s">
        <v>304</v>
      </c>
      <c r="H88" s="187" t="n">
        <v>46147</v>
      </c>
      <c r="I88" s="188" t="s">
        <v>305</v>
      </c>
      <c r="J88" s="188" t="s">
        <v>108</v>
      </c>
      <c r="K88" s="188" t="s">
        <v>245</v>
      </c>
      <c r="L88" s="188" t="s">
        <v>197</v>
      </c>
      <c r="M88" s="188" t="s">
        <v>185</v>
      </c>
      <c r="N88" s="188" t="s">
        <v>306</v>
      </c>
      <c r="O88" s="188" t="s">
        <v>107</v>
      </c>
      <c r="P88" s="188" t="s">
        <v>111</v>
      </c>
      <c r="Q88" s="188" t="s">
        <v>112</v>
      </c>
      <c r="R88" s="188" t="s">
        <v>21</v>
      </c>
      <c r="S88" s="188" t="s">
        <v>152</v>
      </c>
      <c r="T88" s="188" t="s">
        <v>121</v>
      </c>
      <c r="V88" s="188" t="s">
        <v>192</v>
      </c>
      <c r="W88" s="188" t="s">
        <v>124</v>
      </c>
      <c r="X88" s="188" t="s">
        <v>307</v>
      </c>
      <c r="Y88" s="188" t="s">
        <v>1035</v>
      </c>
      <c r="Z88" s="0" t="n">
        <v>2</v>
      </c>
      <c r="AA88" s="188" t="s">
        <v>1101</v>
      </c>
    </row>
    <row r="89" customFormat="false" ht="15" hidden="false" customHeight="true" outlineLevel="0" collapsed="false">
      <c r="A89" s="0" t="n">
        <v>17</v>
      </c>
      <c r="B89" s="187" t="n">
        <v>46153.44103556</v>
      </c>
      <c r="C89" s="187" t="n">
        <v>46153.451498523</v>
      </c>
      <c r="D89" s="188" t="s">
        <v>302</v>
      </c>
      <c r="E89" s="188" t="s">
        <v>303</v>
      </c>
      <c r="F89" s="188" t="s">
        <v>303</v>
      </c>
      <c r="G89" s="188" t="s">
        <v>304</v>
      </c>
      <c r="H89" s="187" t="n">
        <v>46147</v>
      </c>
      <c r="I89" s="188" t="s">
        <v>305</v>
      </c>
      <c r="J89" s="188" t="s">
        <v>108</v>
      </c>
      <c r="K89" s="188" t="s">
        <v>245</v>
      </c>
      <c r="L89" s="188" t="s">
        <v>197</v>
      </c>
      <c r="M89" s="188" t="s">
        <v>185</v>
      </c>
      <c r="N89" s="188" t="s">
        <v>306</v>
      </c>
      <c r="O89" s="188" t="s">
        <v>107</v>
      </c>
      <c r="P89" s="188" t="s">
        <v>111</v>
      </c>
      <c r="Q89" s="188" t="s">
        <v>112</v>
      </c>
      <c r="R89" s="188" t="s">
        <v>21</v>
      </c>
      <c r="S89" s="188" t="s">
        <v>152</v>
      </c>
      <c r="T89" s="188" t="s">
        <v>121</v>
      </c>
      <c r="V89" s="188" t="s">
        <v>192</v>
      </c>
      <c r="W89" s="188" t="s">
        <v>124</v>
      </c>
      <c r="X89" s="188" t="s">
        <v>307</v>
      </c>
      <c r="Y89" s="188" t="s">
        <v>1035</v>
      </c>
      <c r="Z89" s="0" t="n">
        <v>3</v>
      </c>
      <c r="AA89" s="188" t="s">
        <v>1102</v>
      </c>
    </row>
    <row r="90" customFormat="false" ht="15" hidden="false" customHeight="true" outlineLevel="0" collapsed="false">
      <c r="A90" s="0" t="n">
        <v>17</v>
      </c>
      <c r="B90" s="187" t="n">
        <v>46153.44103556</v>
      </c>
      <c r="C90" s="187" t="n">
        <v>46153.451498523</v>
      </c>
      <c r="D90" s="188" t="s">
        <v>302</v>
      </c>
      <c r="E90" s="188" t="s">
        <v>303</v>
      </c>
      <c r="F90" s="188" t="s">
        <v>303</v>
      </c>
      <c r="G90" s="188" t="s">
        <v>304</v>
      </c>
      <c r="H90" s="187" t="n">
        <v>46147</v>
      </c>
      <c r="I90" s="188" t="s">
        <v>305</v>
      </c>
      <c r="J90" s="188" t="s">
        <v>108</v>
      </c>
      <c r="K90" s="188" t="s">
        <v>245</v>
      </c>
      <c r="L90" s="188" t="s">
        <v>197</v>
      </c>
      <c r="M90" s="188" t="s">
        <v>185</v>
      </c>
      <c r="N90" s="188" t="s">
        <v>306</v>
      </c>
      <c r="O90" s="188" t="s">
        <v>107</v>
      </c>
      <c r="P90" s="188" t="s">
        <v>111</v>
      </c>
      <c r="Q90" s="188" t="s">
        <v>112</v>
      </c>
      <c r="R90" s="188" t="s">
        <v>21</v>
      </c>
      <c r="S90" s="188" t="s">
        <v>152</v>
      </c>
      <c r="T90" s="188" t="s">
        <v>121</v>
      </c>
      <c r="V90" s="188" t="s">
        <v>192</v>
      </c>
      <c r="W90" s="188" t="s">
        <v>124</v>
      </c>
      <c r="X90" s="188" t="s">
        <v>307</v>
      </c>
      <c r="Y90" s="188" t="s">
        <v>1037</v>
      </c>
      <c r="Z90" s="0" t="n">
        <v>1</v>
      </c>
      <c r="AA90" s="188" t="s">
        <v>1103</v>
      </c>
    </row>
    <row r="91" customFormat="false" ht="15" hidden="false" customHeight="true" outlineLevel="0" collapsed="false">
      <c r="A91" s="0" t="n">
        <v>17</v>
      </c>
      <c r="B91" s="187" t="n">
        <v>46153.44103556</v>
      </c>
      <c r="C91" s="187" t="n">
        <v>46153.451498523</v>
      </c>
      <c r="D91" s="188" t="s">
        <v>302</v>
      </c>
      <c r="E91" s="188" t="s">
        <v>303</v>
      </c>
      <c r="F91" s="188" t="s">
        <v>303</v>
      </c>
      <c r="G91" s="188" t="s">
        <v>304</v>
      </c>
      <c r="H91" s="187" t="n">
        <v>46147</v>
      </c>
      <c r="I91" s="188" t="s">
        <v>305</v>
      </c>
      <c r="J91" s="188" t="s">
        <v>108</v>
      </c>
      <c r="K91" s="188" t="s">
        <v>245</v>
      </c>
      <c r="L91" s="188" t="s">
        <v>197</v>
      </c>
      <c r="M91" s="188" t="s">
        <v>185</v>
      </c>
      <c r="N91" s="188" t="s">
        <v>306</v>
      </c>
      <c r="O91" s="188" t="s">
        <v>107</v>
      </c>
      <c r="P91" s="188" t="s">
        <v>111</v>
      </c>
      <c r="Q91" s="188" t="s">
        <v>112</v>
      </c>
      <c r="R91" s="188" t="s">
        <v>21</v>
      </c>
      <c r="S91" s="188" t="s">
        <v>152</v>
      </c>
      <c r="T91" s="188" t="s">
        <v>121</v>
      </c>
      <c r="V91" s="188" t="s">
        <v>192</v>
      </c>
      <c r="W91" s="188" t="s">
        <v>124</v>
      </c>
      <c r="X91" s="188" t="s">
        <v>307</v>
      </c>
      <c r="Y91" s="188" t="s">
        <v>1037</v>
      </c>
      <c r="Z91" s="0" t="n">
        <v>2</v>
      </c>
      <c r="AA91" s="188" t="s">
        <v>1104</v>
      </c>
    </row>
    <row r="92" customFormat="false" ht="15" hidden="false" customHeight="true" outlineLevel="0" collapsed="false">
      <c r="A92" s="0" t="n">
        <v>17</v>
      </c>
      <c r="B92" s="187" t="n">
        <v>46153.44103556</v>
      </c>
      <c r="C92" s="187" t="n">
        <v>46153.451498523</v>
      </c>
      <c r="D92" s="188" t="s">
        <v>302</v>
      </c>
      <c r="E92" s="188" t="s">
        <v>303</v>
      </c>
      <c r="F92" s="188" t="s">
        <v>303</v>
      </c>
      <c r="G92" s="188" t="s">
        <v>304</v>
      </c>
      <c r="H92" s="187" t="n">
        <v>46147</v>
      </c>
      <c r="I92" s="188" t="s">
        <v>305</v>
      </c>
      <c r="J92" s="188" t="s">
        <v>108</v>
      </c>
      <c r="K92" s="188" t="s">
        <v>245</v>
      </c>
      <c r="L92" s="188" t="s">
        <v>197</v>
      </c>
      <c r="M92" s="188" t="s">
        <v>185</v>
      </c>
      <c r="N92" s="188" t="s">
        <v>306</v>
      </c>
      <c r="O92" s="188" t="s">
        <v>107</v>
      </c>
      <c r="P92" s="188" t="s">
        <v>111</v>
      </c>
      <c r="Q92" s="188" t="s">
        <v>112</v>
      </c>
      <c r="R92" s="188" t="s">
        <v>21</v>
      </c>
      <c r="S92" s="188" t="s">
        <v>152</v>
      </c>
      <c r="T92" s="188" t="s">
        <v>121</v>
      </c>
      <c r="V92" s="188" t="s">
        <v>192</v>
      </c>
      <c r="W92" s="188" t="s">
        <v>124</v>
      </c>
      <c r="X92" s="188" t="s">
        <v>307</v>
      </c>
      <c r="Y92" s="188" t="s">
        <v>1040</v>
      </c>
      <c r="Z92" s="0" t="n">
        <v>1</v>
      </c>
      <c r="AA92" s="188" t="s">
        <v>1105</v>
      </c>
    </row>
    <row r="93" customFormat="false" ht="15" hidden="false" customHeight="true" outlineLevel="0" collapsed="false">
      <c r="A93" s="0" t="n">
        <v>17</v>
      </c>
      <c r="B93" s="187" t="n">
        <v>46153.44103556</v>
      </c>
      <c r="C93" s="187" t="n">
        <v>46153.451498523</v>
      </c>
      <c r="D93" s="188" t="s">
        <v>302</v>
      </c>
      <c r="E93" s="188" t="s">
        <v>303</v>
      </c>
      <c r="F93" s="188" t="s">
        <v>303</v>
      </c>
      <c r="G93" s="188" t="s">
        <v>304</v>
      </c>
      <c r="H93" s="187" t="n">
        <v>46147</v>
      </c>
      <c r="I93" s="188" t="s">
        <v>305</v>
      </c>
      <c r="J93" s="188" t="s">
        <v>108</v>
      </c>
      <c r="K93" s="188" t="s">
        <v>245</v>
      </c>
      <c r="L93" s="188" t="s">
        <v>197</v>
      </c>
      <c r="M93" s="188" t="s">
        <v>185</v>
      </c>
      <c r="N93" s="188" t="s">
        <v>306</v>
      </c>
      <c r="O93" s="188" t="s">
        <v>107</v>
      </c>
      <c r="P93" s="188" t="s">
        <v>111</v>
      </c>
      <c r="Q93" s="188" t="s">
        <v>112</v>
      </c>
      <c r="R93" s="188" t="s">
        <v>21</v>
      </c>
      <c r="S93" s="188" t="s">
        <v>152</v>
      </c>
      <c r="T93" s="188" t="s">
        <v>121</v>
      </c>
      <c r="V93" s="188" t="s">
        <v>192</v>
      </c>
      <c r="W93" s="188" t="s">
        <v>124</v>
      </c>
      <c r="X93" s="188" t="s">
        <v>307</v>
      </c>
      <c r="Y93" s="188" t="s">
        <v>1040</v>
      </c>
      <c r="Z93" s="0" t="n">
        <v>2</v>
      </c>
      <c r="AA93" s="188" t="s">
        <v>1106</v>
      </c>
    </row>
    <row r="94" customFormat="false" ht="15" hidden="false" customHeight="true" outlineLevel="0" collapsed="false">
      <c r="A94" s="0" t="n">
        <v>18</v>
      </c>
      <c r="B94" s="187" t="n">
        <v>46082.1562983596</v>
      </c>
      <c r="C94" s="187" t="n">
        <v>46082.1724326189</v>
      </c>
      <c r="D94" s="188" t="s">
        <v>311</v>
      </c>
      <c r="E94" s="188" t="s">
        <v>312</v>
      </c>
      <c r="F94" s="188" t="s">
        <v>313</v>
      </c>
      <c r="G94" s="188" t="s">
        <v>314</v>
      </c>
      <c r="H94" s="187" t="n">
        <v>46070</v>
      </c>
      <c r="I94" s="188" t="s">
        <v>113</v>
      </c>
      <c r="J94" s="188" t="s">
        <v>295</v>
      </c>
      <c r="K94" s="188" t="s">
        <v>315</v>
      </c>
      <c r="L94" s="188" t="s">
        <v>159</v>
      </c>
      <c r="M94" s="188" t="s">
        <v>212</v>
      </c>
      <c r="N94" s="188" t="s">
        <v>316</v>
      </c>
      <c r="O94" s="188" t="s">
        <v>244</v>
      </c>
      <c r="P94" s="188" t="s">
        <v>111</v>
      </c>
      <c r="Q94" s="188" t="s">
        <v>112</v>
      </c>
      <c r="R94" s="188" t="s">
        <v>22</v>
      </c>
      <c r="S94" s="188" t="s">
        <v>320</v>
      </c>
      <c r="T94" s="188" t="s">
        <v>121</v>
      </c>
      <c r="U94" s="188" t="s">
        <v>321</v>
      </c>
      <c r="V94" s="188" t="s">
        <v>123</v>
      </c>
      <c r="W94" s="188" t="s">
        <v>124</v>
      </c>
      <c r="X94" s="188" t="s">
        <v>271</v>
      </c>
      <c r="Y94" s="188" t="s">
        <v>1035</v>
      </c>
      <c r="Z94" s="0" t="n">
        <v>1</v>
      </c>
      <c r="AA94" s="188" t="s">
        <v>1107</v>
      </c>
    </row>
    <row r="95" customFormat="false" ht="15" hidden="false" customHeight="true" outlineLevel="0" collapsed="false">
      <c r="A95" s="0" t="n">
        <v>18</v>
      </c>
      <c r="B95" s="187" t="n">
        <v>46082.1562983596</v>
      </c>
      <c r="C95" s="187" t="n">
        <v>46082.1724326189</v>
      </c>
      <c r="D95" s="188" t="s">
        <v>311</v>
      </c>
      <c r="E95" s="188" t="s">
        <v>312</v>
      </c>
      <c r="F95" s="188" t="s">
        <v>313</v>
      </c>
      <c r="G95" s="188" t="s">
        <v>314</v>
      </c>
      <c r="H95" s="187" t="n">
        <v>46070</v>
      </c>
      <c r="I95" s="188" t="s">
        <v>113</v>
      </c>
      <c r="J95" s="188" t="s">
        <v>295</v>
      </c>
      <c r="K95" s="188" t="s">
        <v>315</v>
      </c>
      <c r="L95" s="188" t="s">
        <v>159</v>
      </c>
      <c r="M95" s="188" t="s">
        <v>212</v>
      </c>
      <c r="N95" s="188" t="s">
        <v>316</v>
      </c>
      <c r="O95" s="188" t="s">
        <v>244</v>
      </c>
      <c r="P95" s="188" t="s">
        <v>111</v>
      </c>
      <c r="Q95" s="188" t="s">
        <v>112</v>
      </c>
      <c r="R95" s="188" t="s">
        <v>22</v>
      </c>
      <c r="S95" s="188" t="s">
        <v>320</v>
      </c>
      <c r="T95" s="188" t="s">
        <v>121</v>
      </c>
      <c r="U95" s="188" t="s">
        <v>321</v>
      </c>
      <c r="V95" s="188" t="s">
        <v>123</v>
      </c>
      <c r="W95" s="188" t="s">
        <v>124</v>
      </c>
      <c r="X95" s="188" t="s">
        <v>271</v>
      </c>
      <c r="Y95" s="188" t="s">
        <v>1035</v>
      </c>
      <c r="Z95" s="0" t="n">
        <v>2</v>
      </c>
      <c r="AA95" s="188" t="s">
        <v>1108</v>
      </c>
    </row>
    <row r="96" customFormat="false" ht="15" hidden="false" customHeight="true" outlineLevel="0" collapsed="false">
      <c r="A96" s="0" t="n">
        <v>18</v>
      </c>
      <c r="B96" s="187" t="n">
        <v>46082.1562983596</v>
      </c>
      <c r="C96" s="187" t="n">
        <v>46082.1724326189</v>
      </c>
      <c r="D96" s="188" t="s">
        <v>311</v>
      </c>
      <c r="E96" s="188" t="s">
        <v>312</v>
      </c>
      <c r="F96" s="188" t="s">
        <v>313</v>
      </c>
      <c r="G96" s="188" t="s">
        <v>314</v>
      </c>
      <c r="H96" s="187" t="n">
        <v>46070</v>
      </c>
      <c r="I96" s="188" t="s">
        <v>113</v>
      </c>
      <c r="J96" s="188" t="s">
        <v>295</v>
      </c>
      <c r="K96" s="188" t="s">
        <v>315</v>
      </c>
      <c r="L96" s="188" t="s">
        <v>159</v>
      </c>
      <c r="M96" s="188" t="s">
        <v>212</v>
      </c>
      <c r="N96" s="188" t="s">
        <v>316</v>
      </c>
      <c r="O96" s="188" t="s">
        <v>244</v>
      </c>
      <c r="P96" s="188" t="s">
        <v>111</v>
      </c>
      <c r="Q96" s="188" t="s">
        <v>112</v>
      </c>
      <c r="R96" s="188" t="s">
        <v>22</v>
      </c>
      <c r="S96" s="188" t="s">
        <v>320</v>
      </c>
      <c r="T96" s="188" t="s">
        <v>121</v>
      </c>
      <c r="U96" s="188" t="s">
        <v>321</v>
      </c>
      <c r="V96" s="188" t="s">
        <v>123</v>
      </c>
      <c r="W96" s="188" t="s">
        <v>124</v>
      </c>
      <c r="X96" s="188" t="s">
        <v>271</v>
      </c>
      <c r="Y96" s="188" t="s">
        <v>1037</v>
      </c>
      <c r="Z96" s="0" t="n">
        <v>1</v>
      </c>
      <c r="AA96" s="188" t="s">
        <v>1109</v>
      </c>
    </row>
    <row r="97" customFormat="false" ht="15" hidden="false" customHeight="true" outlineLevel="0" collapsed="false">
      <c r="A97" s="0" t="n">
        <v>18</v>
      </c>
      <c r="B97" s="187" t="n">
        <v>46082.1562983596</v>
      </c>
      <c r="C97" s="187" t="n">
        <v>46082.1724326189</v>
      </c>
      <c r="D97" s="188" t="s">
        <v>311</v>
      </c>
      <c r="E97" s="188" t="s">
        <v>312</v>
      </c>
      <c r="F97" s="188" t="s">
        <v>313</v>
      </c>
      <c r="G97" s="188" t="s">
        <v>314</v>
      </c>
      <c r="H97" s="187" t="n">
        <v>46070</v>
      </c>
      <c r="I97" s="188" t="s">
        <v>113</v>
      </c>
      <c r="J97" s="188" t="s">
        <v>295</v>
      </c>
      <c r="K97" s="188" t="s">
        <v>315</v>
      </c>
      <c r="L97" s="188" t="s">
        <v>159</v>
      </c>
      <c r="M97" s="188" t="s">
        <v>212</v>
      </c>
      <c r="N97" s="188" t="s">
        <v>316</v>
      </c>
      <c r="O97" s="188" t="s">
        <v>244</v>
      </c>
      <c r="P97" s="188" t="s">
        <v>111</v>
      </c>
      <c r="Q97" s="188" t="s">
        <v>112</v>
      </c>
      <c r="R97" s="188" t="s">
        <v>22</v>
      </c>
      <c r="S97" s="188" t="s">
        <v>320</v>
      </c>
      <c r="T97" s="188" t="s">
        <v>121</v>
      </c>
      <c r="U97" s="188" t="s">
        <v>321</v>
      </c>
      <c r="V97" s="188" t="s">
        <v>123</v>
      </c>
      <c r="W97" s="188" t="s">
        <v>124</v>
      </c>
      <c r="X97" s="188" t="s">
        <v>271</v>
      </c>
      <c r="Y97" s="188" t="s">
        <v>1037</v>
      </c>
      <c r="Z97" s="0" t="n">
        <v>2</v>
      </c>
      <c r="AA97" s="188" t="s">
        <v>1110</v>
      </c>
    </row>
    <row r="98" customFormat="false" ht="15" hidden="false" customHeight="true" outlineLevel="0" collapsed="false">
      <c r="A98" s="0" t="n">
        <v>18</v>
      </c>
      <c r="B98" s="187" t="n">
        <v>46082.1562983596</v>
      </c>
      <c r="C98" s="187" t="n">
        <v>46082.1724326189</v>
      </c>
      <c r="D98" s="188" t="s">
        <v>311</v>
      </c>
      <c r="E98" s="188" t="s">
        <v>312</v>
      </c>
      <c r="F98" s="188" t="s">
        <v>313</v>
      </c>
      <c r="G98" s="188" t="s">
        <v>314</v>
      </c>
      <c r="H98" s="187" t="n">
        <v>46070</v>
      </c>
      <c r="I98" s="188" t="s">
        <v>113</v>
      </c>
      <c r="J98" s="188" t="s">
        <v>295</v>
      </c>
      <c r="K98" s="188" t="s">
        <v>315</v>
      </c>
      <c r="L98" s="188" t="s">
        <v>159</v>
      </c>
      <c r="M98" s="188" t="s">
        <v>212</v>
      </c>
      <c r="N98" s="188" t="s">
        <v>316</v>
      </c>
      <c r="O98" s="188" t="s">
        <v>244</v>
      </c>
      <c r="P98" s="188" t="s">
        <v>111</v>
      </c>
      <c r="Q98" s="188" t="s">
        <v>112</v>
      </c>
      <c r="R98" s="188" t="s">
        <v>22</v>
      </c>
      <c r="S98" s="188" t="s">
        <v>320</v>
      </c>
      <c r="T98" s="188" t="s">
        <v>121</v>
      </c>
      <c r="U98" s="188" t="s">
        <v>321</v>
      </c>
      <c r="V98" s="188" t="s">
        <v>123</v>
      </c>
      <c r="W98" s="188" t="s">
        <v>124</v>
      </c>
      <c r="X98" s="188" t="s">
        <v>271</v>
      </c>
      <c r="Y98" s="188" t="s">
        <v>1040</v>
      </c>
      <c r="Z98" s="0" t="n">
        <v>1</v>
      </c>
      <c r="AA98" s="188" t="s">
        <v>1089</v>
      </c>
    </row>
    <row r="99" customFormat="false" ht="15" hidden="false" customHeight="true" outlineLevel="0" collapsed="false">
      <c r="A99" s="0" t="n">
        <v>18</v>
      </c>
      <c r="B99" s="187" t="n">
        <v>46082.1562983596</v>
      </c>
      <c r="C99" s="187" t="n">
        <v>46082.1724326189</v>
      </c>
      <c r="D99" s="188" t="s">
        <v>311</v>
      </c>
      <c r="E99" s="188" t="s">
        <v>312</v>
      </c>
      <c r="F99" s="188" t="s">
        <v>313</v>
      </c>
      <c r="G99" s="188" t="s">
        <v>314</v>
      </c>
      <c r="H99" s="187" t="n">
        <v>46070</v>
      </c>
      <c r="I99" s="188" t="s">
        <v>113</v>
      </c>
      <c r="J99" s="188" t="s">
        <v>295</v>
      </c>
      <c r="K99" s="188" t="s">
        <v>315</v>
      </c>
      <c r="L99" s="188" t="s">
        <v>159</v>
      </c>
      <c r="M99" s="188" t="s">
        <v>212</v>
      </c>
      <c r="N99" s="188" t="s">
        <v>316</v>
      </c>
      <c r="O99" s="188" t="s">
        <v>244</v>
      </c>
      <c r="P99" s="188" t="s">
        <v>111</v>
      </c>
      <c r="Q99" s="188" t="s">
        <v>112</v>
      </c>
      <c r="R99" s="188" t="s">
        <v>22</v>
      </c>
      <c r="S99" s="188" t="s">
        <v>320</v>
      </c>
      <c r="T99" s="188" t="s">
        <v>121</v>
      </c>
      <c r="U99" s="188" t="s">
        <v>321</v>
      </c>
      <c r="V99" s="188" t="s">
        <v>123</v>
      </c>
      <c r="W99" s="188" t="s">
        <v>124</v>
      </c>
      <c r="X99" s="188" t="s">
        <v>271</v>
      </c>
      <c r="Y99" s="188" t="s">
        <v>1040</v>
      </c>
      <c r="Z99" s="0" t="n">
        <v>2</v>
      </c>
      <c r="AA99" s="188" t="s">
        <v>122</v>
      </c>
    </row>
    <row r="100" customFormat="false" ht="15" hidden="false" customHeight="true" outlineLevel="0" collapsed="false">
      <c r="A100" s="0" t="n">
        <v>19</v>
      </c>
      <c r="B100" s="187" t="n">
        <v>46123.8868805544</v>
      </c>
      <c r="C100" s="187" t="n">
        <v>46123.8939175915</v>
      </c>
      <c r="D100" s="188" t="s">
        <v>322</v>
      </c>
      <c r="E100" s="188" t="s">
        <v>323</v>
      </c>
      <c r="F100" s="188" t="s">
        <v>323</v>
      </c>
      <c r="G100" s="188" t="s">
        <v>324</v>
      </c>
      <c r="H100" s="187" t="n">
        <v>46120</v>
      </c>
      <c r="I100" s="188" t="s">
        <v>325</v>
      </c>
      <c r="J100" s="188" t="s">
        <v>108</v>
      </c>
      <c r="K100" s="188" t="s">
        <v>257</v>
      </c>
      <c r="L100" s="188" t="s">
        <v>268</v>
      </c>
      <c r="M100" s="188" t="s">
        <v>326</v>
      </c>
      <c r="N100" s="188" t="s">
        <v>259</v>
      </c>
      <c r="O100" s="188" t="s">
        <v>244</v>
      </c>
      <c r="P100" s="188" t="s">
        <v>111</v>
      </c>
      <c r="Q100" s="188" t="s">
        <v>247</v>
      </c>
      <c r="R100" s="188" t="s">
        <v>25</v>
      </c>
      <c r="S100" s="188" t="s">
        <v>120</v>
      </c>
      <c r="T100" s="188" t="s">
        <v>180</v>
      </c>
      <c r="U100" s="188" t="s">
        <v>122</v>
      </c>
      <c r="V100" s="188" t="s">
        <v>167</v>
      </c>
      <c r="W100" s="188" t="s">
        <v>124</v>
      </c>
      <c r="X100" s="188" t="s">
        <v>327</v>
      </c>
      <c r="Y100" s="188" t="s">
        <v>1035</v>
      </c>
      <c r="Z100" s="0" t="n">
        <v>1</v>
      </c>
      <c r="AA100" s="188" t="s">
        <v>1052</v>
      </c>
    </row>
    <row r="101" customFormat="false" ht="15" hidden="false" customHeight="true" outlineLevel="0" collapsed="false">
      <c r="A101" s="0" t="n">
        <v>19</v>
      </c>
      <c r="B101" s="187" t="n">
        <v>46123.8868805544</v>
      </c>
      <c r="C101" s="187" t="n">
        <v>46123.8939175915</v>
      </c>
      <c r="D101" s="188" t="s">
        <v>322</v>
      </c>
      <c r="E101" s="188" t="s">
        <v>323</v>
      </c>
      <c r="F101" s="188" t="s">
        <v>323</v>
      </c>
      <c r="G101" s="188" t="s">
        <v>324</v>
      </c>
      <c r="H101" s="187" t="n">
        <v>46120</v>
      </c>
      <c r="I101" s="188" t="s">
        <v>325</v>
      </c>
      <c r="J101" s="188" t="s">
        <v>108</v>
      </c>
      <c r="K101" s="188" t="s">
        <v>257</v>
      </c>
      <c r="L101" s="188" t="s">
        <v>268</v>
      </c>
      <c r="M101" s="188" t="s">
        <v>326</v>
      </c>
      <c r="N101" s="188" t="s">
        <v>259</v>
      </c>
      <c r="O101" s="188" t="s">
        <v>244</v>
      </c>
      <c r="P101" s="188" t="s">
        <v>111</v>
      </c>
      <c r="Q101" s="188" t="s">
        <v>247</v>
      </c>
      <c r="R101" s="188" t="s">
        <v>25</v>
      </c>
      <c r="S101" s="188" t="s">
        <v>120</v>
      </c>
      <c r="T101" s="188" t="s">
        <v>180</v>
      </c>
      <c r="U101" s="188" t="s">
        <v>122</v>
      </c>
      <c r="V101" s="188" t="s">
        <v>167</v>
      </c>
      <c r="W101" s="188" t="s">
        <v>124</v>
      </c>
      <c r="X101" s="188" t="s">
        <v>327</v>
      </c>
      <c r="Y101" s="188" t="s">
        <v>1035</v>
      </c>
      <c r="Z101" s="0" t="n">
        <v>2</v>
      </c>
      <c r="AA101" s="188" t="s">
        <v>1111</v>
      </c>
    </row>
    <row r="102" customFormat="false" ht="15" hidden="false" customHeight="true" outlineLevel="0" collapsed="false">
      <c r="A102" s="0" t="n">
        <v>19</v>
      </c>
      <c r="B102" s="187" t="n">
        <v>46123.8868805544</v>
      </c>
      <c r="C102" s="187" t="n">
        <v>46123.8939175915</v>
      </c>
      <c r="D102" s="188" t="s">
        <v>322</v>
      </c>
      <c r="E102" s="188" t="s">
        <v>323</v>
      </c>
      <c r="F102" s="188" t="s">
        <v>323</v>
      </c>
      <c r="G102" s="188" t="s">
        <v>324</v>
      </c>
      <c r="H102" s="187" t="n">
        <v>46120</v>
      </c>
      <c r="I102" s="188" t="s">
        <v>325</v>
      </c>
      <c r="J102" s="188" t="s">
        <v>108</v>
      </c>
      <c r="K102" s="188" t="s">
        <v>257</v>
      </c>
      <c r="L102" s="188" t="s">
        <v>268</v>
      </c>
      <c r="M102" s="188" t="s">
        <v>326</v>
      </c>
      <c r="N102" s="188" t="s">
        <v>259</v>
      </c>
      <c r="O102" s="188" t="s">
        <v>244</v>
      </c>
      <c r="P102" s="188" t="s">
        <v>111</v>
      </c>
      <c r="Q102" s="188" t="s">
        <v>247</v>
      </c>
      <c r="R102" s="188" t="s">
        <v>25</v>
      </c>
      <c r="S102" s="188" t="s">
        <v>120</v>
      </c>
      <c r="T102" s="188" t="s">
        <v>180</v>
      </c>
      <c r="U102" s="188" t="s">
        <v>122</v>
      </c>
      <c r="V102" s="188" t="s">
        <v>167</v>
      </c>
      <c r="W102" s="188" t="s">
        <v>124</v>
      </c>
      <c r="X102" s="188" t="s">
        <v>327</v>
      </c>
      <c r="Y102" s="188" t="s">
        <v>1035</v>
      </c>
      <c r="Z102" s="0" t="n">
        <v>3</v>
      </c>
      <c r="AA102" s="188" t="s">
        <v>1066</v>
      </c>
    </row>
    <row r="103" customFormat="false" ht="15" hidden="false" customHeight="true" outlineLevel="0" collapsed="false">
      <c r="A103" s="0" t="n">
        <v>19</v>
      </c>
      <c r="B103" s="187" t="n">
        <v>46123.8868805544</v>
      </c>
      <c r="C103" s="187" t="n">
        <v>46123.8939175915</v>
      </c>
      <c r="D103" s="188" t="s">
        <v>322</v>
      </c>
      <c r="E103" s="188" t="s">
        <v>323</v>
      </c>
      <c r="F103" s="188" t="s">
        <v>323</v>
      </c>
      <c r="G103" s="188" t="s">
        <v>324</v>
      </c>
      <c r="H103" s="187" t="n">
        <v>46120</v>
      </c>
      <c r="I103" s="188" t="s">
        <v>325</v>
      </c>
      <c r="J103" s="188" t="s">
        <v>108</v>
      </c>
      <c r="K103" s="188" t="s">
        <v>257</v>
      </c>
      <c r="L103" s="188" t="s">
        <v>268</v>
      </c>
      <c r="M103" s="188" t="s">
        <v>326</v>
      </c>
      <c r="N103" s="188" t="s">
        <v>259</v>
      </c>
      <c r="O103" s="188" t="s">
        <v>244</v>
      </c>
      <c r="P103" s="188" t="s">
        <v>111</v>
      </c>
      <c r="Q103" s="188" t="s">
        <v>247</v>
      </c>
      <c r="R103" s="188" t="s">
        <v>25</v>
      </c>
      <c r="S103" s="188" t="s">
        <v>120</v>
      </c>
      <c r="T103" s="188" t="s">
        <v>180</v>
      </c>
      <c r="U103" s="188" t="s">
        <v>122</v>
      </c>
      <c r="V103" s="188" t="s">
        <v>167</v>
      </c>
      <c r="W103" s="188" t="s">
        <v>124</v>
      </c>
      <c r="X103" s="188" t="s">
        <v>327</v>
      </c>
      <c r="Y103" s="188" t="s">
        <v>1037</v>
      </c>
      <c r="Z103" s="0" t="n">
        <v>1</v>
      </c>
      <c r="AA103" s="188" t="s">
        <v>1039</v>
      </c>
    </row>
    <row r="104" customFormat="false" ht="15" hidden="false" customHeight="true" outlineLevel="0" collapsed="false">
      <c r="A104" s="0" t="n">
        <v>19</v>
      </c>
      <c r="B104" s="187" t="n">
        <v>46123.8868805544</v>
      </c>
      <c r="C104" s="187" t="n">
        <v>46123.8939175915</v>
      </c>
      <c r="D104" s="188" t="s">
        <v>322</v>
      </c>
      <c r="E104" s="188" t="s">
        <v>323</v>
      </c>
      <c r="F104" s="188" t="s">
        <v>323</v>
      </c>
      <c r="G104" s="188" t="s">
        <v>324</v>
      </c>
      <c r="H104" s="187" t="n">
        <v>46120</v>
      </c>
      <c r="I104" s="188" t="s">
        <v>325</v>
      </c>
      <c r="J104" s="188" t="s">
        <v>108</v>
      </c>
      <c r="K104" s="188" t="s">
        <v>257</v>
      </c>
      <c r="L104" s="188" t="s">
        <v>268</v>
      </c>
      <c r="M104" s="188" t="s">
        <v>326</v>
      </c>
      <c r="N104" s="188" t="s">
        <v>259</v>
      </c>
      <c r="O104" s="188" t="s">
        <v>244</v>
      </c>
      <c r="P104" s="188" t="s">
        <v>111</v>
      </c>
      <c r="Q104" s="188" t="s">
        <v>247</v>
      </c>
      <c r="R104" s="188" t="s">
        <v>25</v>
      </c>
      <c r="S104" s="188" t="s">
        <v>120</v>
      </c>
      <c r="T104" s="188" t="s">
        <v>180</v>
      </c>
      <c r="U104" s="188" t="s">
        <v>122</v>
      </c>
      <c r="V104" s="188" t="s">
        <v>167</v>
      </c>
      <c r="W104" s="188" t="s">
        <v>124</v>
      </c>
      <c r="X104" s="188" t="s">
        <v>327</v>
      </c>
      <c r="Y104" s="188" t="s">
        <v>1037</v>
      </c>
      <c r="Z104" s="0" t="n">
        <v>2</v>
      </c>
      <c r="AA104" s="188" t="s">
        <v>1038</v>
      </c>
    </row>
    <row r="105" customFormat="false" ht="15" hidden="false" customHeight="true" outlineLevel="0" collapsed="false">
      <c r="A105" s="0" t="n">
        <v>19</v>
      </c>
      <c r="B105" s="187" t="n">
        <v>46123.8868805544</v>
      </c>
      <c r="C105" s="187" t="n">
        <v>46123.8939175915</v>
      </c>
      <c r="D105" s="188" t="s">
        <v>322</v>
      </c>
      <c r="E105" s="188" t="s">
        <v>323</v>
      </c>
      <c r="F105" s="188" t="s">
        <v>323</v>
      </c>
      <c r="G105" s="188" t="s">
        <v>324</v>
      </c>
      <c r="H105" s="187" t="n">
        <v>46120</v>
      </c>
      <c r="I105" s="188" t="s">
        <v>325</v>
      </c>
      <c r="J105" s="188" t="s">
        <v>108</v>
      </c>
      <c r="K105" s="188" t="s">
        <v>257</v>
      </c>
      <c r="L105" s="188" t="s">
        <v>268</v>
      </c>
      <c r="M105" s="188" t="s">
        <v>326</v>
      </c>
      <c r="N105" s="188" t="s">
        <v>259</v>
      </c>
      <c r="O105" s="188" t="s">
        <v>244</v>
      </c>
      <c r="P105" s="188" t="s">
        <v>111</v>
      </c>
      <c r="Q105" s="188" t="s">
        <v>247</v>
      </c>
      <c r="R105" s="188" t="s">
        <v>25</v>
      </c>
      <c r="S105" s="188" t="s">
        <v>120</v>
      </c>
      <c r="T105" s="188" t="s">
        <v>180</v>
      </c>
      <c r="U105" s="188" t="s">
        <v>122</v>
      </c>
      <c r="V105" s="188" t="s">
        <v>167</v>
      </c>
      <c r="W105" s="188" t="s">
        <v>124</v>
      </c>
      <c r="X105" s="188" t="s">
        <v>327</v>
      </c>
      <c r="Y105" s="188" t="s">
        <v>1040</v>
      </c>
      <c r="Z105" s="0" t="n">
        <v>1</v>
      </c>
      <c r="AA105" s="188" t="s">
        <v>1112</v>
      </c>
    </row>
    <row r="106" customFormat="false" ht="15" hidden="false" customHeight="true" outlineLevel="0" collapsed="false">
      <c r="A106" s="0" t="n">
        <v>20</v>
      </c>
      <c r="B106" s="187" t="n">
        <v>46148.331821902</v>
      </c>
      <c r="C106" s="187" t="n">
        <v>46148.3414399576</v>
      </c>
      <c r="D106" s="188" t="s">
        <v>332</v>
      </c>
      <c r="E106" s="188" t="s">
        <v>333</v>
      </c>
      <c r="F106" s="188" t="s">
        <v>333</v>
      </c>
      <c r="G106" s="188" t="s">
        <v>334</v>
      </c>
      <c r="H106" s="187" t="n">
        <v>46137</v>
      </c>
      <c r="I106" s="188" t="s">
        <v>336</v>
      </c>
      <c r="J106" s="188" t="s">
        <v>295</v>
      </c>
      <c r="K106" s="188" t="s">
        <v>335</v>
      </c>
      <c r="L106" s="188" t="s">
        <v>159</v>
      </c>
      <c r="M106" s="188" t="s">
        <v>337</v>
      </c>
      <c r="N106" s="188" t="s">
        <v>338</v>
      </c>
      <c r="O106" s="188" t="s">
        <v>107</v>
      </c>
      <c r="P106" s="188" t="s">
        <v>131</v>
      </c>
      <c r="Q106" s="188" t="s">
        <v>112</v>
      </c>
      <c r="R106" s="188" t="s">
        <v>22</v>
      </c>
      <c r="S106" s="188" t="s">
        <v>120</v>
      </c>
      <c r="T106" s="188" t="s">
        <v>180</v>
      </c>
      <c r="V106" s="188" t="s">
        <v>167</v>
      </c>
      <c r="W106" s="188" t="s">
        <v>124</v>
      </c>
      <c r="X106" s="188" t="s">
        <v>339</v>
      </c>
      <c r="Y106" s="188" t="s">
        <v>1035</v>
      </c>
      <c r="Z106" s="0" t="n">
        <v>1</v>
      </c>
      <c r="AA106" s="188" t="s">
        <v>1113</v>
      </c>
    </row>
    <row r="107" customFormat="false" ht="15" hidden="false" customHeight="true" outlineLevel="0" collapsed="false">
      <c r="A107" s="0" t="n">
        <v>20</v>
      </c>
      <c r="B107" s="187" t="n">
        <v>46148.331821902</v>
      </c>
      <c r="C107" s="187" t="n">
        <v>46148.3414399576</v>
      </c>
      <c r="D107" s="188" t="s">
        <v>332</v>
      </c>
      <c r="E107" s="188" t="s">
        <v>333</v>
      </c>
      <c r="F107" s="188" t="s">
        <v>333</v>
      </c>
      <c r="G107" s="188" t="s">
        <v>334</v>
      </c>
      <c r="H107" s="187" t="n">
        <v>46137</v>
      </c>
      <c r="I107" s="188" t="s">
        <v>336</v>
      </c>
      <c r="J107" s="188" t="s">
        <v>295</v>
      </c>
      <c r="K107" s="188" t="s">
        <v>335</v>
      </c>
      <c r="L107" s="188" t="s">
        <v>159</v>
      </c>
      <c r="M107" s="188" t="s">
        <v>337</v>
      </c>
      <c r="N107" s="188" t="s">
        <v>338</v>
      </c>
      <c r="O107" s="188" t="s">
        <v>107</v>
      </c>
      <c r="P107" s="188" t="s">
        <v>131</v>
      </c>
      <c r="Q107" s="188" t="s">
        <v>112</v>
      </c>
      <c r="R107" s="188" t="s">
        <v>22</v>
      </c>
      <c r="S107" s="188" t="s">
        <v>120</v>
      </c>
      <c r="T107" s="188" t="s">
        <v>180</v>
      </c>
      <c r="V107" s="188" t="s">
        <v>167</v>
      </c>
      <c r="W107" s="188" t="s">
        <v>124</v>
      </c>
      <c r="X107" s="188" t="s">
        <v>339</v>
      </c>
      <c r="Y107" s="188" t="s">
        <v>1037</v>
      </c>
      <c r="Z107" s="0" t="n">
        <v>1</v>
      </c>
      <c r="AA107" s="188" t="s">
        <v>1114</v>
      </c>
    </row>
    <row r="108" customFormat="false" ht="27.75" hidden="false" customHeight="true" outlineLevel="0" collapsed="false">
      <c r="A108" s="0" t="n">
        <v>20</v>
      </c>
      <c r="B108" s="187" t="n">
        <v>46148.331821902</v>
      </c>
      <c r="C108" s="187" t="n">
        <v>46148.3414399576</v>
      </c>
      <c r="D108" s="188" t="s">
        <v>332</v>
      </c>
      <c r="E108" s="188" t="s">
        <v>333</v>
      </c>
      <c r="F108" s="188" t="s">
        <v>333</v>
      </c>
      <c r="G108" s="188" t="s">
        <v>334</v>
      </c>
      <c r="H108" s="187" t="n">
        <v>46137</v>
      </c>
      <c r="I108" s="188" t="s">
        <v>336</v>
      </c>
      <c r="J108" s="188" t="s">
        <v>295</v>
      </c>
      <c r="K108" s="188" t="s">
        <v>335</v>
      </c>
      <c r="L108" s="188" t="s">
        <v>159</v>
      </c>
      <c r="M108" s="188" t="s">
        <v>337</v>
      </c>
      <c r="N108" s="188" t="s">
        <v>338</v>
      </c>
      <c r="O108" s="188" t="s">
        <v>107</v>
      </c>
      <c r="P108" s="188" t="s">
        <v>131</v>
      </c>
      <c r="Q108" s="188" t="s">
        <v>112</v>
      </c>
      <c r="R108" s="188" t="s">
        <v>22</v>
      </c>
      <c r="S108" s="188" t="s">
        <v>120</v>
      </c>
      <c r="T108" s="188" t="s">
        <v>180</v>
      </c>
      <c r="V108" s="188" t="s">
        <v>167</v>
      </c>
      <c r="W108" s="188" t="s">
        <v>124</v>
      </c>
      <c r="X108" s="188" t="s">
        <v>339</v>
      </c>
      <c r="Y108" s="188" t="s">
        <v>1037</v>
      </c>
      <c r="Z108" s="0" t="n">
        <v>2</v>
      </c>
      <c r="AA108" s="188" t="s">
        <v>1115</v>
      </c>
    </row>
    <row r="109" customFormat="false" ht="27.75" hidden="false" customHeight="true" outlineLevel="0" collapsed="false">
      <c r="A109" s="0" t="n">
        <v>20</v>
      </c>
      <c r="B109" s="187" t="n">
        <v>46148.331821902</v>
      </c>
      <c r="C109" s="187" t="n">
        <v>46148.3414399576</v>
      </c>
      <c r="D109" s="188" t="s">
        <v>332</v>
      </c>
      <c r="E109" s="188" t="s">
        <v>333</v>
      </c>
      <c r="F109" s="188" t="s">
        <v>333</v>
      </c>
      <c r="G109" s="188" t="s">
        <v>334</v>
      </c>
      <c r="H109" s="187" t="n">
        <v>46137</v>
      </c>
      <c r="I109" s="188" t="s">
        <v>336</v>
      </c>
      <c r="J109" s="188" t="s">
        <v>295</v>
      </c>
      <c r="K109" s="188" t="s">
        <v>335</v>
      </c>
      <c r="L109" s="188" t="s">
        <v>159</v>
      </c>
      <c r="M109" s="188" t="s">
        <v>337</v>
      </c>
      <c r="N109" s="188" t="s">
        <v>338</v>
      </c>
      <c r="O109" s="188" t="s">
        <v>107</v>
      </c>
      <c r="P109" s="188" t="s">
        <v>131</v>
      </c>
      <c r="Q109" s="188" t="s">
        <v>112</v>
      </c>
      <c r="R109" s="188" t="s">
        <v>22</v>
      </c>
      <c r="S109" s="188" t="s">
        <v>120</v>
      </c>
      <c r="T109" s="188" t="s">
        <v>180</v>
      </c>
      <c r="V109" s="188" t="s">
        <v>167</v>
      </c>
      <c r="W109" s="188" t="s">
        <v>124</v>
      </c>
      <c r="X109" s="188" t="s">
        <v>339</v>
      </c>
      <c r="Y109" s="188" t="s">
        <v>1040</v>
      </c>
      <c r="Z109" s="0" t="n">
        <v>1</v>
      </c>
      <c r="AA109" s="188" t="s">
        <v>1116</v>
      </c>
    </row>
    <row r="110" customFormat="false" ht="27.75" hidden="false" customHeight="true" outlineLevel="0" collapsed="false">
      <c r="A110" s="0" t="n">
        <v>20</v>
      </c>
      <c r="B110" s="187" t="n">
        <v>46148.331821902</v>
      </c>
      <c r="C110" s="187" t="n">
        <v>46148.3414399576</v>
      </c>
      <c r="D110" s="188" t="s">
        <v>332</v>
      </c>
      <c r="E110" s="188" t="s">
        <v>333</v>
      </c>
      <c r="F110" s="188" t="s">
        <v>333</v>
      </c>
      <c r="G110" s="188" t="s">
        <v>334</v>
      </c>
      <c r="H110" s="187" t="n">
        <v>46137</v>
      </c>
      <c r="I110" s="188" t="s">
        <v>336</v>
      </c>
      <c r="J110" s="188" t="s">
        <v>295</v>
      </c>
      <c r="K110" s="188" t="s">
        <v>335</v>
      </c>
      <c r="L110" s="188" t="s">
        <v>159</v>
      </c>
      <c r="M110" s="188" t="s">
        <v>337</v>
      </c>
      <c r="N110" s="188" t="s">
        <v>338</v>
      </c>
      <c r="O110" s="188" t="s">
        <v>107</v>
      </c>
      <c r="P110" s="188" t="s">
        <v>131</v>
      </c>
      <c r="Q110" s="188" t="s">
        <v>112</v>
      </c>
      <c r="R110" s="188" t="s">
        <v>22</v>
      </c>
      <c r="S110" s="188" t="s">
        <v>120</v>
      </c>
      <c r="T110" s="188" t="s">
        <v>180</v>
      </c>
      <c r="V110" s="188" t="s">
        <v>167</v>
      </c>
      <c r="W110" s="188" t="s">
        <v>124</v>
      </c>
      <c r="X110" s="188" t="s">
        <v>339</v>
      </c>
      <c r="Y110" s="188" t="s">
        <v>1040</v>
      </c>
      <c r="Z110" s="0" t="n">
        <v>2</v>
      </c>
      <c r="AA110" s="188" t="s">
        <v>1117</v>
      </c>
    </row>
    <row r="111" customFormat="false" ht="15" hidden="false" customHeight="true" outlineLevel="0" collapsed="false">
      <c r="A111" s="0" t="n">
        <v>21</v>
      </c>
      <c r="B111" s="187" t="n">
        <v>46215.6224446918</v>
      </c>
      <c r="C111" s="187" t="n">
        <v>46215.639666914</v>
      </c>
      <c r="D111" s="188" t="s">
        <v>343</v>
      </c>
      <c r="E111" s="188" t="s">
        <v>344</v>
      </c>
      <c r="F111" s="188" t="s">
        <v>344</v>
      </c>
      <c r="G111" s="188" t="s">
        <v>345</v>
      </c>
      <c r="H111" s="187" t="n">
        <v>46200</v>
      </c>
      <c r="I111" s="188" t="s">
        <v>325</v>
      </c>
      <c r="J111" s="188" t="s">
        <v>108</v>
      </c>
      <c r="K111" s="188" t="s">
        <v>158</v>
      </c>
      <c r="L111" s="188" t="s">
        <v>346</v>
      </c>
      <c r="M111" s="188" t="s">
        <v>258</v>
      </c>
      <c r="N111" s="188" t="s">
        <v>347</v>
      </c>
      <c r="O111" s="188" t="s">
        <v>157</v>
      </c>
      <c r="P111" s="188" t="s">
        <v>111</v>
      </c>
      <c r="Q111" s="188" t="s">
        <v>145</v>
      </c>
      <c r="R111" s="188" t="s">
        <v>21</v>
      </c>
      <c r="S111" s="188" t="s">
        <v>152</v>
      </c>
      <c r="T111" s="188" t="s">
        <v>352</v>
      </c>
      <c r="V111" s="188" t="s">
        <v>123</v>
      </c>
      <c r="W111" s="188" t="s">
        <v>124</v>
      </c>
      <c r="X111" s="188" t="s">
        <v>348</v>
      </c>
      <c r="Y111" s="188" t="s">
        <v>1035</v>
      </c>
      <c r="Z111" s="0" t="n">
        <v>1</v>
      </c>
      <c r="AA111" s="188" t="s">
        <v>1118</v>
      </c>
    </row>
    <row r="112" customFormat="false" ht="15" hidden="false" customHeight="true" outlineLevel="0" collapsed="false">
      <c r="A112" s="0" t="n">
        <v>21</v>
      </c>
      <c r="B112" s="187" t="n">
        <v>46215.6224446918</v>
      </c>
      <c r="C112" s="187" t="n">
        <v>46215.639666914</v>
      </c>
      <c r="D112" s="188" t="s">
        <v>343</v>
      </c>
      <c r="E112" s="188" t="s">
        <v>344</v>
      </c>
      <c r="F112" s="188" t="s">
        <v>344</v>
      </c>
      <c r="G112" s="188" t="s">
        <v>345</v>
      </c>
      <c r="H112" s="187" t="n">
        <v>46200</v>
      </c>
      <c r="I112" s="188" t="s">
        <v>325</v>
      </c>
      <c r="J112" s="188" t="s">
        <v>108</v>
      </c>
      <c r="K112" s="188" t="s">
        <v>158</v>
      </c>
      <c r="L112" s="188" t="s">
        <v>346</v>
      </c>
      <c r="M112" s="188" t="s">
        <v>258</v>
      </c>
      <c r="N112" s="188" t="s">
        <v>347</v>
      </c>
      <c r="O112" s="188" t="s">
        <v>157</v>
      </c>
      <c r="P112" s="188" t="s">
        <v>111</v>
      </c>
      <c r="Q112" s="188" t="s">
        <v>145</v>
      </c>
      <c r="R112" s="188" t="s">
        <v>21</v>
      </c>
      <c r="S112" s="188" t="s">
        <v>152</v>
      </c>
      <c r="T112" s="188" t="s">
        <v>352</v>
      </c>
      <c r="V112" s="188" t="s">
        <v>123</v>
      </c>
      <c r="W112" s="188" t="s">
        <v>124</v>
      </c>
      <c r="X112" s="188" t="s">
        <v>348</v>
      </c>
      <c r="Y112" s="188" t="s">
        <v>1037</v>
      </c>
      <c r="Z112" s="0" t="n">
        <v>1</v>
      </c>
      <c r="AA112" s="188" t="s">
        <v>1119</v>
      </c>
    </row>
    <row r="113" customFormat="false" ht="15" hidden="false" customHeight="true" outlineLevel="0" collapsed="false">
      <c r="A113" s="0" t="n">
        <v>21</v>
      </c>
      <c r="B113" s="187" t="n">
        <v>46215.6224446918</v>
      </c>
      <c r="C113" s="187" t="n">
        <v>46215.639666914</v>
      </c>
      <c r="D113" s="188" t="s">
        <v>343</v>
      </c>
      <c r="E113" s="188" t="s">
        <v>344</v>
      </c>
      <c r="F113" s="188" t="s">
        <v>344</v>
      </c>
      <c r="G113" s="188" t="s">
        <v>345</v>
      </c>
      <c r="H113" s="187" t="n">
        <v>46200</v>
      </c>
      <c r="I113" s="188" t="s">
        <v>325</v>
      </c>
      <c r="J113" s="188" t="s">
        <v>108</v>
      </c>
      <c r="K113" s="188" t="s">
        <v>158</v>
      </c>
      <c r="L113" s="188" t="s">
        <v>346</v>
      </c>
      <c r="M113" s="188" t="s">
        <v>258</v>
      </c>
      <c r="N113" s="188" t="s">
        <v>347</v>
      </c>
      <c r="O113" s="188" t="s">
        <v>157</v>
      </c>
      <c r="P113" s="188" t="s">
        <v>111</v>
      </c>
      <c r="Q113" s="188" t="s">
        <v>145</v>
      </c>
      <c r="R113" s="188" t="s">
        <v>21</v>
      </c>
      <c r="S113" s="188" t="s">
        <v>152</v>
      </c>
      <c r="T113" s="188" t="s">
        <v>352</v>
      </c>
      <c r="V113" s="188" t="s">
        <v>123</v>
      </c>
      <c r="W113" s="188" t="s">
        <v>124</v>
      </c>
      <c r="X113" s="188" t="s">
        <v>348</v>
      </c>
      <c r="Y113" s="188" t="s">
        <v>1040</v>
      </c>
      <c r="Z113" s="0" t="n">
        <v>1</v>
      </c>
      <c r="AA113" s="188" t="s">
        <v>1120</v>
      </c>
    </row>
    <row r="114" customFormat="false" ht="15" hidden="false" customHeight="true" outlineLevel="0" collapsed="false">
      <c r="A114" s="0" t="n">
        <v>22</v>
      </c>
      <c r="B114" s="187" t="n">
        <v>46054.1708730951</v>
      </c>
      <c r="C114" s="187" t="n">
        <v>46054.1853754099</v>
      </c>
      <c r="D114" s="188" t="s">
        <v>353</v>
      </c>
      <c r="E114" s="188" t="s">
        <v>354</v>
      </c>
      <c r="F114" s="188" t="s">
        <v>354</v>
      </c>
      <c r="G114" s="188" t="s">
        <v>355</v>
      </c>
      <c r="H114" s="187" t="n">
        <v>46037</v>
      </c>
      <c r="I114" s="188" t="s">
        <v>113</v>
      </c>
      <c r="J114" s="188" t="s">
        <v>295</v>
      </c>
      <c r="K114" s="188" t="s">
        <v>356</v>
      </c>
      <c r="L114" s="188" t="s">
        <v>346</v>
      </c>
      <c r="M114" s="188" t="s">
        <v>357</v>
      </c>
      <c r="N114" s="188" t="s">
        <v>219</v>
      </c>
      <c r="O114" s="188" t="s">
        <v>172</v>
      </c>
      <c r="P114" s="188" t="s">
        <v>111</v>
      </c>
      <c r="Q114" s="188" t="s">
        <v>145</v>
      </c>
      <c r="R114" s="188" t="s">
        <v>24</v>
      </c>
      <c r="S114" s="188" t="s">
        <v>152</v>
      </c>
      <c r="T114" s="188" t="s">
        <v>121</v>
      </c>
      <c r="U114" s="188" t="s">
        <v>122</v>
      </c>
      <c r="V114" s="188" t="s">
        <v>123</v>
      </c>
      <c r="W114" s="188" t="s">
        <v>124</v>
      </c>
      <c r="X114" s="188" t="s">
        <v>223</v>
      </c>
      <c r="Y114" s="188" t="s">
        <v>1035</v>
      </c>
      <c r="Z114" s="0" t="n">
        <v>1</v>
      </c>
      <c r="AA114" s="188" t="s">
        <v>1069</v>
      </c>
    </row>
    <row r="115" customFormat="false" ht="15" hidden="false" customHeight="true" outlineLevel="0" collapsed="false">
      <c r="A115" s="0" t="n">
        <v>22</v>
      </c>
      <c r="B115" s="187" t="n">
        <v>46054.1708730951</v>
      </c>
      <c r="C115" s="187" t="n">
        <v>46054.1853754099</v>
      </c>
      <c r="D115" s="188" t="s">
        <v>353</v>
      </c>
      <c r="E115" s="188" t="s">
        <v>354</v>
      </c>
      <c r="F115" s="188" t="s">
        <v>354</v>
      </c>
      <c r="G115" s="188" t="s">
        <v>355</v>
      </c>
      <c r="H115" s="187" t="n">
        <v>46037</v>
      </c>
      <c r="I115" s="188" t="s">
        <v>113</v>
      </c>
      <c r="J115" s="188" t="s">
        <v>295</v>
      </c>
      <c r="K115" s="188" t="s">
        <v>356</v>
      </c>
      <c r="L115" s="188" t="s">
        <v>346</v>
      </c>
      <c r="M115" s="188" t="s">
        <v>357</v>
      </c>
      <c r="N115" s="188" t="s">
        <v>219</v>
      </c>
      <c r="O115" s="188" t="s">
        <v>172</v>
      </c>
      <c r="P115" s="188" t="s">
        <v>111</v>
      </c>
      <c r="Q115" s="188" t="s">
        <v>145</v>
      </c>
      <c r="R115" s="188" t="s">
        <v>24</v>
      </c>
      <c r="S115" s="188" t="s">
        <v>152</v>
      </c>
      <c r="T115" s="188" t="s">
        <v>121</v>
      </c>
      <c r="U115" s="188" t="s">
        <v>122</v>
      </c>
      <c r="V115" s="188" t="s">
        <v>123</v>
      </c>
      <c r="W115" s="188" t="s">
        <v>124</v>
      </c>
      <c r="X115" s="188" t="s">
        <v>223</v>
      </c>
      <c r="Y115" s="188" t="s">
        <v>1037</v>
      </c>
      <c r="Z115" s="0" t="n">
        <v>1</v>
      </c>
      <c r="AA115" s="188" t="s">
        <v>1076</v>
      </c>
    </row>
    <row r="116" customFormat="false" ht="15" hidden="false" customHeight="true" outlineLevel="0" collapsed="false">
      <c r="A116" s="0" t="n">
        <v>22</v>
      </c>
      <c r="B116" s="187" t="n">
        <v>46054.1708730951</v>
      </c>
      <c r="C116" s="187" t="n">
        <v>46054.1853754099</v>
      </c>
      <c r="D116" s="188" t="s">
        <v>353</v>
      </c>
      <c r="E116" s="188" t="s">
        <v>354</v>
      </c>
      <c r="F116" s="188" t="s">
        <v>354</v>
      </c>
      <c r="G116" s="188" t="s">
        <v>355</v>
      </c>
      <c r="H116" s="187" t="n">
        <v>46037</v>
      </c>
      <c r="I116" s="188" t="s">
        <v>113</v>
      </c>
      <c r="J116" s="188" t="s">
        <v>295</v>
      </c>
      <c r="K116" s="188" t="s">
        <v>356</v>
      </c>
      <c r="L116" s="188" t="s">
        <v>346</v>
      </c>
      <c r="M116" s="188" t="s">
        <v>357</v>
      </c>
      <c r="N116" s="188" t="s">
        <v>219</v>
      </c>
      <c r="O116" s="188" t="s">
        <v>172</v>
      </c>
      <c r="P116" s="188" t="s">
        <v>111</v>
      </c>
      <c r="Q116" s="188" t="s">
        <v>145</v>
      </c>
      <c r="R116" s="188" t="s">
        <v>24</v>
      </c>
      <c r="S116" s="188" t="s">
        <v>152</v>
      </c>
      <c r="T116" s="188" t="s">
        <v>121</v>
      </c>
      <c r="U116" s="188" t="s">
        <v>122</v>
      </c>
      <c r="V116" s="188" t="s">
        <v>123</v>
      </c>
      <c r="W116" s="188" t="s">
        <v>124</v>
      </c>
      <c r="X116" s="188" t="s">
        <v>223</v>
      </c>
      <c r="Y116" s="188" t="s">
        <v>1037</v>
      </c>
      <c r="Z116" s="0" t="n">
        <v>2</v>
      </c>
      <c r="AA116" s="188" t="s">
        <v>1121</v>
      </c>
    </row>
    <row r="117" customFormat="false" ht="15" hidden="false" customHeight="true" outlineLevel="0" collapsed="false">
      <c r="A117" s="0" t="n">
        <v>22</v>
      </c>
      <c r="B117" s="187" t="n">
        <v>46054.1708730951</v>
      </c>
      <c r="C117" s="187" t="n">
        <v>46054.1853754099</v>
      </c>
      <c r="D117" s="188" t="s">
        <v>353</v>
      </c>
      <c r="E117" s="188" t="s">
        <v>354</v>
      </c>
      <c r="F117" s="188" t="s">
        <v>354</v>
      </c>
      <c r="G117" s="188" t="s">
        <v>355</v>
      </c>
      <c r="H117" s="187" t="n">
        <v>46037</v>
      </c>
      <c r="I117" s="188" t="s">
        <v>113</v>
      </c>
      <c r="J117" s="188" t="s">
        <v>295</v>
      </c>
      <c r="K117" s="188" t="s">
        <v>356</v>
      </c>
      <c r="L117" s="188" t="s">
        <v>346</v>
      </c>
      <c r="M117" s="188" t="s">
        <v>357</v>
      </c>
      <c r="N117" s="188" t="s">
        <v>219</v>
      </c>
      <c r="O117" s="188" t="s">
        <v>172</v>
      </c>
      <c r="P117" s="188" t="s">
        <v>111</v>
      </c>
      <c r="Q117" s="188" t="s">
        <v>145</v>
      </c>
      <c r="R117" s="188" t="s">
        <v>24</v>
      </c>
      <c r="S117" s="188" t="s">
        <v>152</v>
      </c>
      <c r="T117" s="188" t="s">
        <v>121</v>
      </c>
      <c r="U117" s="188" t="s">
        <v>122</v>
      </c>
      <c r="V117" s="188" t="s">
        <v>123</v>
      </c>
      <c r="W117" s="188" t="s">
        <v>124</v>
      </c>
      <c r="X117" s="188" t="s">
        <v>223</v>
      </c>
      <c r="Y117" s="188" t="s">
        <v>1040</v>
      </c>
      <c r="Z117" s="0" t="n">
        <v>1</v>
      </c>
      <c r="AA117" s="188" t="s">
        <v>1122</v>
      </c>
    </row>
    <row r="118" customFormat="false" ht="15" hidden="false" customHeight="true" outlineLevel="0" collapsed="false">
      <c r="A118" s="0" t="n">
        <v>22</v>
      </c>
      <c r="B118" s="187" t="n">
        <v>46054.1708730951</v>
      </c>
      <c r="C118" s="187" t="n">
        <v>46054.1853754099</v>
      </c>
      <c r="D118" s="188" t="s">
        <v>353</v>
      </c>
      <c r="E118" s="188" t="s">
        <v>354</v>
      </c>
      <c r="F118" s="188" t="s">
        <v>354</v>
      </c>
      <c r="G118" s="188" t="s">
        <v>355</v>
      </c>
      <c r="H118" s="187" t="n">
        <v>46037</v>
      </c>
      <c r="I118" s="188" t="s">
        <v>113</v>
      </c>
      <c r="J118" s="188" t="s">
        <v>295</v>
      </c>
      <c r="K118" s="188" t="s">
        <v>356</v>
      </c>
      <c r="L118" s="188" t="s">
        <v>346</v>
      </c>
      <c r="M118" s="188" t="s">
        <v>357</v>
      </c>
      <c r="N118" s="188" t="s">
        <v>219</v>
      </c>
      <c r="O118" s="188" t="s">
        <v>172</v>
      </c>
      <c r="P118" s="188" t="s">
        <v>111</v>
      </c>
      <c r="Q118" s="188" t="s">
        <v>145</v>
      </c>
      <c r="R118" s="188" t="s">
        <v>24</v>
      </c>
      <c r="S118" s="188" t="s">
        <v>152</v>
      </c>
      <c r="T118" s="188" t="s">
        <v>121</v>
      </c>
      <c r="U118" s="188" t="s">
        <v>122</v>
      </c>
      <c r="V118" s="188" t="s">
        <v>123</v>
      </c>
      <c r="W118" s="188" t="s">
        <v>124</v>
      </c>
      <c r="X118" s="188" t="s">
        <v>223</v>
      </c>
      <c r="Y118" s="188" t="s">
        <v>1040</v>
      </c>
      <c r="Z118" s="0" t="n">
        <v>2</v>
      </c>
      <c r="AA118" s="188" t="s">
        <v>1072</v>
      </c>
    </row>
    <row r="119" customFormat="false" ht="15" hidden="false" customHeight="true" outlineLevel="0" collapsed="false">
      <c r="A119" s="0" t="n">
        <v>23</v>
      </c>
      <c r="B119" s="187" t="n">
        <v>46211.1993861761</v>
      </c>
      <c r="C119" s="187" t="n">
        <v>46211.2158908058</v>
      </c>
      <c r="D119" s="188" t="s">
        <v>361</v>
      </c>
      <c r="E119" s="188" t="s">
        <v>362</v>
      </c>
      <c r="F119" s="188" t="s">
        <v>362</v>
      </c>
      <c r="G119" s="188" t="s">
        <v>363</v>
      </c>
      <c r="H119" s="187" t="n">
        <v>46211</v>
      </c>
      <c r="I119" s="188" t="s">
        <v>113</v>
      </c>
      <c r="J119" s="188" t="s">
        <v>108</v>
      </c>
      <c r="K119" s="188" t="s">
        <v>364</v>
      </c>
      <c r="L119" s="188" t="s">
        <v>197</v>
      </c>
      <c r="M119" s="188" t="s">
        <v>365</v>
      </c>
      <c r="N119" s="188" t="s">
        <v>174</v>
      </c>
      <c r="O119" s="188" t="s">
        <v>244</v>
      </c>
      <c r="P119" s="188" t="s">
        <v>111</v>
      </c>
      <c r="Q119" s="188" t="s">
        <v>145</v>
      </c>
      <c r="R119" s="188" t="s">
        <v>22</v>
      </c>
      <c r="S119" s="188" t="s">
        <v>120</v>
      </c>
      <c r="T119" s="188" t="s">
        <v>180</v>
      </c>
      <c r="U119" s="188" t="s">
        <v>369</v>
      </c>
      <c r="V119" s="188" t="s">
        <v>192</v>
      </c>
      <c r="W119" s="188" t="s">
        <v>124</v>
      </c>
      <c r="X119" s="188" t="s">
        <v>135</v>
      </c>
      <c r="Y119" s="188" t="s">
        <v>1035</v>
      </c>
      <c r="Z119" s="0" t="n">
        <v>1</v>
      </c>
      <c r="AA119" s="188" t="s">
        <v>1042</v>
      </c>
    </row>
    <row r="120" customFormat="false" ht="15" hidden="false" customHeight="true" outlineLevel="0" collapsed="false">
      <c r="A120" s="0" t="n">
        <v>23</v>
      </c>
      <c r="B120" s="187" t="n">
        <v>46211.1993861761</v>
      </c>
      <c r="C120" s="187" t="n">
        <v>46211.2158908058</v>
      </c>
      <c r="D120" s="188" t="s">
        <v>361</v>
      </c>
      <c r="E120" s="188" t="s">
        <v>362</v>
      </c>
      <c r="F120" s="188" t="s">
        <v>362</v>
      </c>
      <c r="G120" s="188" t="s">
        <v>363</v>
      </c>
      <c r="H120" s="187" t="n">
        <v>46211</v>
      </c>
      <c r="I120" s="188" t="s">
        <v>113</v>
      </c>
      <c r="J120" s="188" t="s">
        <v>108</v>
      </c>
      <c r="K120" s="188" t="s">
        <v>364</v>
      </c>
      <c r="L120" s="188" t="s">
        <v>197</v>
      </c>
      <c r="M120" s="188" t="s">
        <v>365</v>
      </c>
      <c r="N120" s="188" t="s">
        <v>174</v>
      </c>
      <c r="O120" s="188" t="s">
        <v>244</v>
      </c>
      <c r="P120" s="188" t="s">
        <v>111</v>
      </c>
      <c r="Q120" s="188" t="s">
        <v>145</v>
      </c>
      <c r="R120" s="188" t="s">
        <v>22</v>
      </c>
      <c r="S120" s="188" t="s">
        <v>120</v>
      </c>
      <c r="T120" s="188" t="s">
        <v>180</v>
      </c>
      <c r="U120" s="188" t="s">
        <v>369</v>
      </c>
      <c r="V120" s="188" t="s">
        <v>192</v>
      </c>
      <c r="W120" s="188" t="s">
        <v>124</v>
      </c>
      <c r="X120" s="188" t="s">
        <v>135</v>
      </c>
      <c r="Y120" s="188" t="s">
        <v>1037</v>
      </c>
      <c r="Z120" s="0" t="n">
        <v>1</v>
      </c>
      <c r="AA120" s="188" t="s">
        <v>1045</v>
      </c>
    </row>
    <row r="121" customFormat="false" ht="15" hidden="false" customHeight="true" outlineLevel="0" collapsed="false">
      <c r="A121" s="0" t="n">
        <v>23</v>
      </c>
      <c r="B121" s="187" t="n">
        <v>46211.1993861761</v>
      </c>
      <c r="C121" s="187" t="n">
        <v>46211.2158908058</v>
      </c>
      <c r="D121" s="188" t="s">
        <v>361</v>
      </c>
      <c r="E121" s="188" t="s">
        <v>362</v>
      </c>
      <c r="F121" s="188" t="s">
        <v>362</v>
      </c>
      <c r="G121" s="188" t="s">
        <v>363</v>
      </c>
      <c r="H121" s="187" t="n">
        <v>46211</v>
      </c>
      <c r="I121" s="188" t="s">
        <v>113</v>
      </c>
      <c r="J121" s="188" t="s">
        <v>108</v>
      </c>
      <c r="K121" s="188" t="s">
        <v>364</v>
      </c>
      <c r="L121" s="188" t="s">
        <v>197</v>
      </c>
      <c r="M121" s="188" t="s">
        <v>365</v>
      </c>
      <c r="N121" s="188" t="s">
        <v>174</v>
      </c>
      <c r="O121" s="188" t="s">
        <v>244</v>
      </c>
      <c r="P121" s="188" t="s">
        <v>111</v>
      </c>
      <c r="Q121" s="188" t="s">
        <v>145</v>
      </c>
      <c r="R121" s="188" t="s">
        <v>22</v>
      </c>
      <c r="S121" s="188" t="s">
        <v>120</v>
      </c>
      <c r="T121" s="188" t="s">
        <v>180</v>
      </c>
      <c r="U121" s="188" t="s">
        <v>369</v>
      </c>
      <c r="V121" s="188" t="s">
        <v>192</v>
      </c>
      <c r="W121" s="188" t="s">
        <v>124</v>
      </c>
      <c r="X121" s="188" t="s">
        <v>135</v>
      </c>
      <c r="Y121" s="188" t="s">
        <v>1037</v>
      </c>
      <c r="Z121" s="0" t="n">
        <v>2</v>
      </c>
      <c r="AA121" s="188" t="s">
        <v>1123</v>
      </c>
    </row>
    <row r="122" customFormat="false" ht="15" hidden="false" customHeight="true" outlineLevel="0" collapsed="false">
      <c r="A122" s="0" t="n">
        <v>23</v>
      </c>
      <c r="B122" s="187" t="n">
        <v>46211.1993861761</v>
      </c>
      <c r="C122" s="187" t="n">
        <v>46211.2158908058</v>
      </c>
      <c r="D122" s="188" t="s">
        <v>361</v>
      </c>
      <c r="E122" s="188" t="s">
        <v>362</v>
      </c>
      <c r="F122" s="188" t="s">
        <v>362</v>
      </c>
      <c r="G122" s="188" t="s">
        <v>363</v>
      </c>
      <c r="H122" s="187" t="n">
        <v>46211</v>
      </c>
      <c r="I122" s="188" t="s">
        <v>113</v>
      </c>
      <c r="J122" s="188" t="s">
        <v>108</v>
      </c>
      <c r="K122" s="188" t="s">
        <v>364</v>
      </c>
      <c r="L122" s="188" t="s">
        <v>197</v>
      </c>
      <c r="M122" s="188" t="s">
        <v>365</v>
      </c>
      <c r="N122" s="188" t="s">
        <v>174</v>
      </c>
      <c r="O122" s="188" t="s">
        <v>244</v>
      </c>
      <c r="P122" s="188" t="s">
        <v>111</v>
      </c>
      <c r="Q122" s="188" t="s">
        <v>145</v>
      </c>
      <c r="R122" s="188" t="s">
        <v>22</v>
      </c>
      <c r="S122" s="188" t="s">
        <v>120</v>
      </c>
      <c r="T122" s="188" t="s">
        <v>180</v>
      </c>
      <c r="U122" s="188" t="s">
        <v>369</v>
      </c>
      <c r="V122" s="188" t="s">
        <v>192</v>
      </c>
      <c r="W122" s="188" t="s">
        <v>124</v>
      </c>
      <c r="X122" s="188" t="s">
        <v>135</v>
      </c>
      <c r="Y122" s="188" t="s">
        <v>1040</v>
      </c>
      <c r="Z122" s="0" t="n">
        <v>1</v>
      </c>
      <c r="AA122" s="188" t="s">
        <v>1124</v>
      </c>
    </row>
    <row r="123" customFormat="false" ht="15" hidden="false" customHeight="true" outlineLevel="0" collapsed="false">
      <c r="A123" s="0" t="n">
        <v>24</v>
      </c>
      <c r="B123" s="187" t="n">
        <v>46192.697419737</v>
      </c>
      <c r="C123" s="187" t="n">
        <v>46192.7060424222</v>
      </c>
      <c r="D123" s="188" t="s">
        <v>371</v>
      </c>
      <c r="E123" s="188" t="s">
        <v>372</v>
      </c>
      <c r="F123" s="188" t="s">
        <v>372</v>
      </c>
      <c r="G123" s="188" t="s">
        <v>373</v>
      </c>
      <c r="H123" s="187" t="n">
        <v>46173</v>
      </c>
      <c r="I123" s="188" t="s">
        <v>113</v>
      </c>
      <c r="J123" s="188" t="s">
        <v>108</v>
      </c>
      <c r="K123" s="188" t="s">
        <v>143</v>
      </c>
      <c r="L123" s="188" t="s">
        <v>346</v>
      </c>
      <c r="M123" s="188" t="s">
        <v>365</v>
      </c>
      <c r="N123" s="188" t="s">
        <v>259</v>
      </c>
      <c r="O123" s="188" t="s">
        <v>260</v>
      </c>
      <c r="P123" s="188" t="s">
        <v>111</v>
      </c>
      <c r="Q123" s="188" t="s">
        <v>112</v>
      </c>
      <c r="R123" s="188" t="s">
        <v>21</v>
      </c>
      <c r="S123" s="188" t="s">
        <v>152</v>
      </c>
      <c r="T123" s="188" t="s">
        <v>121</v>
      </c>
      <c r="U123" s="188" t="s">
        <v>122</v>
      </c>
      <c r="V123" s="188" t="s">
        <v>192</v>
      </c>
      <c r="W123" s="188" t="s">
        <v>168</v>
      </c>
      <c r="X123" s="188" t="s">
        <v>374</v>
      </c>
      <c r="Y123" s="188" t="s">
        <v>1035</v>
      </c>
      <c r="Z123" s="0" t="n">
        <v>1</v>
      </c>
      <c r="AA123" s="188" t="s">
        <v>1125</v>
      </c>
    </row>
    <row r="124" customFormat="false" ht="15" hidden="false" customHeight="true" outlineLevel="0" collapsed="false">
      <c r="A124" s="0" t="n">
        <v>24</v>
      </c>
      <c r="B124" s="187" t="n">
        <v>46192.697419737</v>
      </c>
      <c r="C124" s="187" t="n">
        <v>46192.7060424222</v>
      </c>
      <c r="D124" s="188" t="s">
        <v>371</v>
      </c>
      <c r="E124" s="188" t="s">
        <v>372</v>
      </c>
      <c r="F124" s="188" t="s">
        <v>372</v>
      </c>
      <c r="G124" s="188" t="s">
        <v>373</v>
      </c>
      <c r="H124" s="187" t="n">
        <v>46173</v>
      </c>
      <c r="I124" s="188" t="s">
        <v>113</v>
      </c>
      <c r="J124" s="188" t="s">
        <v>108</v>
      </c>
      <c r="K124" s="188" t="s">
        <v>143</v>
      </c>
      <c r="L124" s="188" t="s">
        <v>346</v>
      </c>
      <c r="M124" s="188" t="s">
        <v>365</v>
      </c>
      <c r="N124" s="188" t="s">
        <v>259</v>
      </c>
      <c r="O124" s="188" t="s">
        <v>260</v>
      </c>
      <c r="P124" s="188" t="s">
        <v>111</v>
      </c>
      <c r="Q124" s="188" t="s">
        <v>112</v>
      </c>
      <c r="R124" s="188" t="s">
        <v>21</v>
      </c>
      <c r="S124" s="188" t="s">
        <v>152</v>
      </c>
      <c r="T124" s="188" t="s">
        <v>121</v>
      </c>
      <c r="U124" s="188" t="s">
        <v>122</v>
      </c>
      <c r="V124" s="188" t="s">
        <v>192</v>
      </c>
      <c r="W124" s="188" t="s">
        <v>168</v>
      </c>
      <c r="X124" s="188" t="s">
        <v>374</v>
      </c>
      <c r="Y124" s="188" t="s">
        <v>1035</v>
      </c>
      <c r="Z124" s="0" t="n">
        <v>2</v>
      </c>
      <c r="AA124" s="188" t="s">
        <v>1126</v>
      </c>
    </row>
    <row r="125" customFormat="false" ht="15" hidden="false" customHeight="true" outlineLevel="0" collapsed="false">
      <c r="A125" s="0" t="n">
        <v>24</v>
      </c>
      <c r="B125" s="187" t="n">
        <v>46192.697419737</v>
      </c>
      <c r="C125" s="187" t="n">
        <v>46192.7060424222</v>
      </c>
      <c r="D125" s="188" t="s">
        <v>371</v>
      </c>
      <c r="E125" s="188" t="s">
        <v>372</v>
      </c>
      <c r="F125" s="188" t="s">
        <v>372</v>
      </c>
      <c r="G125" s="188" t="s">
        <v>373</v>
      </c>
      <c r="H125" s="187" t="n">
        <v>46173</v>
      </c>
      <c r="I125" s="188" t="s">
        <v>113</v>
      </c>
      <c r="J125" s="188" t="s">
        <v>108</v>
      </c>
      <c r="K125" s="188" t="s">
        <v>143</v>
      </c>
      <c r="L125" s="188" t="s">
        <v>346</v>
      </c>
      <c r="M125" s="188" t="s">
        <v>365</v>
      </c>
      <c r="N125" s="188" t="s">
        <v>259</v>
      </c>
      <c r="O125" s="188" t="s">
        <v>260</v>
      </c>
      <c r="P125" s="188" t="s">
        <v>111</v>
      </c>
      <c r="Q125" s="188" t="s">
        <v>112</v>
      </c>
      <c r="R125" s="188" t="s">
        <v>21</v>
      </c>
      <c r="S125" s="188" t="s">
        <v>152</v>
      </c>
      <c r="T125" s="188" t="s">
        <v>121</v>
      </c>
      <c r="U125" s="188" t="s">
        <v>122</v>
      </c>
      <c r="V125" s="188" t="s">
        <v>192</v>
      </c>
      <c r="W125" s="188" t="s">
        <v>168</v>
      </c>
      <c r="X125" s="188" t="s">
        <v>374</v>
      </c>
      <c r="Y125" s="188" t="s">
        <v>1035</v>
      </c>
      <c r="Z125" s="0" t="n">
        <v>3</v>
      </c>
      <c r="AA125" s="188" t="s">
        <v>1127</v>
      </c>
    </row>
    <row r="126" customFormat="false" ht="15" hidden="false" customHeight="true" outlineLevel="0" collapsed="false">
      <c r="A126" s="0" t="n">
        <v>24</v>
      </c>
      <c r="B126" s="187" t="n">
        <v>46192.697419737</v>
      </c>
      <c r="C126" s="187" t="n">
        <v>46192.7060424222</v>
      </c>
      <c r="D126" s="188" t="s">
        <v>371</v>
      </c>
      <c r="E126" s="188" t="s">
        <v>372</v>
      </c>
      <c r="F126" s="188" t="s">
        <v>372</v>
      </c>
      <c r="G126" s="188" t="s">
        <v>373</v>
      </c>
      <c r="H126" s="187" t="n">
        <v>46173</v>
      </c>
      <c r="I126" s="188" t="s">
        <v>113</v>
      </c>
      <c r="J126" s="188" t="s">
        <v>108</v>
      </c>
      <c r="K126" s="188" t="s">
        <v>143</v>
      </c>
      <c r="L126" s="188" t="s">
        <v>346</v>
      </c>
      <c r="M126" s="188" t="s">
        <v>365</v>
      </c>
      <c r="N126" s="188" t="s">
        <v>259</v>
      </c>
      <c r="O126" s="188" t="s">
        <v>260</v>
      </c>
      <c r="P126" s="188" t="s">
        <v>111</v>
      </c>
      <c r="Q126" s="188" t="s">
        <v>112</v>
      </c>
      <c r="R126" s="188" t="s">
        <v>21</v>
      </c>
      <c r="S126" s="188" t="s">
        <v>152</v>
      </c>
      <c r="T126" s="188" t="s">
        <v>121</v>
      </c>
      <c r="U126" s="188" t="s">
        <v>122</v>
      </c>
      <c r="V126" s="188" t="s">
        <v>192</v>
      </c>
      <c r="W126" s="188" t="s">
        <v>168</v>
      </c>
      <c r="X126" s="188" t="s">
        <v>374</v>
      </c>
      <c r="Y126" s="188" t="s">
        <v>1037</v>
      </c>
      <c r="Z126" s="0" t="n">
        <v>1</v>
      </c>
      <c r="AA126" s="188" t="s">
        <v>1128</v>
      </c>
    </row>
    <row r="127" customFormat="false" ht="15" hidden="false" customHeight="true" outlineLevel="0" collapsed="false">
      <c r="A127" s="0" t="n">
        <v>24</v>
      </c>
      <c r="B127" s="187" t="n">
        <v>46192.697419737</v>
      </c>
      <c r="C127" s="187" t="n">
        <v>46192.7060424222</v>
      </c>
      <c r="D127" s="188" t="s">
        <v>371</v>
      </c>
      <c r="E127" s="188" t="s">
        <v>372</v>
      </c>
      <c r="F127" s="188" t="s">
        <v>372</v>
      </c>
      <c r="G127" s="188" t="s">
        <v>373</v>
      </c>
      <c r="H127" s="187" t="n">
        <v>46173</v>
      </c>
      <c r="I127" s="188" t="s">
        <v>113</v>
      </c>
      <c r="J127" s="188" t="s">
        <v>108</v>
      </c>
      <c r="K127" s="188" t="s">
        <v>143</v>
      </c>
      <c r="L127" s="188" t="s">
        <v>346</v>
      </c>
      <c r="M127" s="188" t="s">
        <v>365</v>
      </c>
      <c r="N127" s="188" t="s">
        <v>259</v>
      </c>
      <c r="O127" s="188" t="s">
        <v>260</v>
      </c>
      <c r="P127" s="188" t="s">
        <v>111</v>
      </c>
      <c r="Q127" s="188" t="s">
        <v>112</v>
      </c>
      <c r="R127" s="188" t="s">
        <v>21</v>
      </c>
      <c r="S127" s="188" t="s">
        <v>152</v>
      </c>
      <c r="T127" s="188" t="s">
        <v>121</v>
      </c>
      <c r="U127" s="188" t="s">
        <v>122</v>
      </c>
      <c r="V127" s="188" t="s">
        <v>192</v>
      </c>
      <c r="W127" s="188" t="s">
        <v>168</v>
      </c>
      <c r="X127" s="188" t="s">
        <v>374</v>
      </c>
      <c r="Y127" s="188" t="s">
        <v>1040</v>
      </c>
      <c r="Z127" s="0" t="n">
        <v>1</v>
      </c>
      <c r="AA127" s="188" t="s">
        <v>1129</v>
      </c>
    </row>
    <row r="128" customFormat="false" ht="15" hidden="false" customHeight="true" outlineLevel="0" collapsed="false">
      <c r="A128" s="0" t="n">
        <v>24</v>
      </c>
      <c r="B128" s="187" t="n">
        <v>46192.697419737</v>
      </c>
      <c r="C128" s="187" t="n">
        <v>46192.7060424222</v>
      </c>
      <c r="D128" s="188" t="s">
        <v>371</v>
      </c>
      <c r="E128" s="188" t="s">
        <v>372</v>
      </c>
      <c r="F128" s="188" t="s">
        <v>372</v>
      </c>
      <c r="G128" s="188" t="s">
        <v>373</v>
      </c>
      <c r="H128" s="187" t="n">
        <v>46173</v>
      </c>
      <c r="I128" s="188" t="s">
        <v>113</v>
      </c>
      <c r="J128" s="188" t="s">
        <v>108</v>
      </c>
      <c r="K128" s="188" t="s">
        <v>143</v>
      </c>
      <c r="L128" s="188" t="s">
        <v>346</v>
      </c>
      <c r="M128" s="188" t="s">
        <v>365</v>
      </c>
      <c r="N128" s="188" t="s">
        <v>259</v>
      </c>
      <c r="O128" s="188" t="s">
        <v>260</v>
      </c>
      <c r="P128" s="188" t="s">
        <v>111</v>
      </c>
      <c r="Q128" s="188" t="s">
        <v>112</v>
      </c>
      <c r="R128" s="188" t="s">
        <v>21</v>
      </c>
      <c r="S128" s="188" t="s">
        <v>152</v>
      </c>
      <c r="T128" s="188" t="s">
        <v>121</v>
      </c>
      <c r="U128" s="188" t="s">
        <v>122</v>
      </c>
      <c r="V128" s="188" t="s">
        <v>192</v>
      </c>
      <c r="W128" s="188" t="s">
        <v>168</v>
      </c>
      <c r="X128" s="188" t="s">
        <v>374</v>
      </c>
      <c r="Y128" s="188" t="s">
        <v>1040</v>
      </c>
      <c r="Z128" s="0" t="n">
        <v>2</v>
      </c>
      <c r="AA128" s="188" t="s">
        <v>1130</v>
      </c>
    </row>
    <row r="129" customFormat="false" ht="15" hidden="false" customHeight="true" outlineLevel="0" collapsed="false">
      <c r="A129" s="0" t="n">
        <v>25</v>
      </c>
      <c r="B129" s="187" t="n">
        <v>46061.7065936661</v>
      </c>
      <c r="C129" s="187" t="n">
        <v>46061.7115126475</v>
      </c>
      <c r="D129" s="188" t="s">
        <v>378</v>
      </c>
      <c r="E129" s="188" t="s">
        <v>379</v>
      </c>
      <c r="F129" s="188" t="s">
        <v>379</v>
      </c>
      <c r="G129" s="188" t="s">
        <v>380</v>
      </c>
      <c r="H129" s="187" t="n">
        <v>46059</v>
      </c>
      <c r="I129" s="188" t="s">
        <v>325</v>
      </c>
      <c r="J129" s="188" t="s">
        <v>295</v>
      </c>
      <c r="K129" s="188" t="s">
        <v>232</v>
      </c>
      <c r="L129" s="188" t="s">
        <v>296</v>
      </c>
      <c r="M129" s="188" t="s">
        <v>258</v>
      </c>
      <c r="N129" s="188" t="s">
        <v>115</v>
      </c>
      <c r="O129" s="188" t="s">
        <v>107</v>
      </c>
      <c r="P129" s="188" t="s">
        <v>111</v>
      </c>
      <c r="Q129" s="188" t="s">
        <v>145</v>
      </c>
      <c r="R129" s="188" t="s">
        <v>22</v>
      </c>
      <c r="S129" s="188" t="s">
        <v>152</v>
      </c>
      <c r="T129" s="188" t="s">
        <v>180</v>
      </c>
      <c r="U129" s="188" t="s">
        <v>385</v>
      </c>
      <c r="V129" s="188" t="s">
        <v>167</v>
      </c>
      <c r="W129" s="188" t="s">
        <v>139</v>
      </c>
      <c r="X129" s="188" t="s">
        <v>381</v>
      </c>
      <c r="Y129" s="188" t="s">
        <v>1035</v>
      </c>
      <c r="Z129" s="0" t="n">
        <v>1</v>
      </c>
      <c r="AA129" s="188" t="s">
        <v>1131</v>
      </c>
    </row>
    <row r="130" customFormat="false" ht="15" hidden="false" customHeight="true" outlineLevel="0" collapsed="false">
      <c r="A130" s="0" t="n">
        <v>25</v>
      </c>
      <c r="B130" s="187" t="n">
        <v>46061.7065936661</v>
      </c>
      <c r="C130" s="187" t="n">
        <v>46061.7115126475</v>
      </c>
      <c r="D130" s="188" t="s">
        <v>378</v>
      </c>
      <c r="E130" s="188" t="s">
        <v>379</v>
      </c>
      <c r="F130" s="188" t="s">
        <v>379</v>
      </c>
      <c r="G130" s="188" t="s">
        <v>380</v>
      </c>
      <c r="H130" s="187" t="n">
        <v>46059</v>
      </c>
      <c r="I130" s="188" t="s">
        <v>325</v>
      </c>
      <c r="J130" s="188" t="s">
        <v>295</v>
      </c>
      <c r="K130" s="188" t="s">
        <v>232</v>
      </c>
      <c r="L130" s="188" t="s">
        <v>296</v>
      </c>
      <c r="M130" s="188" t="s">
        <v>258</v>
      </c>
      <c r="N130" s="188" t="s">
        <v>115</v>
      </c>
      <c r="O130" s="188" t="s">
        <v>107</v>
      </c>
      <c r="P130" s="188" t="s">
        <v>111</v>
      </c>
      <c r="Q130" s="188" t="s">
        <v>145</v>
      </c>
      <c r="R130" s="188" t="s">
        <v>22</v>
      </c>
      <c r="S130" s="188" t="s">
        <v>152</v>
      </c>
      <c r="T130" s="188" t="s">
        <v>180</v>
      </c>
      <c r="U130" s="188" t="s">
        <v>385</v>
      </c>
      <c r="V130" s="188" t="s">
        <v>167</v>
      </c>
      <c r="W130" s="188" t="s">
        <v>139</v>
      </c>
      <c r="X130" s="188" t="s">
        <v>381</v>
      </c>
      <c r="Y130" s="188" t="s">
        <v>1037</v>
      </c>
      <c r="Z130" s="0" t="n">
        <v>1</v>
      </c>
      <c r="AA130" s="188" t="s">
        <v>1132</v>
      </c>
    </row>
    <row r="131" customFormat="false" ht="15" hidden="false" customHeight="true" outlineLevel="0" collapsed="false">
      <c r="A131" s="0" t="n">
        <v>25</v>
      </c>
      <c r="B131" s="187" t="n">
        <v>46061.7065936661</v>
      </c>
      <c r="C131" s="187" t="n">
        <v>46061.7115126475</v>
      </c>
      <c r="D131" s="188" t="s">
        <v>378</v>
      </c>
      <c r="E131" s="188" t="s">
        <v>379</v>
      </c>
      <c r="F131" s="188" t="s">
        <v>379</v>
      </c>
      <c r="G131" s="188" t="s">
        <v>380</v>
      </c>
      <c r="H131" s="187" t="n">
        <v>46059</v>
      </c>
      <c r="I131" s="188" t="s">
        <v>325</v>
      </c>
      <c r="J131" s="188" t="s">
        <v>295</v>
      </c>
      <c r="K131" s="188" t="s">
        <v>232</v>
      </c>
      <c r="L131" s="188" t="s">
        <v>296</v>
      </c>
      <c r="M131" s="188" t="s">
        <v>258</v>
      </c>
      <c r="N131" s="188" t="s">
        <v>115</v>
      </c>
      <c r="O131" s="188" t="s">
        <v>107</v>
      </c>
      <c r="P131" s="188" t="s">
        <v>111</v>
      </c>
      <c r="Q131" s="188" t="s">
        <v>145</v>
      </c>
      <c r="R131" s="188" t="s">
        <v>22</v>
      </c>
      <c r="S131" s="188" t="s">
        <v>152</v>
      </c>
      <c r="T131" s="188" t="s">
        <v>180</v>
      </c>
      <c r="U131" s="188" t="s">
        <v>385</v>
      </c>
      <c r="V131" s="188" t="s">
        <v>167</v>
      </c>
      <c r="W131" s="188" t="s">
        <v>139</v>
      </c>
      <c r="X131" s="188" t="s">
        <v>381</v>
      </c>
      <c r="Y131" s="188" t="s">
        <v>1037</v>
      </c>
      <c r="Z131" s="0" t="n">
        <v>2</v>
      </c>
      <c r="AA131" s="188" t="s">
        <v>1133</v>
      </c>
    </row>
    <row r="132" customFormat="false" ht="15" hidden="false" customHeight="true" outlineLevel="0" collapsed="false">
      <c r="A132" s="0" t="n">
        <v>25</v>
      </c>
      <c r="B132" s="187" t="n">
        <v>46061.7065936661</v>
      </c>
      <c r="C132" s="187" t="n">
        <v>46061.7115126475</v>
      </c>
      <c r="D132" s="188" t="s">
        <v>378</v>
      </c>
      <c r="E132" s="188" t="s">
        <v>379</v>
      </c>
      <c r="F132" s="188" t="s">
        <v>379</v>
      </c>
      <c r="G132" s="188" t="s">
        <v>380</v>
      </c>
      <c r="H132" s="187" t="n">
        <v>46059</v>
      </c>
      <c r="I132" s="188" t="s">
        <v>325</v>
      </c>
      <c r="J132" s="188" t="s">
        <v>295</v>
      </c>
      <c r="K132" s="188" t="s">
        <v>232</v>
      </c>
      <c r="L132" s="188" t="s">
        <v>296</v>
      </c>
      <c r="M132" s="188" t="s">
        <v>258</v>
      </c>
      <c r="N132" s="188" t="s">
        <v>115</v>
      </c>
      <c r="O132" s="188" t="s">
        <v>107</v>
      </c>
      <c r="P132" s="188" t="s">
        <v>111</v>
      </c>
      <c r="Q132" s="188" t="s">
        <v>145</v>
      </c>
      <c r="R132" s="188" t="s">
        <v>22</v>
      </c>
      <c r="S132" s="188" t="s">
        <v>152</v>
      </c>
      <c r="T132" s="188" t="s">
        <v>180</v>
      </c>
      <c r="U132" s="188" t="s">
        <v>385</v>
      </c>
      <c r="V132" s="188" t="s">
        <v>167</v>
      </c>
      <c r="W132" s="188" t="s">
        <v>139</v>
      </c>
      <c r="X132" s="188" t="s">
        <v>381</v>
      </c>
      <c r="Y132" s="188" t="s">
        <v>1040</v>
      </c>
      <c r="Z132" s="0" t="n">
        <v>1</v>
      </c>
      <c r="AA132" s="188" t="s">
        <v>1134</v>
      </c>
    </row>
    <row r="133" customFormat="false" ht="15" hidden="false" customHeight="true" outlineLevel="0" collapsed="false">
      <c r="A133" s="0" t="n">
        <v>25</v>
      </c>
      <c r="B133" s="187" t="n">
        <v>46061.7065936661</v>
      </c>
      <c r="C133" s="187" t="n">
        <v>46061.7115126475</v>
      </c>
      <c r="D133" s="188" t="s">
        <v>378</v>
      </c>
      <c r="E133" s="188" t="s">
        <v>379</v>
      </c>
      <c r="F133" s="188" t="s">
        <v>379</v>
      </c>
      <c r="G133" s="188" t="s">
        <v>380</v>
      </c>
      <c r="H133" s="187" t="n">
        <v>46059</v>
      </c>
      <c r="I133" s="188" t="s">
        <v>325</v>
      </c>
      <c r="J133" s="188" t="s">
        <v>295</v>
      </c>
      <c r="K133" s="188" t="s">
        <v>232</v>
      </c>
      <c r="L133" s="188" t="s">
        <v>296</v>
      </c>
      <c r="M133" s="188" t="s">
        <v>258</v>
      </c>
      <c r="N133" s="188" t="s">
        <v>115</v>
      </c>
      <c r="O133" s="188" t="s">
        <v>107</v>
      </c>
      <c r="P133" s="188" t="s">
        <v>111</v>
      </c>
      <c r="Q133" s="188" t="s">
        <v>145</v>
      </c>
      <c r="R133" s="188" t="s">
        <v>22</v>
      </c>
      <c r="S133" s="188" t="s">
        <v>152</v>
      </c>
      <c r="T133" s="188" t="s">
        <v>180</v>
      </c>
      <c r="U133" s="188" t="s">
        <v>385</v>
      </c>
      <c r="V133" s="188" t="s">
        <v>167</v>
      </c>
      <c r="W133" s="188" t="s">
        <v>139</v>
      </c>
      <c r="X133" s="188" t="s">
        <v>381</v>
      </c>
      <c r="Y133" s="188" t="s">
        <v>1040</v>
      </c>
      <c r="Z133" s="0" t="n">
        <v>2</v>
      </c>
      <c r="AA133" s="188" t="s">
        <v>1135</v>
      </c>
    </row>
    <row r="134" customFormat="false" ht="15" hidden="false" customHeight="true" outlineLevel="0" collapsed="false">
      <c r="A134" s="0" t="n">
        <v>26</v>
      </c>
      <c r="B134" s="187" t="n">
        <v>46122.9906841998</v>
      </c>
      <c r="C134" s="187" t="n">
        <v>46123.0099897554</v>
      </c>
      <c r="D134" s="188" t="s">
        <v>386</v>
      </c>
      <c r="E134" s="188" t="s">
        <v>387</v>
      </c>
      <c r="F134" s="188" t="s">
        <v>387</v>
      </c>
      <c r="G134" s="188" t="s">
        <v>388</v>
      </c>
      <c r="H134" s="187" t="n">
        <v>46102</v>
      </c>
      <c r="I134" s="188" t="s">
        <v>113</v>
      </c>
      <c r="J134" s="188" t="s">
        <v>108</v>
      </c>
      <c r="K134" s="188" t="s">
        <v>245</v>
      </c>
      <c r="L134" s="188" t="s">
        <v>389</v>
      </c>
      <c r="M134" s="188" t="s">
        <v>391</v>
      </c>
      <c r="N134" s="188" t="s">
        <v>280</v>
      </c>
      <c r="O134" s="188" t="s">
        <v>172</v>
      </c>
      <c r="P134" s="188" t="s">
        <v>390</v>
      </c>
      <c r="Q134" s="188" t="s">
        <v>112</v>
      </c>
      <c r="R134" s="188" t="s">
        <v>21</v>
      </c>
      <c r="S134" s="188" t="s">
        <v>152</v>
      </c>
      <c r="T134" s="188" t="s">
        <v>121</v>
      </c>
      <c r="U134" s="188" t="s">
        <v>122</v>
      </c>
      <c r="V134" s="188" t="s">
        <v>167</v>
      </c>
      <c r="W134" s="188" t="s">
        <v>168</v>
      </c>
      <c r="X134" s="188" t="s">
        <v>348</v>
      </c>
      <c r="Y134" s="188" t="s">
        <v>1035</v>
      </c>
      <c r="Z134" s="0" t="n">
        <v>1</v>
      </c>
      <c r="AA134" s="188" t="s">
        <v>1136</v>
      </c>
    </row>
    <row r="135" customFormat="false" ht="15" hidden="false" customHeight="true" outlineLevel="0" collapsed="false">
      <c r="A135" s="0" t="n">
        <v>26</v>
      </c>
      <c r="B135" s="187" t="n">
        <v>46122.9906841998</v>
      </c>
      <c r="C135" s="187" t="n">
        <v>46123.0099897554</v>
      </c>
      <c r="D135" s="188" t="s">
        <v>386</v>
      </c>
      <c r="E135" s="188" t="s">
        <v>387</v>
      </c>
      <c r="F135" s="188" t="s">
        <v>387</v>
      </c>
      <c r="G135" s="188" t="s">
        <v>388</v>
      </c>
      <c r="H135" s="187" t="n">
        <v>46102</v>
      </c>
      <c r="I135" s="188" t="s">
        <v>113</v>
      </c>
      <c r="J135" s="188" t="s">
        <v>108</v>
      </c>
      <c r="K135" s="188" t="s">
        <v>245</v>
      </c>
      <c r="L135" s="188" t="s">
        <v>389</v>
      </c>
      <c r="M135" s="188" t="s">
        <v>391</v>
      </c>
      <c r="N135" s="188" t="s">
        <v>280</v>
      </c>
      <c r="O135" s="188" t="s">
        <v>172</v>
      </c>
      <c r="P135" s="188" t="s">
        <v>390</v>
      </c>
      <c r="Q135" s="188" t="s">
        <v>112</v>
      </c>
      <c r="R135" s="188" t="s">
        <v>21</v>
      </c>
      <c r="S135" s="188" t="s">
        <v>152</v>
      </c>
      <c r="T135" s="188" t="s">
        <v>121</v>
      </c>
      <c r="U135" s="188" t="s">
        <v>122</v>
      </c>
      <c r="V135" s="188" t="s">
        <v>167</v>
      </c>
      <c r="W135" s="188" t="s">
        <v>168</v>
      </c>
      <c r="X135" s="188" t="s">
        <v>348</v>
      </c>
      <c r="Y135" s="188" t="s">
        <v>1035</v>
      </c>
      <c r="Z135" s="0" t="n">
        <v>2</v>
      </c>
      <c r="AA135" s="188" t="s">
        <v>1137</v>
      </c>
    </row>
    <row r="136" customFormat="false" ht="15" hidden="false" customHeight="true" outlineLevel="0" collapsed="false">
      <c r="A136" s="0" t="n">
        <v>26</v>
      </c>
      <c r="B136" s="187" t="n">
        <v>46122.9906841998</v>
      </c>
      <c r="C136" s="187" t="n">
        <v>46123.0099897554</v>
      </c>
      <c r="D136" s="188" t="s">
        <v>386</v>
      </c>
      <c r="E136" s="188" t="s">
        <v>387</v>
      </c>
      <c r="F136" s="188" t="s">
        <v>387</v>
      </c>
      <c r="G136" s="188" t="s">
        <v>388</v>
      </c>
      <c r="H136" s="187" t="n">
        <v>46102</v>
      </c>
      <c r="I136" s="188" t="s">
        <v>113</v>
      </c>
      <c r="J136" s="188" t="s">
        <v>108</v>
      </c>
      <c r="K136" s="188" t="s">
        <v>245</v>
      </c>
      <c r="L136" s="188" t="s">
        <v>389</v>
      </c>
      <c r="M136" s="188" t="s">
        <v>391</v>
      </c>
      <c r="N136" s="188" t="s">
        <v>280</v>
      </c>
      <c r="O136" s="188" t="s">
        <v>172</v>
      </c>
      <c r="P136" s="188" t="s">
        <v>390</v>
      </c>
      <c r="Q136" s="188" t="s">
        <v>112</v>
      </c>
      <c r="R136" s="188" t="s">
        <v>21</v>
      </c>
      <c r="S136" s="188" t="s">
        <v>152</v>
      </c>
      <c r="T136" s="188" t="s">
        <v>121</v>
      </c>
      <c r="U136" s="188" t="s">
        <v>122</v>
      </c>
      <c r="V136" s="188" t="s">
        <v>167</v>
      </c>
      <c r="W136" s="188" t="s">
        <v>168</v>
      </c>
      <c r="X136" s="188" t="s">
        <v>348</v>
      </c>
      <c r="Y136" s="188" t="s">
        <v>1037</v>
      </c>
      <c r="Z136" s="0" t="n">
        <v>1</v>
      </c>
      <c r="AA136" s="188" t="s">
        <v>1119</v>
      </c>
    </row>
    <row r="137" customFormat="false" ht="15" hidden="false" customHeight="true" outlineLevel="0" collapsed="false">
      <c r="A137" s="0" t="n">
        <v>26</v>
      </c>
      <c r="B137" s="187" t="n">
        <v>46122.9906841998</v>
      </c>
      <c r="C137" s="187" t="n">
        <v>46123.0099897554</v>
      </c>
      <c r="D137" s="188" t="s">
        <v>386</v>
      </c>
      <c r="E137" s="188" t="s">
        <v>387</v>
      </c>
      <c r="F137" s="188" t="s">
        <v>387</v>
      </c>
      <c r="G137" s="188" t="s">
        <v>388</v>
      </c>
      <c r="H137" s="187" t="n">
        <v>46102</v>
      </c>
      <c r="I137" s="188" t="s">
        <v>113</v>
      </c>
      <c r="J137" s="188" t="s">
        <v>108</v>
      </c>
      <c r="K137" s="188" t="s">
        <v>245</v>
      </c>
      <c r="L137" s="188" t="s">
        <v>389</v>
      </c>
      <c r="M137" s="188" t="s">
        <v>391</v>
      </c>
      <c r="N137" s="188" t="s">
        <v>280</v>
      </c>
      <c r="O137" s="188" t="s">
        <v>172</v>
      </c>
      <c r="P137" s="188" t="s">
        <v>390</v>
      </c>
      <c r="Q137" s="188" t="s">
        <v>112</v>
      </c>
      <c r="R137" s="188" t="s">
        <v>21</v>
      </c>
      <c r="S137" s="188" t="s">
        <v>152</v>
      </c>
      <c r="T137" s="188" t="s">
        <v>121</v>
      </c>
      <c r="U137" s="188" t="s">
        <v>122</v>
      </c>
      <c r="V137" s="188" t="s">
        <v>167</v>
      </c>
      <c r="W137" s="188" t="s">
        <v>168</v>
      </c>
      <c r="X137" s="188" t="s">
        <v>348</v>
      </c>
      <c r="Y137" s="188" t="s">
        <v>1040</v>
      </c>
      <c r="Z137" s="0" t="n">
        <v>1</v>
      </c>
      <c r="AA137" s="188" t="s">
        <v>1138</v>
      </c>
    </row>
    <row r="138" customFormat="false" ht="15" hidden="false" customHeight="true" outlineLevel="0" collapsed="false">
      <c r="A138" s="0" t="n">
        <v>27</v>
      </c>
      <c r="B138" s="187" t="n">
        <v>46077.5152060533</v>
      </c>
      <c r="C138" s="187" t="n">
        <v>46077.5178796644</v>
      </c>
      <c r="D138" s="188" t="s">
        <v>394</v>
      </c>
      <c r="E138" s="188" t="s">
        <v>395</v>
      </c>
      <c r="F138" s="188" t="s">
        <v>395</v>
      </c>
      <c r="G138" s="188" t="s">
        <v>396</v>
      </c>
      <c r="H138" s="187" t="n">
        <v>46058</v>
      </c>
      <c r="I138" s="188" t="s">
        <v>113</v>
      </c>
      <c r="J138" s="188" t="s">
        <v>108</v>
      </c>
      <c r="K138" s="188" t="s">
        <v>143</v>
      </c>
      <c r="L138" s="188" t="s">
        <v>346</v>
      </c>
      <c r="M138" s="188" t="s">
        <v>397</v>
      </c>
      <c r="N138" s="188" t="s">
        <v>398</v>
      </c>
      <c r="O138" s="188" t="s">
        <v>278</v>
      </c>
      <c r="P138" s="188" t="s">
        <v>111</v>
      </c>
      <c r="Q138" s="188" t="s">
        <v>247</v>
      </c>
      <c r="R138" s="188" t="s">
        <v>21</v>
      </c>
      <c r="S138" s="188" t="s">
        <v>152</v>
      </c>
      <c r="T138" s="188" t="s">
        <v>400</v>
      </c>
      <c r="U138" s="188" t="s">
        <v>401</v>
      </c>
      <c r="V138" s="188" t="s">
        <v>167</v>
      </c>
      <c r="W138" s="188" t="s">
        <v>124</v>
      </c>
      <c r="X138" s="188" t="s">
        <v>187</v>
      </c>
      <c r="Y138" s="188" t="s">
        <v>1035</v>
      </c>
      <c r="Z138" s="0" t="n">
        <v>1</v>
      </c>
      <c r="AA138" s="188" t="s">
        <v>1060</v>
      </c>
    </row>
    <row r="139" customFormat="false" ht="15" hidden="false" customHeight="true" outlineLevel="0" collapsed="false">
      <c r="A139" s="0" t="n">
        <v>27</v>
      </c>
      <c r="B139" s="187" t="n">
        <v>46077.5152060533</v>
      </c>
      <c r="C139" s="187" t="n">
        <v>46077.5178796644</v>
      </c>
      <c r="D139" s="188" t="s">
        <v>394</v>
      </c>
      <c r="E139" s="188" t="s">
        <v>395</v>
      </c>
      <c r="F139" s="188" t="s">
        <v>395</v>
      </c>
      <c r="G139" s="188" t="s">
        <v>396</v>
      </c>
      <c r="H139" s="187" t="n">
        <v>46058</v>
      </c>
      <c r="I139" s="188" t="s">
        <v>113</v>
      </c>
      <c r="J139" s="188" t="s">
        <v>108</v>
      </c>
      <c r="K139" s="188" t="s">
        <v>143</v>
      </c>
      <c r="L139" s="188" t="s">
        <v>346</v>
      </c>
      <c r="M139" s="188" t="s">
        <v>397</v>
      </c>
      <c r="N139" s="188" t="s">
        <v>398</v>
      </c>
      <c r="O139" s="188" t="s">
        <v>278</v>
      </c>
      <c r="P139" s="188" t="s">
        <v>111</v>
      </c>
      <c r="Q139" s="188" t="s">
        <v>247</v>
      </c>
      <c r="R139" s="188" t="s">
        <v>21</v>
      </c>
      <c r="S139" s="188" t="s">
        <v>152</v>
      </c>
      <c r="T139" s="188" t="s">
        <v>400</v>
      </c>
      <c r="U139" s="188" t="s">
        <v>401</v>
      </c>
      <c r="V139" s="188" t="s">
        <v>167</v>
      </c>
      <c r="W139" s="188" t="s">
        <v>124</v>
      </c>
      <c r="X139" s="188" t="s">
        <v>187</v>
      </c>
      <c r="Y139" s="188" t="s">
        <v>1037</v>
      </c>
      <c r="Z139" s="0" t="n">
        <v>1</v>
      </c>
      <c r="AA139" s="188" t="s">
        <v>1139</v>
      </c>
    </row>
    <row r="140" s="189" customFormat="true" ht="15" hidden="false" customHeight="true" outlineLevel="0" collapsed="false">
      <c r="A140" s="189" t="n">
        <v>27</v>
      </c>
      <c r="B140" s="187" t="n">
        <v>46077.5152060533</v>
      </c>
      <c r="C140" s="187" t="n">
        <v>46077.5178796644</v>
      </c>
      <c r="D140" s="189" t="s">
        <v>394</v>
      </c>
      <c r="E140" s="189" t="s">
        <v>395</v>
      </c>
      <c r="F140" s="189" t="s">
        <v>395</v>
      </c>
      <c r="G140" s="189" t="s">
        <v>396</v>
      </c>
      <c r="H140" s="187" t="n">
        <v>46058</v>
      </c>
      <c r="I140" s="189" t="s">
        <v>113</v>
      </c>
      <c r="J140" s="189" t="s">
        <v>108</v>
      </c>
      <c r="K140" s="189" t="s">
        <v>143</v>
      </c>
      <c r="L140" s="189" t="s">
        <v>346</v>
      </c>
      <c r="M140" s="189" t="s">
        <v>397</v>
      </c>
      <c r="N140" s="189" t="s">
        <v>398</v>
      </c>
      <c r="O140" s="189" t="s">
        <v>278</v>
      </c>
      <c r="P140" s="189" t="s">
        <v>111</v>
      </c>
      <c r="Q140" s="189" t="s">
        <v>247</v>
      </c>
      <c r="R140" s="189" t="s">
        <v>21</v>
      </c>
      <c r="S140" s="189" t="s">
        <v>152</v>
      </c>
      <c r="T140" s="189" t="s">
        <v>400</v>
      </c>
      <c r="U140" s="189" t="s">
        <v>401</v>
      </c>
      <c r="V140" s="189" t="s">
        <v>167</v>
      </c>
      <c r="W140" s="189" t="s">
        <v>124</v>
      </c>
      <c r="X140" s="189" t="s">
        <v>187</v>
      </c>
      <c r="Y140" s="189" t="s">
        <v>1040</v>
      </c>
      <c r="Z140" s="189" t="n">
        <v>1</v>
      </c>
      <c r="AA140" s="189" t="s">
        <v>1062</v>
      </c>
    </row>
    <row r="141" s="189" customFormat="true" ht="15" hidden="false" customHeight="true" outlineLevel="0" collapsed="false">
      <c r="A141" s="189" t="n">
        <v>28</v>
      </c>
      <c r="B141" s="187" t="n">
        <v>46167.3981445814</v>
      </c>
      <c r="C141" s="187" t="n">
        <v>46167.4162464333</v>
      </c>
      <c r="D141" s="189" t="s">
        <v>402</v>
      </c>
      <c r="E141" s="189" t="s">
        <v>403</v>
      </c>
      <c r="F141" s="189" t="s">
        <v>403</v>
      </c>
      <c r="G141" s="189" t="s">
        <v>404</v>
      </c>
      <c r="H141" s="187" t="n">
        <v>46152</v>
      </c>
      <c r="I141" s="189" t="s">
        <v>305</v>
      </c>
      <c r="J141" s="189" t="s">
        <v>108</v>
      </c>
      <c r="K141" s="189" t="s">
        <v>245</v>
      </c>
      <c r="L141" s="189" t="s">
        <v>286</v>
      </c>
      <c r="M141" s="189" t="s">
        <v>406</v>
      </c>
      <c r="N141" s="189" t="s">
        <v>407</v>
      </c>
      <c r="O141" s="189" t="s">
        <v>405</v>
      </c>
      <c r="P141" s="189" t="s">
        <v>211</v>
      </c>
      <c r="Q141" s="189" t="s">
        <v>112</v>
      </c>
      <c r="R141" s="189" t="s">
        <v>22</v>
      </c>
      <c r="S141" s="189" t="s">
        <v>320</v>
      </c>
      <c r="T141" s="189" t="s">
        <v>121</v>
      </c>
      <c r="U141" s="189" t="s">
        <v>122</v>
      </c>
      <c r="V141" s="189" t="s">
        <v>123</v>
      </c>
      <c r="W141" s="189" t="s">
        <v>124</v>
      </c>
      <c r="X141" s="189" t="s">
        <v>339</v>
      </c>
      <c r="Y141" s="189" t="s">
        <v>1035</v>
      </c>
      <c r="Z141" s="189" t="n">
        <v>1</v>
      </c>
      <c r="AA141" s="189" t="s">
        <v>1140</v>
      </c>
    </row>
    <row r="142" s="189" customFormat="true" ht="15" hidden="false" customHeight="true" outlineLevel="0" collapsed="false">
      <c r="A142" s="189" t="n">
        <v>28</v>
      </c>
      <c r="B142" s="187" t="n">
        <v>46167.3981445814</v>
      </c>
      <c r="C142" s="187" t="n">
        <v>46167.4162464333</v>
      </c>
      <c r="D142" s="189" t="s">
        <v>402</v>
      </c>
      <c r="E142" s="189" t="s">
        <v>403</v>
      </c>
      <c r="F142" s="189" t="s">
        <v>403</v>
      </c>
      <c r="G142" s="189" t="s">
        <v>404</v>
      </c>
      <c r="H142" s="187" t="n">
        <v>46152</v>
      </c>
      <c r="I142" s="189" t="s">
        <v>305</v>
      </c>
      <c r="J142" s="189" t="s">
        <v>108</v>
      </c>
      <c r="K142" s="189" t="s">
        <v>245</v>
      </c>
      <c r="L142" s="189" t="s">
        <v>286</v>
      </c>
      <c r="M142" s="189" t="s">
        <v>406</v>
      </c>
      <c r="N142" s="189" t="s">
        <v>407</v>
      </c>
      <c r="O142" s="189" t="s">
        <v>405</v>
      </c>
      <c r="P142" s="189" t="s">
        <v>211</v>
      </c>
      <c r="Q142" s="189" t="s">
        <v>112</v>
      </c>
      <c r="R142" s="189" t="s">
        <v>22</v>
      </c>
      <c r="S142" s="189" t="s">
        <v>320</v>
      </c>
      <c r="T142" s="189" t="s">
        <v>121</v>
      </c>
      <c r="U142" s="189" t="s">
        <v>122</v>
      </c>
      <c r="V142" s="189" t="s">
        <v>123</v>
      </c>
      <c r="W142" s="189" t="s">
        <v>124</v>
      </c>
      <c r="X142" s="189" t="s">
        <v>339</v>
      </c>
      <c r="Y142" s="189" t="s">
        <v>1035</v>
      </c>
      <c r="Z142" s="189" t="n">
        <v>2</v>
      </c>
      <c r="AA142" s="189" t="s">
        <v>1141</v>
      </c>
    </row>
    <row r="143" s="189" customFormat="true" ht="15" hidden="false" customHeight="true" outlineLevel="0" collapsed="false">
      <c r="A143" s="189" t="n">
        <v>28</v>
      </c>
      <c r="B143" s="187" t="n">
        <v>46167.3981445814</v>
      </c>
      <c r="C143" s="187" t="n">
        <v>46167.4162464333</v>
      </c>
      <c r="D143" s="189" t="s">
        <v>402</v>
      </c>
      <c r="E143" s="189" t="s">
        <v>403</v>
      </c>
      <c r="F143" s="189" t="s">
        <v>403</v>
      </c>
      <c r="G143" s="189" t="s">
        <v>404</v>
      </c>
      <c r="H143" s="187" t="n">
        <v>46152</v>
      </c>
      <c r="I143" s="189" t="s">
        <v>305</v>
      </c>
      <c r="J143" s="189" t="s">
        <v>108</v>
      </c>
      <c r="K143" s="189" t="s">
        <v>245</v>
      </c>
      <c r="L143" s="189" t="s">
        <v>286</v>
      </c>
      <c r="M143" s="189" t="s">
        <v>406</v>
      </c>
      <c r="N143" s="189" t="s">
        <v>407</v>
      </c>
      <c r="O143" s="189" t="s">
        <v>405</v>
      </c>
      <c r="P143" s="189" t="s">
        <v>211</v>
      </c>
      <c r="Q143" s="189" t="s">
        <v>112</v>
      </c>
      <c r="R143" s="189" t="s">
        <v>22</v>
      </c>
      <c r="S143" s="189" t="s">
        <v>320</v>
      </c>
      <c r="T143" s="189" t="s">
        <v>121</v>
      </c>
      <c r="U143" s="189" t="s">
        <v>122</v>
      </c>
      <c r="V143" s="189" t="s">
        <v>123</v>
      </c>
      <c r="W143" s="189" t="s">
        <v>124</v>
      </c>
      <c r="X143" s="189" t="s">
        <v>339</v>
      </c>
      <c r="Y143" s="189" t="s">
        <v>1037</v>
      </c>
      <c r="Z143" s="189" t="n">
        <v>1</v>
      </c>
      <c r="AA143" s="189" t="s">
        <v>122</v>
      </c>
    </row>
    <row r="144" s="189" customFormat="true" ht="15" hidden="false" customHeight="true" outlineLevel="0" collapsed="false">
      <c r="A144" s="189" t="n">
        <v>28</v>
      </c>
      <c r="B144" s="187" t="n">
        <v>46167.3981445814</v>
      </c>
      <c r="C144" s="187" t="n">
        <v>46167.4162464333</v>
      </c>
      <c r="D144" s="189" t="s">
        <v>402</v>
      </c>
      <c r="E144" s="189" t="s">
        <v>403</v>
      </c>
      <c r="F144" s="189" t="s">
        <v>403</v>
      </c>
      <c r="G144" s="189" t="s">
        <v>404</v>
      </c>
      <c r="H144" s="187" t="n">
        <v>46152</v>
      </c>
      <c r="I144" s="189" t="s">
        <v>305</v>
      </c>
      <c r="J144" s="189" t="s">
        <v>108</v>
      </c>
      <c r="K144" s="189" t="s">
        <v>245</v>
      </c>
      <c r="L144" s="189" t="s">
        <v>286</v>
      </c>
      <c r="M144" s="189" t="s">
        <v>406</v>
      </c>
      <c r="N144" s="189" t="s">
        <v>407</v>
      </c>
      <c r="O144" s="189" t="s">
        <v>405</v>
      </c>
      <c r="P144" s="189" t="s">
        <v>211</v>
      </c>
      <c r="Q144" s="189" t="s">
        <v>112</v>
      </c>
      <c r="R144" s="189" t="s">
        <v>22</v>
      </c>
      <c r="S144" s="189" t="s">
        <v>320</v>
      </c>
      <c r="T144" s="189" t="s">
        <v>121</v>
      </c>
      <c r="U144" s="189" t="s">
        <v>122</v>
      </c>
      <c r="V144" s="189" t="s">
        <v>123</v>
      </c>
      <c r="W144" s="189" t="s">
        <v>124</v>
      </c>
      <c r="X144" s="189" t="s">
        <v>339</v>
      </c>
      <c r="Y144" s="189" t="s">
        <v>1040</v>
      </c>
      <c r="Z144" s="189" t="n">
        <v>1</v>
      </c>
      <c r="AA144" s="189" t="s">
        <v>122</v>
      </c>
    </row>
    <row r="145" s="189" customFormat="true" ht="15" hidden="false" customHeight="true" outlineLevel="0" collapsed="false">
      <c r="A145" s="189" t="n">
        <v>28</v>
      </c>
      <c r="B145" s="187" t="n">
        <v>46167.3981445814</v>
      </c>
      <c r="C145" s="187" t="n">
        <v>46167.4162464333</v>
      </c>
      <c r="D145" s="189" t="s">
        <v>402</v>
      </c>
      <c r="E145" s="189" t="s">
        <v>403</v>
      </c>
      <c r="F145" s="189" t="s">
        <v>403</v>
      </c>
      <c r="G145" s="189" t="s">
        <v>404</v>
      </c>
      <c r="H145" s="187" t="n">
        <v>46152</v>
      </c>
      <c r="I145" s="189" t="s">
        <v>305</v>
      </c>
      <c r="J145" s="189" t="s">
        <v>108</v>
      </c>
      <c r="K145" s="189" t="s">
        <v>245</v>
      </c>
      <c r="L145" s="189" t="s">
        <v>286</v>
      </c>
      <c r="M145" s="189" t="s">
        <v>406</v>
      </c>
      <c r="N145" s="189" t="s">
        <v>407</v>
      </c>
      <c r="O145" s="189" t="s">
        <v>405</v>
      </c>
      <c r="P145" s="189" t="s">
        <v>211</v>
      </c>
      <c r="Q145" s="189" t="s">
        <v>112</v>
      </c>
      <c r="R145" s="189" t="s">
        <v>22</v>
      </c>
      <c r="S145" s="189" t="s">
        <v>320</v>
      </c>
      <c r="T145" s="189" t="s">
        <v>121</v>
      </c>
      <c r="U145" s="189" t="s">
        <v>122</v>
      </c>
      <c r="V145" s="189" t="s">
        <v>123</v>
      </c>
      <c r="W145" s="189" t="s">
        <v>124</v>
      </c>
      <c r="X145" s="189" t="s">
        <v>339</v>
      </c>
      <c r="Y145" s="189" t="s">
        <v>1040</v>
      </c>
      <c r="Z145" s="189" t="n">
        <v>2</v>
      </c>
      <c r="AA145" s="189" t="s">
        <v>1117</v>
      </c>
    </row>
    <row r="146" s="189" customFormat="true" ht="15" hidden="false" customHeight="true" outlineLevel="0" collapsed="false">
      <c r="A146" s="189" t="n">
        <v>29</v>
      </c>
      <c r="B146" s="187" t="n">
        <v>46154.2280905382</v>
      </c>
      <c r="C146" s="187" t="n">
        <v>46154.2339470197</v>
      </c>
      <c r="D146" s="189" t="s">
        <v>410</v>
      </c>
      <c r="E146" s="189" t="s">
        <v>411</v>
      </c>
      <c r="F146" s="189" t="s">
        <v>411</v>
      </c>
      <c r="G146" s="189" t="s">
        <v>412</v>
      </c>
      <c r="H146" s="187" t="n">
        <v>46142</v>
      </c>
      <c r="I146" s="189" t="s">
        <v>113</v>
      </c>
      <c r="J146" s="189" t="s">
        <v>295</v>
      </c>
      <c r="K146" s="189" t="s">
        <v>413</v>
      </c>
      <c r="L146" s="189" t="s">
        <v>389</v>
      </c>
      <c r="M146" s="189" t="s">
        <v>234</v>
      </c>
      <c r="N146" s="189" t="s">
        <v>414</v>
      </c>
      <c r="O146" s="189" t="s">
        <v>107</v>
      </c>
      <c r="P146" s="189" t="s">
        <v>111</v>
      </c>
      <c r="Q146" s="189" t="s">
        <v>145</v>
      </c>
      <c r="R146" s="189" t="s">
        <v>24</v>
      </c>
      <c r="S146" s="189" t="s">
        <v>120</v>
      </c>
      <c r="T146" s="189" t="s">
        <v>121</v>
      </c>
      <c r="U146" s="189" t="s">
        <v>122</v>
      </c>
      <c r="V146" s="189" t="s">
        <v>167</v>
      </c>
      <c r="W146" s="189" t="s">
        <v>124</v>
      </c>
      <c r="X146" s="189" t="s">
        <v>223</v>
      </c>
      <c r="Y146" s="189" t="s">
        <v>1035</v>
      </c>
      <c r="Z146" s="189" t="n">
        <v>1</v>
      </c>
      <c r="AA146" s="189" t="s">
        <v>1074</v>
      </c>
    </row>
    <row r="147" s="189" customFormat="true" ht="15" hidden="false" customHeight="true" outlineLevel="0" collapsed="false">
      <c r="A147" s="189" t="n">
        <v>29</v>
      </c>
      <c r="B147" s="187" t="n">
        <v>46154.2280905382</v>
      </c>
      <c r="C147" s="187" t="n">
        <v>46154.2339470197</v>
      </c>
      <c r="D147" s="189" t="s">
        <v>410</v>
      </c>
      <c r="E147" s="189" t="s">
        <v>411</v>
      </c>
      <c r="F147" s="189" t="s">
        <v>411</v>
      </c>
      <c r="G147" s="189" t="s">
        <v>412</v>
      </c>
      <c r="H147" s="187" t="n">
        <v>46142</v>
      </c>
      <c r="I147" s="189" t="s">
        <v>113</v>
      </c>
      <c r="J147" s="189" t="s">
        <v>295</v>
      </c>
      <c r="K147" s="189" t="s">
        <v>413</v>
      </c>
      <c r="L147" s="189" t="s">
        <v>389</v>
      </c>
      <c r="M147" s="189" t="s">
        <v>234</v>
      </c>
      <c r="N147" s="189" t="s">
        <v>414</v>
      </c>
      <c r="O147" s="189" t="s">
        <v>107</v>
      </c>
      <c r="P147" s="189" t="s">
        <v>111</v>
      </c>
      <c r="Q147" s="189" t="s">
        <v>145</v>
      </c>
      <c r="R147" s="189" t="s">
        <v>24</v>
      </c>
      <c r="S147" s="189" t="s">
        <v>120</v>
      </c>
      <c r="T147" s="189" t="s">
        <v>121</v>
      </c>
      <c r="U147" s="189" t="s">
        <v>122</v>
      </c>
      <c r="V147" s="189" t="s">
        <v>167</v>
      </c>
      <c r="W147" s="189" t="s">
        <v>124</v>
      </c>
      <c r="X147" s="189" t="s">
        <v>223</v>
      </c>
      <c r="Y147" s="189" t="s">
        <v>1035</v>
      </c>
      <c r="Z147" s="189" t="n">
        <v>2</v>
      </c>
      <c r="AA147" s="189" t="s">
        <v>1069</v>
      </c>
    </row>
    <row r="148" s="189" customFormat="true" ht="15" hidden="false" customHeight="true" outlineLevel="0" collapsed="false">
      <c r="A148" s="189" t="n">
        <v>29</v>
      </c>
      <c r="B148" s="187" t="n">
        <v>46154.2280905382</v>
      </c>
      <c r="C148" s="187" t="n">
        <v>46154.2339470197</v>
      </c>
      <c r="D148" s="189" t="s">
        <v>410</v>
      </c>
      <c r="E148" s="189" t="s">
        <v>411</v>
      </c>
      <c r="F148" s="189" t="s">
        <v>411</v>
      </c>
      <c r="G148" s="189" t="s">
        <v>412</v>
      </c>
      <c r="H148" s="187" t="n">
        <v>46142</v>
      </c>
      <c r="I148" s="189" t="s">
        <v>113</v>
      </c>
      <c r="J148" s="189" t="s">
        <v>295</v>
      </c>
      <c r="K148" s="189" t="s">
        <v>413</v>
      </c>
      <c r="L148" s="189" t="s">
        <v>389</v>
      </c>
      <c r="M148" s="189" t="s">
        <v>234</v>
      </c>
      <c r="N148" s="189" t="s">
        <v>414</v>
      </c>
      <c r="O148" s="189" t="s">
        <v>107</v>
      </c>
      <c r="P148" s="189" t="s">
        <v>111</v>
      </c>
      <c r="Q148" s="189" t="s">
        <v>145</v>
      </c>
      <c r="R148" s="189" t="s">
        <v>24</v>
      </c>
      <c r="S148" s="189" t="s">
        <v>120</v>
      </c>
      <c r="T148" s="189" t="s">
        <v>121</v>
      </c>
      <c r="U148" s="189" t="s">
        <v>122</v>
      </c>
      <c r="V148" s="189" t="s">
        <v>167</v>
      </c>
      <c r="W148" s="189" t="s">
        <v>124</v>
      </c>
      <c r="X148" s="189" t="s">
        <v>223</v>
      </c>
      <c r="Y148" s="189" t="s">
        <v>1037</v>
      </c>
      <c r="Z148" s="189" t="n">
        <v>1</v>
      </c>
      <c r="AA148" s="189" t="s">
        <v>1142</v>
      </c>
    </row>
    <row r="149" s="189" customFormat="true" ht="15" hidden="false" customHeight="true" outlineLevel="0" collapsed="false">
      <c r="A149" s="189" t="n">
        <v>29</v>
      </c>
      <c r="B149" s="187" t="n">
        <v>46154.2280905382</v>
      </c>
      <c r="C149" s="187" t="n">
        <v>46154.2339470197</v>
      </c>
      <c r="D149" s="189" t="s">
        <v>410</v>
      </c>
      <c r="E149" s="189" t="s">
        <v>411</v>
      </c>
      <c r="F149" s="189" t="s">
        <v>411</v>
      </c>
      <c r="G149" s="189" t="s">
        <v>412</v>
      </c>
      <c r="H149" s="187" t="n">
        <v>46142</v>
      </c>
      <c r="I149" s="189" t="s">
        <v>113</v>
      </c>
      <c r="J149" s="189" t="s">
        <v>295</v>
      </c>
      <c r="K149" s="189" t="s">
        <v>413</v>
      </c>
      <c r="L149" s="189" t="s">
        <v>389</v>
      </c>
      <c r="M149" s="189" t="s">
        <v>234</v>
      </c>
      <c r="N149" s="189" t="s">
        <v>414</v>
      </c>
      <c r="O149" s="189" t="s">
        <v>107</v>
      </c>
      <c r="P149" s="189" t="s">
        <v>111</v>
      </c>
      <c r="Q149" s="189" t="s">
        <v>145</v>
      </c>
      <c r="R149" s="189" t="s">
        <v>24</v>
      </c>
      <c r="S149" s="189" t="s">
        <v>120</v>
      </c>
      <c r="T149" s="189" t="s">
        <v>121</v>
      </c>
      <c r="U149" s="189" t="s">
        <v>122</v>
      </c>
      <c r="V149" s="189" t="s">
        <v>167</v>
      </c>
      <c r="W149" s="189" t="s">
        <v>124</v>
      </c>
      <c r="X149" s="189" t="s">
        <v>223</v>
      </c>
      <c r="Y149" s="189" t="s">
        <v>1037</v>
      </c>
      <c r="Z149" s="189" t="n">
        <v>2</v>
      </c>
      <c r="AA149" s="189" t="s">
        <v>1143</v>
      </c>
    </row>
    <row r="150" s="189" customFormat="true" ht="15" hidden="false" customHeight="true" outlineLevel="0" collapsed="false">
      <c r="A150" s="189" t="n">
        <v>29</v>
      </c>
      <c r="B150" s="187" t="n">
        <v>46154.2280905382</v>
      </c>
      <c r="C150" s="187" t="n">
        <v>46154.2339470197</v>
      </c>
      <c r="D150" s="189" t="s">
        <v>410</v>
      </c>
      <c r="E150" s="189" t="s">
        <v>411</v>
      </c>
      <c r="F150" s="189" t="s">
        <v>411</v>
      </c>
      <c r="G150" s="189" t="s">
        <v>412</v>
      </c>
      <c r="H150" s="187" t="n">
        <v>46142</v>
      </c>
      <c r="I150" s="189" t="s">
        <v>113</v>
      </c>
      <c r="J150" s="189" t="s">
        <v>295</v>
      </c>
      <c r="K150" s="189" t="s">
        <v>413</v>
      </c>
      <c r="L150" s="189" t="s">
        <v>389</v>
      </c>
      <c r="M150" s="189" t="s">
        <v>234</v>
      </c>
      <c r="N150" s="189" t="s">
        <v>414</v>
      </c>
      <c r="O150" s="189" t="s">
        <v>107</v>
      </c>
      <c r="P150" s="189" t="s">
        <v>111</v>
      </c>
      <c r="Q150" s="189" t="s">
        <v>145</v>
      </c>
      <c r="R150" s="189" t="s">
        <v>24</v>
      </c>
      <c r="S150" s="189" t="s">
        <v>120</v>
      </c>
      <c r="T150" s="189" t="s">
        <v>121</v>
      </c>
      <c r="U150" s="189" t="s">
        <v>122</v>
      </c>
      <c r="V150" s="189" t="s">
        <v>167</v>
      </c>
      <c r="W150" s="189" t="s">
        <v>124</v>
      </c>
      <c r="X150" s="189" t="s">
        <v>223</v>
      </c>
      <c r="Y150" s="189" t="s">
        <v>1040</v>
      </c>
      <c r="Z150" s="189" t="n">
        <v>1</v>
      </c>
      <c r="AA150" s="189" t="s">
        <v>1122</v>
      </c>
    </row>
    <row r="151" s="189" customFormat="true" ht="15" hidden="false" customHeight="true" outlineLevel="0" collapsed="false">
      <c r="A151" s="189" t="n">
        <v>29</v>
      </c>
      <c r="B151" s="187" t="n">
        <v>46154.2280905382</v>
      </c>
      <c r="C151" s="187" t="n">
        <v>46154.2339470197</v>
      </c>
      <c r="D151" s="189" t="s">
        <v>410</v>
      </c>
      <c r="E151" s="189" t="s">
        <v>411</v>
      </c>
      <c r="F151" s="189" t="s">
        <v>411</v>
      </c>
      <c r="G151" s="189" t="s">
        <v>412</v>
      </c>
      <c r="H151" s="187" t="n">
        <v>46142</v>
      </c>
      <c r="I151" s="189" t="s">
        <v>113</v>
      </c>
      <c r="J151" s="189" t="s">
        <v>295</v>
      </c>
      <c r="K151" s="189" t="s">
        <v>413</v>
      </c>
      <c r="L151" s="189" t="s">
        <v>389</v>
      </c>
      <c r="M151" s="189" t="s">
        <v>234</v>
      </c>
      <c r="N151" s="189" t="s">
        <v>414</v>
      </c>
      <c r="O151" s="189" t="s">
        <v>107</v>
      </c>
      <c r="P151" s="189" t="s">
        <v>111</v>
      </c>
      <c r="Q151" s="189" t="s">
        <v>145</v>
      </c>
      <c r="R151" s="189" t="s">
        <v>24</v>
      </c>
      <c r="S151" s="189" t="s">
        <v>120</v>
      </c>
      <c r="T151" s="189" t="s">
        <v>121</v>
      </c>
      <c r="U151" s="189" t="s">
        <v>122</v>
      </c>
      <c r="V151" s="189" t="s">
        <v>167</v>
      </c>
      <c r="W151" s="189" t="s">
        <v>124</v>
      </c>
      <c r="X151" s="189" t="s">
        <v>223</v>
      </c>
      <c r="Y151" s="189" t="s">
        <v>1040</v>
      </c>
      <c r="Z151" s="189" t="n">
        <v>2</v>
      </c>
      <c r="AA151" s="189" t="s">
        <v>1077</v>
      </c>
    </row>
    <row r="152" s="189" customFormat="true" ht="15" hidden="false" customHeight="true" outlineLevel="0" collapsed="false">
      <c r="A152" s="189" t="n">
        <v>30</v>
      </c>
      <c r="B152" s="187" t="n">
        <v>46203.3556611131</v>
      </c>
      <c r="C152" s="187" t="n">
        <v>46203.3664712983</v>
      </c>
      <c r="D152" s="189" t="s">
        <v>418</v>
      </c>
      <c r="E152" s="189" t="s">
        <v>419</v>
      </c>
      <c r="F152" s="189" t="s">
        <v>420</v>
      </c>
      <c r="G152" s="189" t="s">
        <v>421</v>
      </c>
      <c r="H152" s="187" t="n">
        <v>46193</v>
      </c>
      <c r="I152" s="189" t="s">
        <v>113</v>
      </c>
      <c r="J152" s="189" t="s">
        <v>128</v>
      </c>
      <c r="K152" s="189" t="s">
        <v>257</v>
      </c>
      <c r="L152" s="189" t="s">
        <v>389</v>
      </c>
      <c r="M152" s="189" t="s">
        <v>337</v>
      </c>
      <c r="N152" s="189" t="s">
        <v>422</v>
      </c>
      <c r="O152" s="189" t="s">
        <v>157</v>
      </c>
      <c r="P152" s="189" t="s">
        <v>131</v>
      </c>
      <c r="Q152" s="189" t="s">
        <v>112</v>
      </c>
      <c r="R152" s="189" t="s">
        <v>24</v>
      </c>
      <c r="S152" s="189" t="s">
        <v>120</v>
      </c>
      <c r="T152" s="189" t="s">
        <v>121</v>
      </c>
      <c r="U152" s="189" t="s">
        <v>426</v>
      </c>
      <c r="V152" s="189" t="s">
        <v>123</v>
      </c>
      <c r="W152" s="189" t="s">
        <v>124</v>
      </c>
      <c r="X152" s="189" t="s">
        <v>223</v>
      </c>
      <c r="Y152" s="189" t="s">
        <v>1035</v>
      </c>
      <c r="Z152" s="189" t="n">
        <v>1</v>
      </c>
      <c r="AA152" s="189" t="s">
        <v>1074</v>
      </c>
    </row>
    <row r="153" s="189" customFormat="true" ht="15" hidden="false" customHeight="true" outlineLevel="0" collapsed="false">
      <c r="A153" s="189" t="n">
        <v>30</v>
      </c>
      <c r="B153" s="187" t="n">
        <v>46203.3556611131</v>
      </c>
      <c r="C153" s="187" t="n">
        <v>46203.3664712983</v>
      </c>
      <c r="D153" s="189" t="s">
        <v>418</v>
      </c>
      <c r="E153" s="189" t="s">
        <v>419</v>
      </c>
      <c r="F153" s="189" t="s">
        <v>420</v>
      </c>
      <c r="G153" s="189" t="s">
        <v>421</v>
      </c>
      <c r="H153" s="187" t="n">
        <v>46193</v>
      </c>
      <c r="I153" s="189" t="s">
        <v>113</v>
      </c>
      <c r="J153" s="189" t="s">
        <v>128</v>
      </c>
      <c r="K153" s="189" t="s">
        <v>257</v>
      </c>
      <c r="L153" s="189" t="s">
        <v>389</v>
      </c>
      <c r="M153" s="189" t="s">
        <v>337</v>
      </c>
      <c r="N153" s="189" t="s">
        <v>422</v>
      </c>
      <c r="O153" s="189" t="s">
        <v>157</v>
      </c>
      <c r="P153" s="189" t="s">
        <v>131</v>
      </c>
      <c r="Q153" s="189" t="s">
        <v>112</v>
      </c>
      <c r="R153" s="189" t="s">
        <v>24</v>
      </c>
      <c r="S153" s="189" t="s">
        <v>120</v>
      </c>
      <c r="T153" s="189" t="s">
        <v>121</v>
      </c>
      <c r="U153" s="189" t="s">
        <v>426</v>
      </c>
      <c r="V153" s="189" t="s">
        <v>123</v>
      </c>
      <c r="W153" s="189" t="s">
        <v>124</v>
      </c>
      <c r="X153" s="189" t="s">
        <v>223</v>
      </c>
      <c r="Y153" s="189" t="s">
        <v>1035</v>
      </c>
      <c r="Z153" s="189" t="n">
        <v>2</v>
      </c>
      <c r="AA153" s="189" t="s">
        <v>1092</v>
      </c>
    </row>
    <row r="154" s="189" customFormat="true" ht="15" hidden="false" customHeight="true" outlineLevel="0" collapsed="false">
      <c r="A154" s="189" t="n">
        <v>30</v>
      </c>
      <c r="B154" s="187" t="n">
        <v>46203.3556611131</v>
      </c>
      <c r="C154" s="187" t="n">
        <v>46203.3664712983</v>
      </c>
      <c r="D154" s="189" t="s">
        <v>418</v>
      </c>
      <c r="E154" s="189" t="s">
        <v>419</v>
      </c>
      <c r="F154" s="189" t="s">
        <v>420</v>
      </c>
      <c r="G154" s="189" t="s">
        <v>421</v>
      </c>
      <c r="H154" s="187" t="n">
        <v>46193</v>
      </c>
      <c r="I154" s="189" t="s">
        <v>113</v>
      </c>
      <c r="J154" s="189" t="s">
        <v>128</v>
      </c>
      <c r="K154" s="189" t="s">
        <v>257</v>
      </c>
      <c r="L154" s="189" t="s">
        <v>389</v>
      </c>
      <c r="M154" s="189" t="s">
        <v>337</v>
      </c>
      <c r="N154" s="189" t="s">
        <v>422</v>
      </c>
      <c r="O154" s="189" t="s">
        <v>157</v>
      </c>
      <c r="P154" s="189" t="s">
        <v>131</v>
      </c>
      <c r="Q154" s="189" t="s">
        <v>112</v>
      </c>
      <c r="R154" s="189" t="s">
        <v>24</v>
      </c>
      <c r="S154" s="189" t="s">
        <v>120</v>
      </c>
      <c r="T154" s="189" t="s">
        <v>121</v>
      </c>
      <c r="U154" s="189" t="s">
        <v>426</v>
      </c>
      <c r="V154" s="189" t="s">
        <v>123</v>
      </c>
      <c r="W154" s="189" t="s">
        <v>124</v>
      </c>
      <c r="X154" s="189" t="s">
        <v>223</v>
      </c>
      <c r="Y154" s="189" t="s">
        <v>1035</v>
      </c>
      <c r="Z154" s="189" t="n">
        <v>3</v>
      </c>
      <c r="AA154" s="189" t="s">
        <v>1075</v>
      </c>
    </row>
    <row r="155" s="189" customFormat="true" ht="54.75" hidden="false" customHeight="true" outlineLevel="0" collapsed="false">
      <c r="A155" s="189" t="n">
        <v>30</v>
      </c>
      <c r="B155" s="187" t="n">
        <v>46203.3556611131</v>
      </c>
      <c r="C155" s="187" t="n">
        <v>46203.3664712983</v>
      </c>
      <c r="D155" s="189" t="s">
        <v>418</v>
      </c>
      <c r="E155" s="189" t="s">
        <v>419</v>
      </c>
      <c r="F155" s="189" t="s">
        <v>420</v>
      </c>
      <c r="G155" s="189" t="s">
        <v>421</v>
      </c>
      <c r="H155" s="187" t="n">
        <v>46193</v>
      </c>
      <c r="I155" s="189" t="s">
        <v>113</v>
      </c>
      <c r="J155" s="189" t="s">
        <v>128</v>
      </c>
      <c r="K155" s="189" t="s">
        <v>257</v>
      </c>
      <c r="L155" s="189" t="s">
        <v>389</v>
      </c>
      <c r="M155" s="189" t="s">
        <v>337</v>
      </c>
      <c r="N155" s="189" t="s">
        <v>422</v>
      </c>
      <c r="O155" s="189" t="s">
        <v>157</v>
      </c>
      <c r="P155" s="189" t="s">
        <v>131</v>
      </c>
      <c r="Q155" s="189" t="s">
        <v>112</v>
      </c>
      <c r="R155" s="189" t="s">
        <v>24</v>
      </c>
      <c r="S155" s="189" t="s">
        <v>120</v>
      </c>
      <c r="T155" s="189" t="s">
        <v>121</v>
      </c>
      <c r="U155" s="189" t="s">
        <v>426</v>
      </c>
      <c r="V155" s="189" t="s">
        <v>123</v>
      </c>
      <c r="W155" s="189" t="s">
        <v>124</v>
      </c>
      <c r="X155" s="189" t="s">
        <v>223</v>
      </c>
      <c r="Y155" s="189" t="s">
        <v>1037</v>
      </c>
      <c r="Z155" s="189" t="n">
        <v>1</v>
      </c>
      <c r="AA155" s="189" t="s">
        <v>1070</v>
      </c>
    </row>
    <row r="156" s="189" customFormat="true" ht="54.75" hidden="false" customHeight="true" outlineLevel="0" collapsed="false">
      <c r="A156" s="189" t="n">
        <v>30</v>
      </c>
      <c r="B156" s="187" t="n">
        <v>46203.3556611131</v>
      </c>
      <c r="C156" s="187" t="n">
        <v>46203.3664712983</v>
      </c>
      <c r="D156" s="189" t="s">
        <v>418</v>
      </c>
      <c r="E156" s="189" t="s">
        <v>419</v>
      </c>
      <c r="F156" s="189" t="s">
        <v>420</v>
      </c>
      <c r="G156" s="189" t="s">
        <v>421</v>
      </c>
      <c r="H156" s="187" t="n">
        <v>46193</v>
      </c>
      <c r="I156" s="189" t="s">
        <v>113</v>
      </c>
      <c r="J156" s="189" t="s">
        <v>128</v>
      </c>
      <c r="K156" s="189" t="s">
        <v>257</v>
      </c>
      <c r="L156" s="189" t="s">
        <v>389</v>
      </c>
      <c r="M156" s="189" t="s">
        <v>337</v>
      </c>
      <c r="N156" s="189" t="s">
        <v>422</v>
      </c>
      <c r="O156" s="189" t="s">
        <v>157</v>
      </c>
      <c r="P156" s="189" t="s">
        <v>131</v>
      </c>
      <c r="Q156" s="189" t="s">
        <v>112</v>
      </c>
      <c r="R156" s="189" t="s">
        <v>24</v>
      </c>
      <c r="S156" s="189" t="s">
        <v>120</v>
      </c>
      <c r="T156" s="189" t="s">
        <v>121</v>
      </c>
      <c r="U156" s="189" t="s">
        <v>426</v>
      </c>
      <c r="V156" s="189" t="s">
        <v>123</v>
      </c>
      <c r="W156" s="189" t="s">
        <v>124</v>
      </c>
      <c r="X156" s="189" t="s">
        <v>223</v>
      </c>
      <c r="Y156" s="189" t="s">
        <v>1040</v>
      </c>
      <c r="Z156" s="189" t="n">
        <v>1</v>
      </c>
      <c r="AA156" s="189" t="s">
        <v>1077</v>
      </c>
    </row>
    <row r="157" s="189" customFormat="true" ht="54.75" hidden="false" customHeight="true" outlineLevel="0" collapsed="false">
      <c r="A157" s="189" t="n">
        <v>31</v>
      </c>
      <c r="B157" s="187" t="n">
        <v>46116.2156208971</v>
      </c>
      <c r="C157" s="187" t="n">
        <v>46116.2212690452</v>
      </c>
      <c r="D157" s="189" t="s">
        <v>427</v>
      </c>
      <c r="E157" s="189" t="s">
        <v>428</v>
      </c>
      <c r="F157" s="189" t="s">
        <v>428</v>
      </c>
      <c r="G157" s="189" t="s">
        <v>429</v>
      </c>
      <c r="H157" s="187" t="n">
        <v>46097</v>
      </c>
      <c r="I157" s="189" t="s">
        <v>113</v>
      </c>
      <c r="J157" s="189" t="s">
        <v>108</v>
      </c>
      <c r="K157" s="189" t="s">
        <v>430</v>
      </c>
      <c r="L157" s="189" t="s">
        <v>431</v>
      </c>
      <c r="M157" s="189" t="s">
        <v>234</v>
      </c>
      <c r="N157" s="189" t="s">
        <v>432</v>
      </c>
      <c r="O157" s="189" t="s">
        <v>157</v>
      </c>
      <c r="P157" s="189" t="s">
        <v>111</v>
      </c>
      <c r="Q157" s="189" t="s">
        <v>112</v>
      </c>
      <c r="R157" s="189" t="s">
        <v>24</v>
      </c>
      <c r="S157" s="189" t="s">
        <v>120</v>
      </c>
      <c r="T157" s="189" t="s">
        <v>121</v>
      </c>
      <c r="U157" s="189" t="s">
        <v>122</v>
      </c>
      <c r="V157" s="189" t="s">
        <v>123</v>
      </c>
      <c r="W157" s="189" t="s">
        <v>124</v>
      </c>
      <c r="X157" s="189" t="s">
        <v>214</v>
      </c>
      <c r="Y157" s="189" t="s">
        <v>1035</v>
      </c>
      <c r="Z157" s="189" t="n">
        <v>1</v>
      </c>
      <c r="AA157" s="189" t="s">
        <v>1036</v>
      </c>
    </row>
    <row r="158" s="189" customFormat="true" ht="15" hidden="false" customHeight="true" outlineLevel="0" collapsed="false">
      <c r="A158" s="189" t="n">
        <v>31</v>
      </c>
      <c r="B158" s="187" t="n">
        <v>46116.2156208971</v>
      </c>
      <c r="C158" s="187" t="n">
        <v>46116.2212690452</v>
      </c>
      <c r="D158" s="189" t="s">
        <v>427</v>
      </c>
      <c r="E158" s="189" t="s">
        <v>428</v>
      </c>
      <c r="F158" s="189" t="s">
        <v>428</v>
      </c>
      <c r="G158" s="189" t="s">
        <v>429</v>
      </c>
      <c r="H158" s="187" t="n">
        <v>46097</v>
      </c>
      <c r="I158" s="189" t="s">
        <v>113</v>
      </c>
      <c r="J158" s="189" t="s">
        <v>108</v>
      </c>
      <c r="K158" s="189" t="s">
        <v>430</v>
      </c>
      <c r="L158" s="189" t="s">
        <v>431</v>
      </c>
      <c r="M158" s="189" t="s">
        <v>234</v>
      </c>
      <c r="N158" s="189" t="s">
        <v>432</v>
      </c>
      <c r="O158" s="189" t="s">
        <v>157</v>
      </c>
      <c r="P158" s="189" t="s">
        <v>111</v>
      </c>
      <c r="Q158" s="189" t="s">
        <v>112</v>
      </c>
      <c r="R158" s="189" t="s">
        <v>24</v>
      </c>
      <c r="S158" s="189" t="s">
        <v>120</v>
      </c>
      <c r="T158" s="189" t="s">
        <v>121</v>
      </c>
      <c r="U158" s="189" t="s">
        <v>122</v>
      </c>
      <c r="V158" s="189" t="s">
        <v>123</v>
      </c>
      <c r="W158" s="189" t="s">
        <v>124</v>
      </c>
      <c r="X158" s="189" t="s">
        <v>214</v>
      </c>
      <c r="Y158" s="189" t="s">
        <v>1035</v>
      </c>
      <c r="Z158" s="189" t="n">
        <v>2</v>
      </c>
      <c r="AA158" s="189" t="s">
        <v>1078</v>
      </c>
    </row>
    <row r="159" s="189" customFormat="true" ht="15" hidden="false" customHeight="true" outlineLevel="0" collapsed="false">
      <c r="A159" s="189" t="n">
        <v>31</v>
      </c>
      <c r="B159" s="187" t="n">
        <v>46116.2156208971</v>
      </c>
      <c r="C159" s="187" t="n">
        <v>46116.2212690452</v>
      </c>
      <c r="D159" s="189" t="s">
        <v>427</v>
      </c>
      <c r="E159" s="189" t="s">
        <v>428</v>
      </c>
      <c r="F159" s="189" t="s">
        <v>428</v>
      </c>
      <c r="G159" s="189" t="s">
        <v>429</v>
      </c>
      <c r="H159" s="187" t="n">
        <v>46097</v>
      </c>
      <c r="I159" s="189" t="s">
        <v>113</v>
      </c>
      <c r="J159" s="189" t="s">
        <v>108</v>
      </c>
      <c r="K159" s="189" t="s">
        <v>430</v>
      </c>
      <c r="L159" s="189" t="s">
        <v>431</v>
      </c>
      <c r="M159" s="189" t="s">
        <v>234</v>
      </c>
      <c r="N159" s="189" t="s">
        <v>432</v>
      </c>
      <c r="O159" s="189" t="s">
        <v>157</v>
      </c>
      <c r="P159" s="189" t="s">
        <v>111</v>
      </c>
      <c r="Q159" s="189" t="s">
        <v>112</v>
      </c>
      <c r="R159" s="189" t="s">
        <v>24</v>
      </c>
      <c r="S159" s="189" t="s">
        <v>120</v>
      </c>
      <c r="T159" s="189" t="s">
        <v>121</v>
      </c>
      <c r="U159" s="189" t="s">
        <v>122</v>
      </c>
      <c r="V159" s="189" t="s">
        <v>123</v>
      </c>
      <c r="W159" s="189" t="s">
        <v>124</v>
      </c>
      <c r="X159" s="189" t="s">
        <v>214</v>
      </c>
      <c r="Y159" s="189" t="s">
        <v>1037</v>
      </c>
      <c r="Z159" s="189" t="n">
        <v>1</v>
      </c>
      <c r="AA159" s="189" t="s">
        <v>1039</v>
      </c>
    </row>
    <row r="160" s="189" customFormat="true" ht="15" hidden="false" customHeight="true" outlineLevel="0" collapsed="false">
      <c r="A160" s="189" t="n">
        <v>31</v>
      </c>
      <c r="B160" s="187" t="n">
        <v>46116.2156208971</v>
      </c>
      <c r="C160" s="187" t="n">
        <v>46116.2212690452</v>
      </c>
      <c r="D160" s="189" t="s">
        <v>427</v>
      </c>
      <c r="E160" s="189" t="s">
        <v>428</v>
      </c>
      <c r="F160" s="189" t="s">
        <v>428</v>
      </c>
      <c r="G160" s="189" t="s">
        <v>429</v>
      </c>
      <c r="H160" s="187" t="n">
        <v>46097</v>
      </c>
      <c r="I160" s="189" t="s">
        <v>113</v>
      </c>
      <c r="J160" s="189" t="s">
        <v>108</v>
      </c>
      <c r="K160" s="189" t="s">
        <v>430</v>
      </c>
      <c r="L160" s="189" t="s">
        <v>431</v>
      </c>
      <c r="M160" s="189" t="s">
        <v>234</v>
      </c>
      <c r="N160" s="189" t="s">
        <v>432</v>
      </c>
      <c r="O160" s="189" t="s">
        <v>157</v>
      </c>
      <c r="P160" s="189" t="s">
        <v>111</v>
      </c>
      <c r="Q160" s="189" t="s">
        <v>112</v>
      </c>
      <c r="R160" s="189" t="s">
        <v>24</v>
      </c>
      <c r="S160" s="189" t="s">
        <v>120</v>
      </c>
      <c r="T160" s="189" t="s">
        <v>121</v>
      </c>
      <c r="U160" s="189" t="s">
        <v>122</v>
      </c>
      <c r="V160" s="189" t="s">
        <v>123</v>
      </c>
      <c r="W160" s="189" t="s">
        <v>124</v>
      </c>
      <c r="X160" s="189" t="s">
        <v>214</v>
      </c>
      <c r="Y160" s="189" t="s">
        <v>1040</v>
      </c>
      <c r="Z160" s="189" t="n">
        <v>1</v>
      </c>
      <c r="AA160" s="189" t="s">
        <v>1112</v>
      </c>
    </row>
    <row r="161" s="189" customFormat="true" ht="81.75" hidden="false" customHeight="true" outlineLevel="0" collapsed="false">
      <c r="A161" s="189" t="n">
        <v>31</v>
      </c>
      <c r="B161" s="187" t="n">
        <v>46116.2156208971</v>
      </c>
      <c r="C161" s="187" t="n">
        <v>46116.2212690452</v>
      </c>
      <c r="D161" s="189" t="s">
        <v>427</v>
      </c>
      <c r="E161" s="189" t="s">
        <v>428</v>
      </c>
      <c r="F161" s="189" t="s">
        <v>428</v>
      </c>
      <c r="G161" s="189" t="s">
        <v>429</v>
      </c>
      <c r="H161" s="187" t="n">
        <v>46097</v>
      </c>
      <c r="I161" s="189" t="s">
        <v>113</v>
      </c>
      <c r="J161" s="189" t="s">
        <v>108</v>
      </c>
      <c r="K161" s="189" t="s">
        <v>430</v>
      </c>
      <c r="L161" s="189" t="s">
        <v>431</v>
      </c>
      <c r="M161" s="189" t="s">
        <v>234</v>
      </c>
      <c r="N161" s="189" t="s">
        <v>432</v>
      </c>
      <c r="O161" s="189" t="s">
        <v>157</v>
      </c>
      <c r="P161" s="189" t="s">
        <v>111</v>
      </c>
      <c r="Q161" s="189" t="s">
        <v>112</v>
      </c>
      <c r="R161" s="189" t="s">
        <v>24</v>
      </c>
      <c r="S161" s="189" t="s">
        <v>120</v>
      </c>
      <c r="T161" s="189" t="s">
        <v>121</v>
      </c>
      <c r="U161" s="189" t="s">
        <v>122</v>
      </c>
      <c r="V161" s="189" t="s">
        <v>123</v>
      </c>
      <c r="W161" s="189" t="s">
        <v>124</v>
      </c>
      <c r="X161" s="189" t="s">
        <v>214</v>
      </c>
      <c r="Y161" s="189" t="s">
        <v>1040</v>
      </c>
      <c r="Z161" s="189" t="n">
        <v>2</v>
      </c>
      <c r="AA161" s="189" t="s">
        <v>1079</v>
      </c>
    </row>
    <row r="162" s="189" customFormat="true" ht="15" hidden="false" customHeight="true" outlineLevel="0" collapsed="false">
      <c r="A162" s="189" t="n">
        <v>32</v>
      </c>
      <c r="B162" s="187" t="n">
        <v>46141.1884776632</v>
      </c>
      <c r="C162" s="187" t="n">
        <v>46141.2034892373</v>
      </c>
      <c r="D162" s="189" t="s">
        <v>436</v>
      </c>
      <c r="E162" s="189" t="s">
        <v>437</v>
      </c>
      <c r="F162" s="189" t="s">
        <v>437</v>
      </c>
      <c r="G162" s="189" t="s">
        <v>438</v>
      </c>
      <c r="H162" s="187" t="n">
        <v>46132</v>
      </c>
      <c r="I162" s="189" t="s">
        <v>132</v>
      </c>
      <c r="J162" s="189" t="s">
        <v>295</v>
      </c>
      <c r="K162" s="189" t="s">
        <v>173</v>
      </c>
      <c r="L162" s="189" t="s">
        <v>197</v>
      </c>
      <c r="M162" s="189" t="s">
        <v>439</v>
      </c>
      <c r="N162" s="189" t="s">
        <v>440</v>
      </c>
      <c r="O162" s="189" t="s">
        <v>107</v>
      </c>
      <c r="P162" s="189" t="s">
        <v>211</v>
      </c>
      <c r="Q162" s="189" t="s">
        <v>145</v>
      </c>
      <c r="R162" s="189" t="s">
        <v>23</v>
      </c>
      <c r="S162" s="189" t="s">
        <v>152</v>
      </c>
      <c r="T162" s="189" t="s">
        <v>121</v>
      </c>
      <c r="U162" s="189" t="s">
        <v>122</v>
      </c>
      <c r="V162" s="189" t="s">
        <v>192</v>
      </c>
      <c r="W162" s="189" t="s">
        <v>124</v>
      </c>
      <c r="X162" s="189" t="s">
        <v>442</v>
      </c>
      <c r="Y162" s="189" t="s">
        <v>1144</v>
      </c>
      <c r="Z162" s="189" t="n">
        <v>1</v>
      </c>
      <c r="AA162" s="189" t="s">
        <v>441</v>
      </c>
    </row>
    <row r="163" s="189" customFormat="true" ht="15" hidden="false" customHeight="true" outlineLevel="0" collapsed="false">
      <c r="A163" s="189" t="n">
        <v>33</v>
      </c>
      <c r="B163" s="187" t="n">
        <v>46046.7680284287</v>
      </c>
      <c r="C163" s="187" t="n">
        <v>46046.7703432436</v>
      </c>
      <c r="D163" s="189" t="s">
        <v>443</v>
      </c>
      <c r="E163" s="189" t="s">
        <v>444</v>
      </c>
      <c r="F163" s="189" t="s">
        <v>444</v>
      </c>
      <c r="G163" s="189" t="s">
        <v>445</v>
      </c>
      <c r="H163" s="187" t="n">
        <v>46045</v>
      </c>
      <c r="I163" s="189" t="s">
        <v>113</v>
      </c>
      <c r="J163" s="189" t="s">
        <v>295</v>
      </c>
      <c r="K163" s="189" t="s">
        <v>446</v>
      </c>
      <c r="L163" s="189" t="s">
        <v>130</v>
      </c>
      <c r="M163" s="189" t="s">
        <v>447</v>
      </c>
      <c r="N163" s="189" t="s">
        <v>249</v>
      </c>
      <c r="O163" s="189" t="s">
        <v>244</v>
      </c>
      <c r="P163" s="189" t="s">
        <v>111</v>
      </c>
      <c r="Q163" s="189" t="s">
        <v>112</v>
      </c>
      <c r="R163" s="189" t="s">
        <v>24</v>
      </c>
      <c r="S163" s="189" t="s">
        <v>227</v>
      </c>
      <c r="T163" s="189" t="s">
        <v>121</v>
      </c>
      <c r="U163" s="189" t="s">
        <v>452</v>
      </c>
      <c r="V163" s="189" t="s">
        <v>192</v>
      </c>
      <c r="W163" s="189" t="s">
        <v>139</v>
      </c>
      <c r="X163" s="189" t="s">
        <v>448</v>
      </c>
      <c r="Y163" s="189" t="s">
        <v>1035</v>
      </c>
      <c r="Z163" s="189" t="n">
        <v>1</v>
      </c>
      <c r="AA163" s="189" t="s">
        <v>1145</v>
      </c>
    </row>
    <row r="164" s="189" customFormat="true" ht="15" hidden="false" customHeight="true" outlineLevel="0" collapsed="false">
      <c r="A164" s="189" t="n">
        <v>33</v>
      </c>
      <c r="B164" s="187" t="n">
        <v>46046.7680284287</v>
      </c>
      <c r="C164" s="187" t="n">
        <v>46046.7703432436</v>
      </c>
      <c r="D164" s="189" t="s">
        <v>443</v>
      </c>
      <c r="E164" s="189" t="s">
        <v>444</v>
      </c>
      <c r="F164" s="189" t="s">
        <v>444</v>
      </c>
      <c r="G164" s="189" t="s">
        <v>445</v>
      </c>
      <c r="H164" s="187" t="n">
        <v>46045</v>
      </c>
      <c r="I164" s="189" t="s">
        <v>113</v>
      </c>
      <c r="J164" s="189" t="s">
        <v>295</v>
      </c>
      <c r="K164" s="189" t="s">
        <v>446</v>
      </c>
      <c r="L164" s="189" t="s">
        <v>130</v>
      </c>
      <c r="M164" s="189" t="s">
        <v>447</v>
      </c>
      <c r="N164" s="189" t="s">
        <v>249</v>
      </c>
      <c r="O164" s="189" t="s">
        <v>244</v>
      </c>
      <c r="P164" s="189" t="s">
        <v>111</v>
      </c>
      <c r="Q164" s="189" t="s">
        <v>112</v>
      </c>
      <c r="R164" s="189" t="s">
        <v>24</v>
      </c>
      <c r="S164" s="189" t="s">
        <v>227</v>
      </c>
      <c r="T164" s="189" t="s">
        <v>121</v>
      </c>
      <c r="U164" s="189" t="s">
        <v>452</v>
      </c>
      <c r="V164" s="189" t="s">
        <v>192</v>
      </c>
      <c r="W164" s="189" t="s">
        <v>139</v>
      </c>
      <c r="X164" s="189" t="s">
        <v>448</v>
      </c>
      <c r="Y164" s="189" t="s">
        <v>1035</v>
      </c>
      <c r="Z164" s="189" t="n">
        <v>2</v>
      </c>
      <c r="AA164" s="189" t="s">
        <v>1146</v>
      </c>
    </row>
    <row r="165" customFormat="false" ht="15" hidden="false" customHeight="true" outlineLevel="0" collapsed="false">
      <c r="A165" s="0" t="n">
        <v>33</v>
      </c>
      <c r="B165" s="187" t="n">
        <v>46046.7680284287</v>
      </c>
      <c r="C165" s="187" t="n">
        <v>46046.7703432436</v>
      </c>
      <c r="D165" s="188" t="s">
        <v>443</v>
      </c>
      <c r="E165" s="188" t="s">
        <v>444</v>
      </c>
      <c r="F165" s="188" t="s">
        <v>444</v>
      </c>
      <c r="G165" s="188" t="s">
        <v>445</v>
      </c>
      <c r="H165" s="187" t="n">
        <v>46045</v>
      </c>
      <c r="I165" s="188" t="s">
        <v>113</v>
      </c>
      <c r="J165" s="188" t="s">
        <v>295</v>
      </c>
      <c r="K165" s="188" t="s">
        <v>446</v>
      </c>
      <c r="L165" s="188" t="s">
        <v>130</v>
      </c>
      <c r="M165" s="188" t="s">
        <v>447</v>
      </c>
      <c r="N165" s="188" t="s">
        <v>249</v>
      </c>
      <c r="O165" s="188" t="s">
        <v>244</v>
      </c>
      <c r="P165" s="188" t="s">
        <v>111</v>
      </c>
      <c r="Q165" s="188" t="s">
        <v>112</v>
      </c>
      <c r="R165" s="188" t="s">
        <v>24</v>
      </c>
      <c r="S165" s="188" t="s">
        <v>227</v>
      </c>
      <c r="T165" s="188" t="s">
        <v>121</v>
      </c>
      <c r="U165" s="188" t="s">
        <v>452</v>
      </c>
      <c r="V165" s="188" t="s">
        <v>192</v>
      </c>
      <c r="W165" s="188" t="s">
        <v>139</v>
      </c>
      <c r="X165" s="188" t="s">
        <v>448</v>
      </c>
      <c r="Y165" s="188" t="s">
        <v>1035</v>
      </c>
      <c r="Z165" s="0" t="n">
        <v>3</v>
      </c>
      <c r="AA165" s="188" t="s">
        <v>1147</v>
      </c>
    </row>
    <row r="166" customFormat="false" ht="15" hidden="false" customHeight="true" outlineLevel="0" collapsed="false">
      <c r="A166" s="0" t="n">
        <v>33</v>
      </c>
      <c r="B166" s="187" t="n">
        <v>46046.7680284287</v>
      </c>
      <c r="C166" s="187" t="n">
        <v>46046.7703432436</v>
      </c>
      <c r="D166" s="188" t="s">
        <v>443</v>
      </c>
      <c r="E166" s="188" t="s">
        <v>444</v>
      </c>
      <c r="F166" s="188" t="s">
        <v>444</v>
      </c>
      <c r="G166" s="188" t="s">
        <v>445</v>
      </c>
      <c r="H166" s="187" t="n">
        <v>46045</v>
      </c>
      <c r="I166" s="188" t="s">
        <v>113</v>
      </c>
      <c r="J166" s="188" t="s">
        <v>295</v>
      </c>
      <c r="K166" s="188" t="s">
        <v>446</v>
      </c>
      <c r="L166" s="188" t="s">
        <v>130</v>
      </c>
      <c r="M166" s="188" t="s">
        <v>447</v>
      </c>
      <c r="N166" s="188" t="s">
        <v>249</v>
      </c>
      <c r="O166" s="188" t="s">
        <v>244</v>
      </c>
      <c r="P166" s="188" t="s">
        <v>111</v>
      </c>
      <c r="Q166" s="188" t="s">
        <v>112</v>
      </c>
      <c r="R166" s="188" t="s">
        <v>24</v>
      </c>
      <c r="S166" s="188" t="s">
        <v>227</v>
      </c>
      <c r="T166" s="188" t="s">
        <v>121</v>
      </c>
      <c r="U166" s="188" t="s">
        <v>452</v>
      </c>
      <c r="V166" s="188" t="s">
        <v>192</v>
      </c>
      <c r="W166" s="188" t="s">
        <v>139</v>
      </c>
      <c r="X166" s="188" t="s">
        <v>448</v>
      </c>
      <c r="Y166" s="188" t="s">
        <v>1037</v>
      </c>
      <c r="Z166" s="0" t="n">
        <v>1</v>
      </c>
      <c r="AA166" s="188" t="s">
        <v>1148</v>
      </c>
    </row>
    <row r="167" customFormat="false" ht="15" hidden="false" customHeight="true" outlineLevel="0" collapsed="false">
      <c r="A167" s="0" t="n">
        <v>33</v>
      </c>
      <c r="B167" s="187" t="n">
        <v>46046.7680284287</v>
      </c>
      <c r="C167" s="187" t="n">
        <v>46046.7703432436</v>
      </c>
      <c r="D167" s="188" t="s">
        <v>443</v>
      </c>
      <c r="E167" s="188" t="s">
        <v>444</v>
      </c>
      <c r="F167" s="188" t="s">
        <v>444</v>
      </c>
      <c r="G167" s="188" t="s">
        <v>445</v>
      </c>
      <c r="H167" s="187" t="n">
        <v>46045</v>
      </c>
      <c r="I167" s="188" t="s">
        <v>113</v>
      </c>
      <c r="J167" s="188" t="s">
        <v>295</v>
      </c>
      <c r="K167" s="188" t="s">
        <v>446</v>
      </c>
      <c r="L167" s="188" t="s">
        <v>130</v>
      </c>
      <c r="M167" s="188" t="s">
        <v>447</v>
      </c>
      <c r="N167" s="188" t="s">
        <v>249</v>
      </c>
      <c r="O167" s="188" t="s">
        <v>244</v>
      </c>
      <c r="P167" s="188" t="s">
        <v>111</v>
      </c>
      <c r="Q167" s="188" t="s">
        <v>112</v>
      </c>
      <c r="R167" s="188" t="s">
        <v>24</v>
      </c>
      <c r="S167" s="188" t="s">
        <v>227</v>
      </c>
      <c r="T167" s="188" t="s">
        <v>121</v>
      </c>
      <c r="U167" s="188" t="s">
        <v>452</v>
      </c>
      <c r="V167" s="188" t="s">
        <v>192</v>
      </c>
      <c r="W167" s="188" t="s">
        <v>139</v>
      </c>
      <c r="X167" s="188" t="s">
        <v>448</v>
      </c>
      <c r="Y167" s="188" t="s">
        <v>1037</v>
      </c>
      <c r="Z167" s="0" t="n">
        <v>2</v>
      </c>
      <c r="AA167" s="188" t="s">
        <v>1149</v>
      </c>
    </row>
    <row r="168" customFormat="false" ht="15" hidden="false" customHeight="true" outlineLevel="0" collapsed="false">
      <c r="A168" s="0" t="n">
        <v>33</v>
      </c>
      <c r="B168" s="187" t="n">
        <v>46046.7680284287</v>
      </c>
      <c r="C168" s="187" t="n">
        <v>46046.7703432436</v>
      </c>
      <c r="D168" s="188" t="s">
        <v>443</v>
      </c>
      <c r="E168" s="188" t="s">
        <v>444</v>
      </c>
      <c r="F168" s="188" t="s">
        <v>444</v>
      </c>
      <c r="G168" s="188" t="s">
        <v>445</v>
      </c>
      <c r="H168" s="187" t="n">
        <v>46045</v>
      </c>
      <c r="I168" s="188" t="s">
        <v>113</v>
      </c>
      <c r="J168" s="188" t="s">
        <v>295</v>
      </c>
      <c r="K168" s="188" t="s">
        <v>446</v>
      </c>
      <c r="L168" s="188" t="s">
        <v>130</v>
      </c>
      <c r="M168" s="188" t="s">
        <v>447</v>
      </c>
      <c r="N168" s="188" t="s">
        <v>249</v>
      </c>
      <c r="O168" s="188" t="s">
        <v>244</v>
      </c>
      <c r="P168" s="188" t="s">
        <v>111</v>
      </c>
      <c r="Q168" s="188" t="s">
        <v>112</v>
      </c>
      <c r="R168" s="188" t="s">
        <v>24</v>
      </c>
      <c r="S168" s="188" t="s">
        <v>227</v>
      </c>
      <c r="T168" s="188" t="s">
        <v>121</v>
      </c>
      <c r="U168" s="188" t="s">
        <v>452</v>
      </c>
      <c r="V168" s="188" t="s">
        <v>192</v>
      </c>
      <c r="W168" s="188" t="s">
        <v>139</v>
      </c>
      <c r="X168" s="188" t="s">
        <v>448</v>
      </c>
      <c r="Y168" s="188" t="s">
        <v>1040</v>
      </c>
      <c r="Z168" s="0" t="n">
        <v>1</v>
      </c>
      <c r="AA168" s="188" t="s">
        <v>1150</v>
      </c>
    </row>
    <row r="169" customFormat="false" ht="15" hidden="false" customHeight="true" outlineLevel="0" collapsed="false">
      <c r="A169" s="0" t="n">
        <v>33</v>
      </c>
      <c r="B169" s="187" t="n">
        <v>46046.7680284287</v>
      </c>
      <c r="C169" s="187" t="n">
        <v>46046.7703432436</v>
      </c>
      <c r="D169" s="188" t="s">
        <v>443</v>
      </c>
      <c r="E169" s="188" t="s">
        <v>444</v>
      </c>
      <c r="F169" s="188" t="s">
        <v>444</v>
      </c>
      <c r="G169" s="188" t="s">
        <v>445</v>
      </c>
      <c r="H169" s="187" t="n">
        <v>46045</v>
      </c>
      <c r="I169" s="188" t="s">
        <v>113</v>
      </c>
      <c r="J169" s="188" t="s">
        <v>295</v>
      </c>
      <c r="K169" s="188" t="s">
        <v>446</v>
      </c>
      <c r="L169" s="188" t="s">
        <v>130</v>
      </c>
      <c r="M169" s="188" t="s">
        <v>447</v>
      </c>
      <c r="N169" s="188" t="s">
        <v>249</v>
      </c>
      <c r="O169" s="188" t="s">
        <v>244</v>
      </c>
      <c r="P169" s="188" t="s">
        <v>111</v>
      </c>
      <c r="Q169" s="188" t="s">
        <v>112</v>
      </c>
      <c r="R169" s="188" t="s">
        <v>24</v>
      </c>
      <c r="S169" s="188" t="s">
        <v>227</v>
      </c>
      <c r="T169" s="188" t="s">
        <v>121</v>
      </c>
      <c r="U169" s="188" t="s">
        <v>452</v>
      </c>
      <c r="V169" s="188" t="s">
        <v>192</v>
      </c>
      <c r="W169" s="188" t="s">
        <v>139</v>
      </c>
      <c r="X169" s="188" t="s">
        <v>448</v>
      </c>
      <c r="Y169" s="188" t="s">
        <v>1040</v>
      </c>
      <c r="Z169" s="0" t="n">
        <v>2</v>
      </c>
      <c r="AA169" s="188" t="s">
        <v>1151</v>
      </c>
    </row>
    <row r="170" customFormat="false" ht="15" hidden="false" customHeight="true" outlineLevel="0" collapsed="false">
      <c r="A170" s="0" t="n">
        <v>34</v>
      </c>
      <c r="B170" s="187" t="n">
        <v>46046.7432538721</v>
      </c>
      <c r="C170" s="187" t="n">
        <v>46046.744966835</v>
      </c>
      <c r="D170" s="188" t="s">
        <v>453</v>
      </c>
      <c r="E170" s="188" t="s">
        <v>454</v>
      </c>
      <c r="F170" s="188" t="s">
        <v>454</v>
      </c>
      <c r="G170" s="188" t="s">
        <v>455</v>
      </c>
      <c r="H170" s="187" t="n">
        <v>46032</v>
      </c>
      <c r="I170" s="188" t="s">
        <v>113</v>
      </c>
      <c r="J170" s="188" t="s">
        <v>295</v>
      </c>
      <c r="K170" s="188" t="s">
        <v>456</v>
      </c>
      <c r="L170" s="188" t="s">
        <v>210</v>
      </c>
      <c r="M170" s="188" t="s">
        <v>114</v>
      </c>
      <c r="N170" s="188" t="s">
        <v>287</v>
      </c>
      <c r="O170" s="188" t="s">
        <v>172</v>
      </c>
      <c r="P170" s="188" t="s">
        <v>131</v>
      </c>
      <c r="Q170" s="188" t="s">
        <v>247</v>
      </c>
      <c r="R170" s="188" t="s">
        <v>21</v>
      </c>
      <c r="S170" s="188" t="s">
        <v>152</v>
      </c>
      <c r="T170" s="188" t="s">
        <v>228</v>
      </c>
      <c r="V170" s="188" t="s">
        <v>123</v>
      </c>
      <c r="W170" s="188" t="s">
        <v>168</v>
      </c>
      <c r="X170" s="188" t="s">
        <v>457</v>
      </c>
      <c r="Y170" s="188" t="s">
        <v>1035</v>
      </c>
      <c r="Z170" s="0" t="n">
        <v>1</v>
      </c>
      <c r="AA170" s="188" t="s">
        <v>1036</v>
      </c>
    </row>
    <row r="171" customFormat="false" ht="15" hidden="false" customHeight="true" outlineLevel="0" collapsed="false">
      <c r="A171" s="0" t="n">
        <v>34</v>
      </c>
      <c r="B171" s="187" t="n">
        <v>46046.7432538721</v>
      </c>
      <c r="C171" s="187" t="n">
        <v>46046.744966835</v>
      </c>
      <c r="D171" s="188" t="s">
        <v>453</v>
      </c>
      <c r="E171" s="188" t="s">
        <v>454</v>
      </c>
      <c r="F171" s="188" t="s">
        <v>454</v>
      </c>
      <c r="G171" s="188" t="s">
        <v>455</v>
      </c>
      <c r="H171" s="187" t="n">
        <v>46032</v>
      </c>
      <c r="I171" s="188" t="s">
        <v>113</v>
      </c>
      <c r="J171" s="188" t="s">
        <v>295</v>
      </c>
      <c r="K171" s="188" t="s">
        <v>456</v>
      </c>
      <c r="L171" s="188" t="s">
        <v>210</v>
      </c>
      <c r="M171" s="188" t="s">
        <v>114</v>
      </c>
      <c r="N171" s="188" t="s">
        <v>287</v>
      </c>
      <c r="O171" s="188" t="s">
        <v>172</v>
      </c>
      <c r="P171" s="188" t="s">
        <v>131</v>
      </c>
      <c r="Q171" s="188" t="s">
        <v>247</v>
      </c>
      <c r="R171" s="188" t="s">
        <v>21</v>
      </c>
      <c r="S171" s="188" t="s">
        <v>152</v>
      </c>
      <c r="T171" s="188" t="s">
        <v>228</v>
      </c>
      <c r="V171" s="188" t="s">
        <v>123</v>
      </c>
      <c r="W171" s="188" t="s">
        <v>168</v>
      </c>
      <c r="X171" s="188" t="s">
        <v>457</v>
      </c>
      <c r="Y171" s="188" t="s">
        <v>1035</v>
      </c>
      <c r="Z171" s="0" t="n">
        <v>2</v>
      </c>
      <c r="AA171" s="188" t="s">
        <v>1078</v>
      </c>
    </row>
    <row r="172" customFormat="false" ht="15" hidden="false" customHeight="true" outlineLevel="0" collapsed="false">
      <c r="A172" s="0" t="n">
        <v>34</v>
      </c>
      <c r="B172" s="187" t="n">
        <v>46046.7432538721</v>
      </c>
      <c r="C172" s="187" t="n">
        <v>46046.744966835</v>
      </c>
      <c r="D172" s="188" t="s">
        <v>453</v>
      </c>
      <c r="E172" s="188" t="s">
        <v>454</v>
      </c>
      <c r="F172" s="188" t="s">
        <v>454</v>
      </c>
      <c r="G172" s="188" t="s">
        <v>455</v>
      </c>
      <c r="H172" s="187" t="n">
        <v>46032</v>
      </c>
      <c r="I172" s="188" t="s">
        <v>113</v>
      </c>
      <c r="J172" s="188" t="s">
        <v>295</v>
      </c>
      <c r="K172" s="188" t="s">
        <v>456</v>
      </c>
      <c r="L172" s="188" t="s">
        <v>210</v>
      </c>
      <c r="M172" s="188" t="s">
        <v>114</v>
      </c>
      <c r="N172" s="188" t="s">
        <v>287</v>
      </c>
      <c r="O172" s="188" t="s">
        <v>172</v>
      </c>
      <c r="P172" s="188" t="s">
        <v>131</v>
      </c>
      <c r="Q172" s="188" t="s">
        <v>247</v>
      </c>
      <c r="R172" s="188" t="s">
        <v>21</v>
      </c>
      <c r="S172" s="188" t="s">
        <v>152</v>
      </c>
      <c r="T172" s="188" t="s">
        <v>228</v>
      </c>
      <c r="V172" s="188" t="s">
        <v>123</v>
      </c>
      <c r="W172" s="188" t="s">
        <v>168</v>
      </c>
      <c r="X172" s="188" t="s">
        <v>457</v>
      </c>
      <c r="Y172" s="188" t="s">
        <v>1037</v>
      </c>
      <c r="Z172" s="0" t="n">
        <v>1</v>
      </c>
      <c r="AA172" s="188" t="s">
        <v>1039</v>
      </c>
    </row>
    <row r="173" customFormat="false" ht="15" hidden="false" customHeight="true" outlineLevel="0" collapsed="false">
      <c r="A173" s="0" t="n">
        <v>34</v>
      </c>
      <c r="B173" s="187" t="n">
        <v>46046.7432538721</v>
      </c>
      <c r="C173" s="187" t="n">
        <v>46046.744966835</v>
      </c>
      <c r="D173" s="188" t="s">
        <v>453</v>
      </c>
      <c r="E173" s="188" t="s">
        <v>454</v>
      </c>
      <c r="F173" s="188" t="s">
        <v>454</v>
      </c>
      <c r="G173" s="188" t="s">
        <v>455</v>
      </c>
      <c r="H173" s="187" t="n">
        <v>46032</v>
      </c>
      <c r="I173" s="188" t="s">
        <v>113</v>
      </c>
      <c r="J173" s="188" t="s">
        <v>295</v>
      </c>
      <c r="K173" s="188" t="s">
        <v>456</v>
      </c>
      <c r="L173" s="188" t="s">
        <v>210</v>
      </c>
      <c r="M173" s="188" t="s">
        <v>114</v>
      </c>
      <c r="N173" s="188" t="s">
        <v>287</v>
      </c>
      <c r="O173" s="188" t="s">
        <v>172</v>
      </c>
      <c r="P173" s="188" t="s">
        <v>131</v>
      </c>
      <c r="Q173" s="188" t="s">
        <v>247</v>
      </c>
      <c r="R173" s="188" t="s">
        <v>21</v>
      </c>
      <c r="S173" s="188" t="s">
        <v>152</v>
      </c>
      <c r="T173" s="188" t="s">
        <v>228</v>
      </c>
      <c r="V173" s="188" t="s">
        <v>123</v>
      </c>
      <c r="W173" s="188" t="s">
        <v>168</v>
      </c>
      <c r="X173" s="188" t="s">
        <v>457</v>
      </c>
      <c r="Y173" s="188" t="s">
        <v>1040</v>
      </c>
      <c r="Z173" s="0" t="n">
        <v>1</v>
      </c>
      <c r="AA173" s="188" t="s">
        <v>1054</v>
      </c>
    </row>
    <row r="174" customFormat="false" ht="15" hidden="false" customHeight="true" outlineLevel="0" collapsed="false">
      <c r="A174" s="0" t="n">
        <v>34</v>
      </c>
      <c r="B174" s="187" t="n">
        <v>46046.7432538721</v>
      </c>
      <c r="C174" s="187" t="n">
        <v>46046.744966835</v>
      </c>
      <c r="D174" s="188" t="s">
        <v>453</v>
      </c>
      <c r="E174" s="188" t="s">
        <v>454</v>
      </c>
      <c r="F174" s="188" t="s">
        <v>454</v>
      </c>
      <c r="G174" s="188" t="s">
        <v>455</v>
      </c>
      <c r="H174" s="187" t="n">
        <v>46032</v>
      </c>
      <c r="I174" s="188" t="s">
        <v>113</v>
      </c>
      <c r="J174" s="188" t="s">
        <v>295</v>
      </c>
      <c r="K174" s="188" t="s">
        <v>456</v>
      </c>
      <c r="L174" s="188" t="s">
        <v>210</v>
      </c>
      <c r="M174" s="188" t="s">
        <v>114</v>
      </c>
      <c r="N174" s="188" t="s">
        <v>287</v>
      </c>
      <c r="O174" s="188" t="s">
        <v>172</v>
      </c>
      <c r="P174" s="188" t="s">
        <v>131</v>
      </c>
      <c r="Q174" s="188" t="s">
        <v>247</v>
      </c>
      <c r="R174" s="188" t="s">
        <v>21</v>
      </c>
      <c r="S174" s="188" t="s">
        <v>152</v>
      </c>
      <c r="T174" s="188" t="s">
        <v>228</v>
      </c>
      <c r="V174" s="188" t="s">
        <v>123</v>
      </c>
      <c r="W174" s="188" t="s">
        <v>168</v>
      </c>
      <c r="X174" s="188" t="s">
        <v>457</v>
      </c>
      <c r="Y174" s="188" t="s">
        <v>1040</v>
      </c>
      <c r="Z174" s="0" t="n">
        <v>2</v>
      </c>
      <c r="AA174" s="188" t="s">
        <v>122</v>
      </c>
    </row>
    <row r="175" s="189" customFormat="true" ht="15" hidden="false" customHeight="true" outlineLevel="0" collapsed="false">
      <c r="A175" s="189" t="n">
        <v>35</v>
      </c>
      <c r="B175" s="187" t="n">
        <v>46057.9599289997</v>
      </c>
      <c r="C175" s="187" t="n">
        <v>46057.9789220552</v>
      </c>
      <c r="D175" s="189" t="s">
        <v>459</v>
      </c>
      <c r="E175" s="189" t="s">
        <v>460</v>
      </c>
      <c r="F175" s="189" t="s">
        <v>460</v>
      </c>
      <c r="G175" s="189" t="s">
        <v>461</v>
      </c>
      <c r="H175" s="187" t="n">
        <v>46044</v>
      </c>
      <c r="I175" s="189" t="s">
        <v>113</v>
      </c>
      <c r="J175" s="189" t="s">
        <v>295</v>
      </c>
      <c r="K175" s="189" t="s">
        <v>462</v>
      </c>
      <c r="L175" s="189" t="s">
        <v>389</v>
      </c>
      <c r="M175" s="189" t="s">
        <v>397</v>
      </c>
      <c r="N175" s="189" t="s">
        <v>227</v>
      </c>
      <c r="O175" s="189" t="s">
        <v>244</v>
      </c>
      <c r="P175" s="189" t="s">
        <v>111</v>
      </c>
      <c r="Q175" s="189" t="s">
        <v>247</v>
      </c>
      <c r="R175" s="189" t="s">
        <v>22</v>
      </c>
      <c r="S175" s="189" t="s">
        <v>152</v>
      </c>
      <c r="T175" s="189" t="s">
        <v>121</v>
      </c>
      <c r="U175" s="189" t="s">
        <v>122</v>
      </c>
      <c r="V175" s="189" t="s">
        <v>192</v>
      </c>
      <c r="W175" s="189" t="s">
        <v>124</v>
      </c>
      <c r="X175" s="189" t="s">
        <v>381</v>
      </c>
      <c r="Y175" s="189" t="s">
        <v>1035</v>
      </c>
      <c r="Z175" s="189" t="n">
        <v>1</v>
      </c>
      <c r="AA175" s="189" t="s">
        <v>1152</v>
      </c>
    </row>
    <row r="176" s="189" customFormat="true" ht="95.25" hidden="false" customHeight="true" outlineLevel="0" collapsed="false">
      <c r="A176" s="189" t="n">
        <v>35</v>
      </c>
      <c r="B176" s="187" t="n">
        <v>46057.9599289997</v>
      </c>
      <c r="C176" s="187" t="n">
        <v>46057.9789220552</v>
      </c>
      <c r="D176" s="189" t="s">
        <v>459</v>
      </c>
      <c r="E176" s="189" t="s">
        <v>460</v>
      </c>
      <c r="F176" s="189" t="s">
        <v>460</v>
      </c>
      <c r="G176" s="189" t="s">
        <v>461</v>
      </c>
      <c r="H176" s="187" t="n">
        <v>46044</v>
      </c>
      <c r="I176" s="189" t="s">
        <v>113</v>
      </c>
      <c r="J176" s="189" t="s">
        <v>295</v>
      </c>
      <c r="K176" s="189" t="s">
        <v>462</v>
      </c>
      <c r="L176" s="189" t="s">
        <v>389</v>
      </c>
      <c r="M176" s="189" t="s">
        <v>397</v>
      </c>
      <c r="N176" s="189" t="s">
        <v>227</v>
      </c>
      <c r="O176" s="189" t="s">
        <v>244</v>
      </c>
      <c r="P176" s="189" t="s">
        <v>111</v>
      </c>
      <c r="Q176" s="189" t="s">
        <v>247</v>
      </c>
      <c r="R176" s="189" t="s">
        <v>22</v>
      </c>
      <c r="S176" s="189" t="s">
        <v>152</v>
      </c>
      <c r="T176" s="189" t="s">
        <v>121</v>
      </c>
      <c r="U176" s="189" t="s">
        <v>122</v>
      </c>
      <c r="V176" s="189" t="s">
        <v>192</v>
      </c>
      <c r="W176" s="189" t="s">
        <v>124</v>
      </c>
      <c r="X176" s="189" t="s">
        <v>381</v>
      </c>
      <c r="Y176" s="189" t="s">
        <v>1037</v>
      </c>
      <c r="Z176" s="189" t="n">
        <v>1</v>
      </c>
      <c r="AA176" s="189" t="s">
        <v>1132</v>
      </c>
    </row>
    <row r="177" s="189" customFormat="true" ht="15" hidden="false" customHeight="true" outlineLevel="0" collapsed="false">
      <c r="A177" s="189" t="n">
        <v>35</v>
      </c>
      <c r="B177" s="187" t="n">
        <v>46057.9599289997</v>
      </c>
      <c r="C177" s="187" t="n">
        <v>46057.9789220552</v>
      </c>
      <c r="D177" s="189" t="s">
        <v>459</v>
      </c>
      <c r="E177" s="189" t="s">
        <v>460</v>
      </c>
      <c r="F177" s="189" t="s">
        <v>460</v>
      </c>
      <c r="G177" s="189" t="s">
        <v>461</v>
      </c>
      <c r="H177" s="187" t="n">
        <v>46044</v>
      </c>
      <c r="I177" s="189" t="s">
        <v>113</v>
      </c>
      <c r="J177" s="189" t="s">
        <v>295</v>
      </c>
      <c r="K177" s="189" t="s">
        <v>462</v>
      </c>
      <c r="L177" s="189" t="s">
        <v>389</v>
      </c>
      <c r="M177" s="189" t="s">
        <v>397</v>
      </c>
      <c r="N177" s="189" t="s">
        <v>227</v>
      </c>
      <c r="O177" s="189" t="s">
        <v>244</v>
      </c>
      <c r="P177" s="189" t="s">
        <v>111</v>
      </c>
      <c r="Q177" s="189" t="s">
        <v>247</v>
      </c>
      <c r="R177" s="189" t="s">
        <v>22</v>
      </c>
      <c r="S177" s="189" t="s">
        <v>152</v>
      </c>
      <c r="T177" s="189" t="s">
        <v>121</v>
      </c>
      <c r="U177" s="189" t="s">
        <v>122</v>
      </c>
      <c r="V177" s="189" t="s">
        <v>192</v>
      </c>
      <c r="W177" s="189" t="s">
        <v>124</v>
      </c>
      <c r="X177" s="189" t="s">
        <v>381</v>
      </c>
      <c r="Y177" s="189" t="s">
        <v>1040</v>
      </c>
      <c r="Z177" s="189" t="n">
        <v>1</v>
      </c>
      <c r="AA177" s="189" t="s">
        <v>1153</v>
      </c>
    </row>
    <row r="178" s="189" customFormat="true" ht="15" hidden="false" customHeight="true" outlineLevel="0" collapsed="false">
      <c r="A178" s="189" t="n">
        <v>35</v>
      </c>
      <c r="B178" s="187" t="n">
        <v>46057.9599289997</v>
      </c>
      <c r="C178" s="187" t="n">
        <v>46057.9789220552</v>
      </c>
      <c r="D178" s="189" t="s">
        <v>459</v>
      </c>
      <c r="E178" s="189" t="s">
        <v>460</v>
      </c>
      <c r="F178" s="189" t="s">
        <v>460</v>
      </c>
      <c r="G178" s="189" t="s">
        <v>461</v>
      </c>
      <c r="H178" s="187" t="n">
        <v>46044</v>
      </c>
      <c r="I178" s="189" t="s">
        <v>113</v>
      </c>
      <c r="J178" s="189" t="s">
        <v>295</v>
      </c>
      <c r="K178" s="189" t="s">
        <v>462</v>
      </c>
      <c r="L178" s="189" t="s">
        <v>389</v>
      </c>
      <c r="M178" s="189" t="s">
        <v>397</v>
      </c>
      <c r="N178" s="189" t="s">
        <v>227</v>
      </c>
      <c r="O178" s="189" t="s">
        <v>244</v>
      </c>
      <c r="P178" s="189" t="s">
        <v>111</v>
      </c>
      <c r="Q178" s="189" t="s">
        <v>247</v>
      </c>
      <c r="R178" s="189" t="s">
        <v>22</v>
      </c>
      <c r="S178" s="189" t="s">
        <v>152</v>
      </c>
      <c r="T178" s="189" t="s">
        <v>121</v>
      </c>
      <c r="U178" s="189" t="s">
        <v>122</v>
      </c>
      <c r="V178" s="189" t="s">
        <v>192</v>
      </c>
      <c r="W178" s="189" t="s">
        <v>124</v>
      </c>
      <c r="X178" s="189" t="s">
        <v>381</v>
      </c>
      <c r="Y178" s="189" t="s">
        <v>1040</v>
      </c>
      <c r="Z178" s="189" t="n">
        <v>2</v>
      </c>
      <c r="AA178" s="189" t="s">
        <v>1134</v>
      </c>
    </row>
    <row r="179" s="189" customFormat="true" ht="15" hidden="false" customHeight="true" outlineLevel="0" collapsed="false">
      <c r="A179" s="189" t="n">
        <v>36</v>
      </c>
      <c r="B179" s="187" t="n">
        <v>46181.1947224028</v>
      </c>
      <c r="C179" s="187" t="n">
        <v>46181.214757125</v>
      </c>
      <c r="D179" s="189" t="s">
        <v>466</v>
      </c>
      <c r="E179" s="189" t="s">
        <v>467</v>
      </c>
      <c r="F179" s="189" t="s">
        <v>467</v>
      </c>
      <c r="G179" s="189" t="s">
        <v>468</v>
      </c>
      <c r="H179" s="187" t="n">
        <v>46177</v>
      </c>
      <c r="I179" s="189" t="s">
        <v>325</v>
      </c>
      <c r="J179" s="189" t="s">
        <v>108</v>
      </c>
      <c r="K179" s="189" t="s">
        <v>143</v>
      </c>
      <c r="L179" s="189" t="s">
        <v>286</v>
      </c>
      <c r="M179" s="189" t="s">
        <v>447</v>
      </c>
      <c r="N179" s="189" t="s">
        <v>469</v>
      </c>
      <c r="O179" s="189" t="s">
        <v>278</v>
      </c>
      <c r="P179" s="189" t="s">
        <v>131</v>
      </c>
      <c r="Q179" s="189" t="s">
        <v>112</v>
      </c>
      <c r="R179" s="189" t="s">
        <v>21</v>
      </c>
      <c r="S179" s="189" t="s">
        <v>152</v>
      </c>
      <c r="T179" s="189" t="s">
        <v>352</v>
      </c>
      <c r="V179" s="189" t="s">
        <v>123</v>
      </c>
      <c r="W179" s="189" t="s">
        <v>124</v>
      </c>
      <c r="X179" s="189" t="s">
        <v>307</v>
      </c>
      <c r="Y179" s="189" t="s">
        <v>1035</v>
      </c>
      <c r="Z179" s="189" t="n">
        <v>1</v>
      </c>
      <c r="AA179" s="189" t="s">
        <v>1102</v>
      </c>
    </row>
    <row r="180" s="189" customFormat="true" ht="95.25" hidden="false" customHeight="true" outlineLevel="0" collapsed="false">
      <c r="A180" s="189" t="n">
        <v>36</v>
      </c>
      <c r="B180" s="187" t="n">
        <v>46181.1947224028</v>
      </c>
      <c r="C180" s="187" t="n">
        <v>46181.214757125</v>
      </c>
      <c r="D180" s="189" t="s">
        <v>466</v>
      </c>
      <c r="E180" s="189" t="s">
        <v>467</v>
      </c>
      <c r="F180" s="189" t="s">
        <v>467</v>
      </c>
      <c r="G180" s="189" t="s">
        <v>468</v>
      </c>
      <c r="H180" s="187" t="n">
        <v>46177</v>
      </c>
      <c r="I180" s="189" t="s">
        <v>325</v>
      </c>
      <c r="J180" s="189" t="s">
        <v>108</v>
      </c>
      <c r="K180" s="189" t="s">
        <v>143</v>
      </c>
      <c r="L180" s="189" t="s">
        <v>286</v>
      </c>
      <c r="M180" s="189" t="s">
        <v>447</v>
      </c>
      <c r="N180" s="189" t="s">
        <v>469</v>
      </c>
      <c r="O180" s="189" t="s">
        <v>278</v>
      </c>
      <c r="P180" s="189" t="s">
        <v>131</v>
      </c>
      <c r="Q180" s="189" t="s">
        <v>112</v>
      </c>
      <c r="R180" s="189" t="s">
        <v>21</v>
      </c>
      <c r="S180" s="189" t="s">
        <v>152</v>
      </c>
      <c r="T180" s="189" t="s">
        <v>352</v>
      </c>
      <c r="V180" s="189" t="s">
        <v>123</v>
      </c>
      <c r="W180" s="189" t="s">
        <v>124</v>
      </c>
      <c r="X180" s="189" t="s">
        <v>307</v>
      </c>
      <c r="Y180" s="189" t="s">
        <v>1037</v>
      </c>
      <c r="Z180" s="189" t="n">
        <v>1</v>
      </c>
      <c r="AA180" s="189" t="s">
        <v>1154</v>
      </c>
    </row>
    <row r="181" s="189" customFormat="true" ht="15" hidden="false" customHeight="true" outlineLevel="0" collapsed="false">
      <c r="A181" s="189" t="n">
        <v>36</v>
      </c>
      <c r="B181" s="187" t="n">
        <v>46181.1947224028</v>
      </c>
      <c r="C181" s="187" t="n">
        <v>46181.214757125</v>
      </c>
      <c r="D181" s="189" t="s">
        <v>466</v>
      </c>
      <c r="E181" s="189" t="s">
        <v>467</v>
      </c>
      <c r="F181" s="189" t="s">
        <v>467</v>
      </c>
      <c r="G181" s="189" t="s">
        <v>468</v>
      </c>
      <c r="H181" s="187" t="n">
        <v>46177</v>
      </c>
      <c r="I181" s="189" t="s">
        <v>325</v>
      </c>
      <c r="J181" s="189" t="s">
        <v>108</v>
      </c>
      <c r="K181" s="189" t="s">
        <v>143</v>
      </c>
      <c r="L181" s="189" t="s">
        <v>286</v>
      </c>
      <c r="M181" s="189" t="s">
        <v>447</v>
      </c>
      <c r="N181" s="189" t="s">
        <v>469</v>
      </c>
      <c r="O181" s="189" t="s">
        <v>278</v>
      </c>
      <c r="P181" s="189" t="s">
        <v>131</v>
      </c>
      <c r="Q181" s="189" t="s">
        <v>112</v>
      </c>
      <c r="R181" s="189" t="s">
        <v>21</v>
      </c>
      <c r="S181" s="189" t="s">
        <v>152</v>
      </c>
      <c r="T181" s="189" t="s">
        <v>352</v>
      </c>
      <c r="V181" s="189" t="s">
        <v>123</v>
      </c>
      <c r="W181" s="189" t="s">
        <v>124</v>
      </c>
      <c r="X181" s="189" t="s">
        <v>307</v>
      </c>
      <c r="Y181" s="189" t="s">
        <v>1037</v>
      </c>
      <c r="Z181" s="189" t="n">
        <v>2</v>
      </c>
      <c r="AA181" s="189" t="s">
        <v>1104</v>
      </c>
    </row>
    <row r="182" customFormat="false" ht="15" hidden="false" customHeight="true" outlineLevel="0" collapsed="false">
      <c r="A182" s="0" t="n">
        <v>36</v>
      </c>
      <c r="B182" s="187" t="n">
        <v>46181.1947224028</v>
      </c>
      <c r="C182" s="187" t="n">
        <v>46181.214757125</v>
      </c>
      <c r="D182" s="188" t="s">
        <v>466</v>
      </c>
      <c r="E182" s="188" t="s">
        <v>467</v>
      </c>
      <c r="F182" s="188" t="s">
        <v>467</v>
      </c>
      <c r="G182" s="188" t="s">
        <v>468</v>
      </c>
      <c r="H182" s="187" t="n">
        <v>46177</v>
      </c>
      <c r="I182" s="188" t="s">
        <v>325</v>
      </c>
      <c r="J182" s="188" t="s">
        <v>108</v>
      </c>
      <c r="K182" s="188" t="s">
        <v>143</v>
      </c>
      <c r="L182" s="188" t="s">
        <v>286</v>
      </c>
      <c r="M182" s="188" t="s">
        <v>447</v>
      </c>
      <c r="N182" s="188" t="s">
        <v>469</v>
      </c>
      <c r="O182" s="188" t="s">
        <v>278</v>
      </c>
      <c r="P182" s="188" t="s">
        <v>131</v>
      </c>
      <c r="Q182" s="188" t="s">
        <v>112</v>
      </c>
      <c r="R182" s="188" t="s">
        <v>21</v>
      </c>
      <c r="S182" s="188" t="s">
        <v>152</v>
      </c>
      <c r="T182" s="188" t="s">
        <v>352</v>
      </c>
      <c r="V182" s="188" t="s">
        <v>123</v>
      </c>
      <c r="W182" s="188" t="s">
        <v>124</v>
      </c>
      <c r="X182" s="188" t="s">
        <v>307</v>
      </c>
      <c r="Y182" s="188" t="s">
        <v>1040</v>
      </c>
      <c r="Z182" s="0" t="n">
        <v>1</v>
      </c>
      <c r="AA182" s="188" t="s">
        <v>1105</v>
      </c>
    </row>
    <row r="183" customFormat="false" ht="15" hidden="false" customHeight="true" outlineLevel="0" collapsed="false">
      <c r="A183" s="0" t="n">
        <v>37</v>
      </c>
      <c r="B183" s="187" t="n">
        <v>46154.0879018118</v>
      </c>
      <c r="C183" s="187" t="n">
        <v>46154.1005754229</v>
      </c>
      <c r="D183" s="188" t="s">
        <v>473</v>
      </c>
      <c r="E183" s="188" t="s">
        <v>474</v>
      </c>
      <c r="F183" s="188" t="s">
        <v>474</v>
      </c>
      <c r="G183" s="188" t="s">
        <v>475</v>
      </c>
      <c r="H183" s="187" t="n">
        <v>46138</v>
      </c>
      <c r="I183" s="188" t="s">
        <v>113</v>
      </c>
      <c r="J183" s="188" t="s">
        <v>108</v>
      </c>
      <c r="K183" s="188" t="s">
        <v>476</v>
      </c>
      <c r="L183" s="188" t="s">
        <v>197</v>
      </c>
      <c r="M183" s="188" t="s">
        <v>477</v>
      </c>
      <c r="N183" s="188" t="s">
        <v>338</v>
      </c>
      <c r="O183" s="188" t="s">
        <v>244</v>
      </c>
      <c r="P183" s="188" t="s">
        <v>111</v>
      </c>
      <c r="Q183" s="188" t="s">
        <v>145</v>
      </c>
      <c r="R183" s="188" t="s">
        <v>22</v>
      </c>
      <c r="S183" s="188" t="s">
        <v>120</v>
      </c>
      <c r="T183" s="188" t="s">
        <v>121</v>
      </c>
      <c r="U183" s="188" t="s">
        <v>480</v>
      </c>
      <c r="V183" s="188" t="s">
        <v>192</v>
      </c>
      <c r="W183" s="188" t="s">
        <v>124</v>
      </c>
      <c r="X183" s="188" t="s">
        <v>135</v>
      </c>
      <c r="Y183" s="188" t="s">
        <v>1035</v>
      </c>
      <c r="Z183" s="0" t="n">
        <v>1</v>
      </c>
      <c r="AA183" s="188" t="s">
        <v>1155</v>
      </c>
    </row>
    <row r="184" customFormat="false" ht="15" hidden="false" customHeight="true" outlineLevel="0" collapsed="false">
      <c r="A184" s="0" t="n">
        <v>37</v>
      </c>
      <c r="B184" s="187" t="n">
        <v>46154.0879018118</v>
      </c>
      <c r="C184" s="187" t="n">
        <v>46154.1005754229</v>
      </c>
      <c r="D184" s="188" t="s">
        <v>473</v>
      </c>
      <c r="E184" s="188" t="s">
        <v>474</v>
      </c>
      <c r="F184" s="188" t="s">
        <v>474</v>
      </c>
      <c r="G184" s="188" t="s">
        <v>475</v>
      </c>
      <c r="H184" s="187" t="n">
        <v>46138</v>
      </c>
      <c r="I184" s="188" t="s">
        <v>113</v>
      </c>
      <c r="J184" s="188" t="s">
        <v>108</v>
      </c>
      <c r="K184" s="188" t="s">
        <v>476</v>
      </c>
      <c r="L184" s="188" t="s">
        <v>197</v>
      </c>
      <c r="M184" s="188" t="s">
        <v>477</v>
      </c>
      <c r="N184" s="188" t="s">
        <v>338</v>
      </c>
      <c r="O184" s="188" t="s">
        <v>244</v>
      </c>
      <c r="P184" s="188" t="s">
        <v>111</v>
      </c>
      <c r="Q184" s="188" t="s">
        <v>145</v>
      </c>
      <c r="R184" s="188" t="s">
        <v>22</v>
      </c>
      <c r="S184" s="188" t="s">
        <v>120</v>
      </c>
      <c r="T184" s="188" t="s">
        <v>121</v>
      </c>
      <c r="U184" s="188" t="s">
        <v>480</v>
      </c>
      <c r="V184" s="188" t="s">
        <v>192</v>
      </c>
      <c r="W184" s="188" t="s">
        <v>124</v>
      </c>
      <c r="X184" s="188" t="s">
        <v>135</v>
      </c>
      <c r="Y184" s="188" t="s">
        <v>1037</v>
      </c>
      <c r="Z184" s="0" t="n">
        <v>1</v>
      </c>
      <c r="AA184" s="188" t="s">
        <v>1156</v>
      </c>
    </row>
    <row r="185" customFormat="false" ht="15" hidden="false" customHeight="true" outlineLevel="0" collapsed="false">
      <c r="A185" s="0" t="n">
        <v>37</v>
      </c>
      <c r="B185" s="187" t="n">
        <v>46154.0879018118</v>
      </c>
      <c r="C185" s="187" t="n">
        <v>46154.1005754229</v>
      </c>
      <c r="D185" s="188" t="s">
        <v>473</v>
      </c>
      <c r="E185" s="188" t="s">
        <v>474</v>
      </c>
      <c r="F185" s="188" t="s">
        <v>474</v>
      </c>
      <c r="G185" s="188" t="s">
        <v>475</v>
      </c>
      <c r="H185" s="187" t="n">
        <v>46138</v>
      </c>
      <c r="I185" s="188" t="s">
        <v>113</v>
      </c>
      <c r="J185" s="188" t="s">
        <v>108</v>
      </c>
      <c r="K185" s="188" t="s">
        <v>476</v>
      </c>
      <c r="L185" s="188" t="s">
        <v>197</v>
      </c>
      <c r="M185" s="188" t="s">
        <v>477</v>
      </c>
      <c r="N185" s="188" t="s">
        <v>338</v>
      </c>
      <c r="O185" s="188" t="s">
        <v>244</v>
      </c>
      <c r="P185" s="188" t="s">
        <v>111</v>
      </c>
      <c r="Q185" s="188" t="s">
        <v>145</v>
      </c>
      <c r="R185" s="188" t="s">
        <v>22</v>
      </c>
      <c r="S185" s="188" t="s">
        <v>120</v>
      </c>
      <c r="T185" s="188" t="s">
        <v>121</v>
      </c>
      <c r="U185" s="188" t="s">
        <v>480</v>
      </c>
      <c r="V185" s="188" t="s">
        <v>192</v>
      </c>
      <c r="W185" s="188" t="s">
        <v>124</v>
      </c>
      <c r="X185" s="188" t="s">
        <v>135</v>
      </c>
      <c r="Y185" s="188" t="s">
        <v>1037</v>
      </c>
      <c r="Z185" s="0" t="n">
        <v>2</v>
      </c>
      <c r="AA185" s="188" t="s">
        <v>1157</v>
      </c>
    </row>
    <row r="186" customFormat="false" ht="15" hidden="false" customHeight="true" outlineLevel="0" collapsed="false">
      <c r="A186" s="0" t="n">
        <v>37</v>
      </c>
      <c r="B186" s="187" t="n">
        <v>46154.0879018118</v>
      </c>
      <c r="C186" s="187" t="n">
        <v>46154.1005754229</v>
      </c>
      <c r="D186" s="188" t="s">
        <v>473</v>
      </c>
      <c r="E186" s="188" t="s">
        <v>474</v>
      </c>
      <c r="F186" s="188" t="s">
        <v>474</v>
      </c>
      <c r="G186" s="188" t="s">
        <v>475</v>
      </c>
      <c r="H186" s="187" t="n">
        <v>46138</v>
      </c>
      <c r="I186" s="188" t="s">
        <v>113</v>
      </c>
      <c r="J186" s="188" t="s">
        <v>108</v>
      </c>
      <c r="K186" s="188" t="s">
        <v>476</v>
      </c>
      <c r="L186" s="188" t="s">
        <v>197</v>
      </c>
      <c r="M186" s="188" t="s">
        <v>477</v>
      </c>
      <c r="N186" s="188" t="s">
        <v>338</v>
      </c>
      <c r="O186" s="188" t="s">
        <v>244</v>
      </c>
      <c r="P186" s="188" t="s">
        <v>111</v>
      </c>
      <c r="Q186" s="188" t="s">
        <v>145</v>
      </c>
      <c r="R186" s="188" t="s">
        <v>22</v>
      </c>
      <c r="S186" s="188" t="s">
        <v>120</v>
      </c>
      <c r="T186" s="188" t="s">
        <v>121</v>
      </c>
      <c r="U186" s="188" t="s">
        <v>480</v>
      </c>
      <c r="V186" s="188" t="s">
        <v>192</v>
      </c>
      <c r="W186" s="188" t="s">
        <v>124</v>
      </c>
      <c r="X186" s="188" t="s">
        <v>135</v>
      </c>
      <c r="Y186" s="188" t="s">
        <v>1040</v>
      </c>
      <c r="Z186" s="0" t="n">
        <v>1</v>
      </c>
      <c r="AA186" s="188" t="s">
        <v>122</v>
      </c>
    </row>
    <row r="187" customFormat="false" ht="15" hidden="false" customHeight="true" outlineLevel="0" collapsed="false">
      <c r="A187" s="0" t="n">
        <v>38</v>
      </c>
      <c r="B187" s="187" t="n">
        <v>46156.7128675423</v>
      </c>
      <c r="C187" s="187" t="n">
        <v>46156.7219531905</v>
      </c>
      <c r="D187" s="188" t="s">
        <v>481</v>
      </c>
      <c r="E187" s="188" t="s">
        <v>482</v>
      </c>
      <c r="F187" s="188" t="s">
        <v>482</v>
      </c>
      <c r="G187" s="188" t="s">
        <v>483</v>
      </c>
      <c r="H187" s="187" t="n">
        <v>46140</v>
      </c>
      <c r="I187" s="188" t="s">
        <v>113</v>
      </c>
      <c r="J187" s="188" t="s">
        <v>108</v>
      </c>
      <c r="K187" s="188" t="s">
        <v>462</v>
      </c>
      <c r="L187" s="188" t="s">
        <v>286</v>
      </c>
      <c r="M187" s="188" t="s">
        <v>484</v>
      </c>
      <c r="N187" s="188" t="s">
        <v>338</v>
      </c>
      <c r="O187" s="188" t="s">
        <v>172</v>
      </c>
      <c r="P187" s="188" t="s">
        <v>111</v>
      </c>
      <c r="Q187" s="188" t="s">
        <v>145</v>
      </c>
      <c r="R187" s="188" t="s">
        <v>22</v>
      </c>
      <c r="S187" s="188" t="s">
        <v>120</v>
      </c>
      <c r="T187" s="188" t="s">
        <v>121</v>
      </c>
      <c r="U187" s="188" t="s">
        <v>122</v>
      </c>
      <c r="V187" s="188" t="s">
        <v>167</v>
      </c>
      <c r="W187" s="188" t="s">
        <v>124</v>
      </c>
      <c r="X187" s="188" t="s">
        <v>148</v>
      </c>
      <c r="Y187" s="188" t="s">
        <v>1035</v>
      </c>
      <c r="Z187" s="0" t="n">
        <v>1</v>
      </c>
      <c r="AA187" s="188" t="s">
        <v>1093</v>
      </c>
    </row>
    <row r="188" customFormat="false" ht="15" hidden="false" customHeight="true" outlineLevel="0" collapsed="false">
      <c r="A188" s="0" t="n">
        <v>38</v>
      </c>
      <c r="B188" s="187" t="n">
        <v>46156.7128675423</v>
      </c>
      <c r="C188" s="187" t="n">
        <v>46156.7219531905</v>
      </c>
      <c r="D188" s="188" t="s">
        <v>481</v>
      </c>
      <c r="E188" s="188" t="s">
        <v>482</v>
      </c>
      <c r="F188" s="188" t="s">
        <v>482</v>
      </c>
      <c r="G188" s="188" t="s">
        <v>483</v>
      </c>
      <c r="H188" s="187" t="n">
        <v>46140</v>
      </c>
      <c r="I188" s="188" t="s">
        <v>113</v>
      </c>
      <c r="J188" s="188" t="s">
        <v>108</v>
      </c>
      <c r="K188" s="188" t="s">
        <v>462</v>
      </c>
      <c r="L188" s="188" t="s">
        <v>286</v>
      </c>
      <c r="M188" s="188" t="s">
        <v>484</v>
      </c>
      <c r="N188" s="188" t="s">
        <v>338</v>
      </c>
      <c r="O188" s="188" t="s">
        <v>172</v>
      </c>
      <c r="P188" s="188" t="s">
        <v>111</v>
      </c>
      <c r="Q188" s="188" t="s">
        <v>145</v>
      </c>
      <c r="R188" s="188" t="s">
        <v>22</v>
      </c>
      <c r="S188" s="188" t="s">
        <v>120</v>
      </c>
      <c r="T188" s="188" t="s">
        <v>121</v>
      </c>
      <c r="U188" s="188" t="s">
        <v>122</v>
      </c>
      <c r="V188" s="188" t="s">
        <v>167</v>
      </c>
      <c r="W188" s="188" t="s">
        <v>124</v>
      </c>
      <c r="X188" s="188" t="s">
        <v>148</v>
      </c>
      <c r="Y188" s="188" t="s">
        <v>1035</v>
      </c>
      <c r="Z188" s="0" t="n">
        <v>2</v>
      </c>
      <c r="AA188" s="188" t="s">
        <v>1158</v>
      </c>
    </row>
    <row r="189" customFormat="false" ht="15" hidden="false" customHeight="true" outlineLevel="0" collapsed="false">
      <c r="A189" s="0" t="n">
        <v>38</v>
      </c>
      <c r="B189" s="187" t="n">
        <v>46156.7128675423</v>
      </c>
      <c r="C189" s="187" t="n">
        <v>46156.7219531905</v>
      </c>
      <c r="D189" s="188" t="s">
        <v>481</v>
      </c>
      <c r="E189" s="188" t="s">
        <v>482</v>
      </c>
      <c r="F189" s="188" t="s">
        <v>482</v>
      </c>
      <c r="G189" s="188" t="s">
        <v>483</v>
      </c>
      <c r="H189" s="187" t="n">
        <v>46140</v>
      </c>
      <c r="I189" s="188" t="s">
        <v>113</v>
      </c>
      <c r="J189" s="188" t="s">
        <v>108</v>
      </c>
      <c r="K189" s="188" t="s">
        <v>462</v>
      </c>
      <c r="L189" s="188" t="s">
        <v>286</v>
      </c>
      <c r="M189" s="188" t="s">
        <v>484</v>
      </c>
      <c r="N189" s="188" t="s">
        <v>338</v>
      </c>
      <c r="O189" s="188" t="s">
        <v>172</v>
      </c>
      <c r="P189" s="188" t="s">
        <v>111</v>
      </c>
      <c r="Q189" s="188" t="s">
        <v>145</v>
      </c>
      <c r="R189" s="188" t="s">
        <v>22</v>
      </c>
      <c r="S189" s="188" t="s">
        <v>120</v>
      </c>
      <c r="T189" s="188" t="s">
        <v>121</v>
      </c>
      <c r="U189" s="188" t="s">
        <v>122</v>
      </c>
      <c r="V189" s="188" t="s">
        <v>167</v>
      </c>
      <c r="W189" s="188" t="s">
        <v>124</v>
      </c>
      <c r="X189" s="188" t="s">
        <v>148</v>
      </c>
      <c r="Y189" s="188" t="s">
        <v>1037</v>
      </c>
      <c r="Z189" s="0" t="n">
        <v>1</v>
      </c>
      <c r="AA189" s="188" t="s">
        <v>1159</v>
      </c>
    </row>
    <row r="190" customFormat="false" ht="15" hidden="false" customHeight="true" outlineLevel="0" collapsed="false">
      <c r="A190" s="0" t="n">
        <v>38</v>
      </c>
      <c r="B190" s="187" t="n">
        <v>46156.7128675423</v>
      </c>
      <c r="C190" s="187" t="n">
        <v>46156.7219531905</v>
      </c>
      <c r="D190" s="188" t="s">
        <v>481</v>
      </c>
      <c r="E190" s="188" t="s">
        <v>482</v>
      </c>
      <c r="F190" s="188" t="s">
        <v>482</v>
      </c>
      <c r="G190" s="188" t="s">
        <v>483</v>
      </c>
      <c r="H190" s="187" t="n">
        <v>46140</v>
      </c>
      <c r="I190" s="188" t="s">
        <v>113</v>
      </c>
      <c r="J190" s="188" t="s">
        <v>108</v>
      </c>
      <c r="K190" s="188" t="s">
        <v>462</v>
      </c>
      <c r="L190" s="188" t="s">
        <v>286</v>
      </c>
      <c r="M190" s="188" t="s">
        <v>484</v>
      </c>
      <c r="N190" s="188" t="s">
        <v>338</v>
      </c>
      <c r="O190" s="188" t="s">
        <v>172</v>
      </c>
      <c r="P190" s="188" t="s">
        <v>111</v>
      </c>
      <c r="Q190" s="188" t="s">
        <v>145</v>
      </c>
      <c r="R190" s="188" t="s">
        <v>22</v>
      </c>
      <c r="S190" s="188" t="s">
        <v>120</v>
      </c>
      <c r="T190" s="188" t="s">
        <v>121</v>
      </c>
      <c r="U190" s="188" t="s">
        <v>122</v>
      </c>
      <c r="V190" s="188" t="s">
        <v>167</v>
      </c>
      <c r="W190" s="188" t="s">
        <v>124</v>
      </c>
      <c r="X190" s="188" t="s">
        <v>148</v>
      </c>
      <c r="Y190" s="188" t="s">
        <v>1037</v>
      </c>
      <c r="Z190" s="0" t="n">
        <v>2</v>
      </c>
      <c r="AA190" s="188" t="s">
        <v>1048</v>
      </c>
    </row>
    <row r="191" customFormat="false" ht="15" hidden="false" customHeight="true" outlineLevel="0" collapsed="false">
      <c r="A191" s="0" t="n">
        <v>38</v>
      </c>
      <c r="B191" s="187" t="n">
        <v>46156.7128675423</v>
      </c>
      <c r="C191" s="187" t="n">
        <v>46156.7219531905</v>
      </c>
      <c r="D191" s="188" t="s">
        <v>481</v>
      </c>
      <c r="E191" s="188" t="s">
        <v>482</v>
      </c>
      <c r="F191" s="188" t="s">
        <v>482</v>
      </c>
      <c r="G191" s="188" t="s">
        <v>483</v>
      </c>
      <c r="H191" s="187" t="n">
        <v>46140</v>
      </c>
      <c r="I191" s="188" t="s">
        <v>113</v>
      </c>
      <c r="J191" s="188" t="s">
        <v>108</v>
      </c>
      <c r="K191" s="188" t="s">
        <v>462</v>
      </c>
      <c r="L191" s="188" t="s">
        <v>286</v>
      </c>
      <c r="M191" s="188" t="s">
        <v>484</v>
      </c>
      <c r="N191" s="188" t="s">
        <v>338</v>
      </c>
      <c r="O191" s="188" t="s">
        <v>172</v>
      </c>
      <c r="P191" s="188" t="s">
        <v>111</v>
      </c>
      <c r="Q191" s="188" t="s">
        <v>145</v>
      </c>
      <c r="R191" s="188" t="s">
        <v>22</v>
      </c>
      <c r="S191" s="188" t="s">
        <v>120</v>
      </c>
      <c r="T191" s="188" t="s">
        <v>121</v>
      </c>
      <c r="U191" s="188" t="s">
        <v>122</v>
      </c>
      <c r="V191" s="188" t="s">
        <v>167</v>
      </c>
      <c r="W191" s="188" t="s">
        <v>124</v>
      </c>
      <c r="X191" s="188" t="s">
        <v>148</v>
      </c>
      <c r="Y191" s="188" t="s">
        <v>1040</v>
      </c>
      <c r="Z191" s="0" t="n">
        <v>1</v>
      </c>
      <c r="AA191" s="188" t="s">
        <v>1160</v>
      </c>
    </row>
    <row r="192" customFormat="false" ht="15" hidden="false" customHeight="true" outlineLevel="0" collapsed="false">
      <c r="A192" s="0" t="n">
        <v>38</v>
      </c>
      <c r="B192" s="187" t="n">
        <v>46156.7128675423</v>
      </c>
      <c r="C192" s="187" t="n">
        <v>46156.7219531905</v>
      </c>
      <c r="D192" s="188" t="s">
        <v>481</v>
      </c>
      <c r="E192" s="188" t="s">
        <v>482</v>
      </c>
      <c r="F192" s="188" t="s">
        <v>482</v>
      </c>
      <c r="G192" s="188" t="s">
        <v>483</v>
      </c>
      <c r="H192" s="187" t="n">
        <v>46140</v>
      </c>
      <c r="I192" s="188" t="s">
        <v>113</v>
      </c>
      <c r="J192" s="188" t="s">
        <v>108</v>
      </c>
      <c r="K192" s="188" t="s">
        <v>462</v>
      </c>
      <c r="L192" s="188" t="s">
        <v>286</v>
      </c>
      <c r="M192" s="188" t="s">
        <v>484</v>
      </c>
      <c r="N192" s="188" t="s">
        <v>338</v>
      </c>
      <c r="O192" s="188" t="s">
        <v>172</v>
      </c>
      <c r="P192" s="188" t="s">
        <v>111</v>
      </c>
      <c r="Q192" s="188" t="s">
        <v>145</v>
      </c>
      <c r="R192" s="188" t="s">
        <v>22</v>
      </c>
      <c r="S192" s="188" t="s">
        <v>120</v>
      </c>
      <c r="T192" s="188" t="s">
        <v>121</v>
      </c>
      <c r="U192" s="188" t="s">
        <v>122</v>
      </c>
      <c r="V192" s="188" t="s">
        <v>167</v>
      </c>
      <c r="W192" s="188" t="s">
        <v>124</v>
      </c>
      <c r="X192" s="188" t="s">
        <v>148</v>
      </c>
      <c r="Y192" s="188" t="s">
        <v>1040</v>
      </c>
      <c r="Z192" s="0" t="n">
        <v>2</v>
      </c>
      <c r="AA192" s="188" t="s">
        <v>1050</v>
      </c>
    </row>
    <row r="193" customFormat="false" ht="15" hidden="false" customHeight="true" outlineLevel="0" collapsed="false">
      <c r="A193" s="0" t="n">
        <v>39</v>
      </c>
      <c r="B193" s="187" t="n">
        <v>46166.7239145327</v>
      </c>
      <c r="C193" s="187" t="n">
        <v>46166.7281969401</v>
      </c>
      <c r="D193" s="188" t="s">
        <v>488</v>
      </c>
      <c r="E193" s="188" t="s">
        <v>489</v>
      </c>
      <c r="F193" s="188" t="s">
        <v>489</v>
      </c>
      <c r="G193" s="188" t="s">
        <v>490</v>
      </c>
      <c r="H193" s="187" t="n">
        <v>46153</v>
      </c>
      <c r="I193" s="188" t="s">
        <v>113</v>
      </c>
      <c r="J193" s="188" t="s">
        <v>295</v>
      </c>
      <c r="K193" s="188" t="s">
        <v>232</v>
      </c>
      <c r="L193" s="188" t="s">
        <v>491</v>
      </c>
      <c r="M193" s="188" t="s">
        <v>492</v>
      </c>
      <c r="N193" s="188" t="s">
        <v>186</v>
      </c>
      <c r="O193" s="188" t="s">
        <v>157</v>
      </c>
      <c r="P193" s="188" t="s">
        <v>111</v>
      </c>
      <c r="Q193" s="188" t="s">
        <v>112</v>
      </c>
      <c r="R193" s="188" t="s">
        <v>24</v>
      </c>
      <c r="S193" s="188" t="s">
        <v>227</v>
      </c>
      <c r="T193" s="188" t="s">
        <v>496</v>
      </c>
      <c r="V193" s="188" t="s">
        <v>192</v>
      </c>
      <c r="W193" s="188" t="s">
        <v>124</v>
      </c>
      <c r="X193" s="188" t="s">
        <v>448</v>
      </c>
      <c r="Y193" s="188" t="s">
        <v>1035</v>
      </c>
      <c r="Z193" s="0" t="n">
        <v>1</v>
      </c>
      <c r="AA193" s="188" t="s">
        <v>1146</v>
      </c>
    </row>
    <row r="194" customFormat="false" ht="15" hidden="false" customHeight="true" outlineLevel="0" collapsed="false">
      <c r="A194" s="0" t="n">
        <v>39</v>
      </c>
      <c r="B194" s="187" t="n">
        <v>46166.7239145327</v>
      </c>
      <c r="C194" s="187" t="n">
        <v>46166.7281969401</v>
      </c>
      <c r="D194" s="188" t="s">
        <v>488</v>
      </c>
      <c r="E194" s="188" t="s">
        <v>489</v>
      </c>
      <c r="F194" s="188" t="s">
        <v>489</v>
      </c>
      <c r="G194" s="188" t="s">
        <v>490</v>
      </c>
      <c r="H194" s="187" t="n">
        <v>46153</v>
      </c>
      <c r="I194" s="188" t="s">
        <v>113</v>
      </c>
      <c r="J194" s="188" t="s">
        <v>295</v>
      </c>
      <c r="K194" s="188" t="s">
        <v>232</v>
      </c>
      <c r="L194" s="188" t="s">
        <v>491</v>
      </c>
      <c r="M194" s="188" t="s">
        <v>492</v>
      </c>
      <c r="N194" s="188" t="s">
        <v>186</v>
      </c>
      <c r="O194" s="188" t="s">
        <v>157</v>
      </c>
      <c r="P194" s="188" t="s">
        <v>111</v>
      </c>
      <c r="Q194" s="188" t="s">
        <v>112</v>
      </c>
      <c r="R194" s="188" t="s">
        <v>24</v>
      </c>
      <c r="S194" s="188" t="s">
        <v>227</v>
      </c>
      <c r="T194" s="188" t="s">
        <v>496</v>
      </c>
      <c r="V194" s="188" t="s">
        <v>192</v>
      </c>
      <c r="W194" s="188" t="s">
        <v>124</v>
      </c>
      <c r="X194" s="188" t="s">
        <v>448</v>
      </c>
      <c r="Y194" s="188" t="s">
        <v>1035</v>
      </c>
      <c r="Z194" s="0" t="n">
        <v>2</v>
      </c>
      <c r="AA194" s="188" t="s">
        <v>1147</v>
      </c>
    </row>
    <row r="195" customFormat="false" ht="15" hidden="false" customHeight="true" outlineLevel="0" collapsed="false">
      <c r="A195" s="0" t="n">
        <v>39</v>
      </c>
      <c r="B195" s="187" t="n">
        <v>46166.7239145327</v>
      </c>
      <c r="C195" s="187" t="n">
        <v>46166.7281969401</v>
      </c>
      <c r="D195" s="188" t="s">
        <v>488</v>
      </c>
      <c r="E195" s="188" t="s">
        <v>489</v>
      </c>
      <c r="F195" s="188" t="s">
        <v>489</v>
      </c>
      <c r="G195" s="188" t="s">
        <v>490</v>
      </c>
      <c r="H195" s="187" t="n">
        <v>46153</v>
      </c>
      <c r="I195" s="188" t="s">
        <v>113</v>
      </c>
      <c r="J195" s="188" t="s">
        <v>295</v>
      </c>
      <c r="K195" s="188" t="s">
        <v>232</v>
      </c>
      <c r="L195" s="188" t="s">
        <v>491</v>
      </c>
      <c r="M195" s="188" t="s">
        <v>492</v>
      </c>
      <c r="N195" s="188" t="s">
        <v>186</v>
      </c>
      <c r="O195" s="188" t="s">
        <v>157</v>
      </c>
      <c r="P195" s="188" t="s">
        <v>111</v>
      </c>
      <c r="Q195" s="188" t="s">
        <v>112</v>
      </c>
      <c r="R195" s="188" t="s">
        <v>24</v>
      </c>
      <c r="S195" s="188" t="s">
        <v>227</v>
      </c>
      <c r="T195" s="188" t="s">
        <v>496</v>
      </c>
      <c r="V195" s="188" t="s">
        <v>192</v>
      </c>
      <c r="W195" s="188" t="s">
        <v>124</v>
      </c>
      <c r="X195" s="188" t="s">
        <v>448</v>
      </c>
      <c r="Y195" s="188" t="s">
        <v>1035</v>
      </c>
      <c r="Z195" s="0" t="n">
        <v>3</v>
      </c>
      <c r="AA195" s="188" t="s">
        <v>1161</v>
      </c>
    </row>
    <row r="196" customFormat="false" ht="15" hidden="false" customHeight="true" outlineLevel="0" collapsed="false">
      <c r="A196" s="0" t="n">
        <v>39</v>
      </c>
      <c r="B196" s="187" t="n">
        <v>46166.7239145327</v>
      </c>
      <c r="C196" s="187" t="n">
        <v>46166.7281969401</v>
      </c>
      <c r="D196" s="188" t="s">
        <v>488</v>
      </c>
      <c r="E196" s="188" t="s">
        <v>489</v>
      </c>
      <c r="F196" s="188" t="s">
        <v>489</v>
      </c>
      <c r="G196" s="188" t="s">
        <v>490</v>
      </c>
      <c r="H196" s="187" t="n">
        <v>46153</v>
      </c>
      <c r="I196" s="188" t="s">
        <v>113</v>
      </c>
      <c r="J196" s="188" t="s">
        <v>295</v>
      </c>
      <c r="K196" s="188" t="s">
        <v>232</v>
      </c>
      <c r="L196" s="188" t="s">
        <v>491</v>
      </c>
      <c r="M196" s="188" t="s">
        <v>492</v>
      </c>
      <c r="N196" s="188" t="s">
        <v>186</v>
      </c>
      <c r="O196" s="188" t="s">
        <v>157</v>
      </c>
      <c r="P196" s="188" t="s">
        <v>111</v>
      </c>
      <c r="Q196" s="188" t="s">
        <v>112</v>
      </c>
      <c r="R196" s="188" t="s">
        <v>24</v>
      </c>
      <c r="S196" s="188" t="s">
        <v>227</v>
      </c>
      <c r="T196" s="188" t="s">
        <v>496</v>
      </c>
      <c r="V196" s="188" t="s">
        <v>192</v>
      </c>
      <c r="W196" s="188" t="s">
        <v>124</v>
      </c>
      <c r="X196" s="188" t="s">
        <v>448</v>
      </c>
      <c r="Y196" s="188" t="s">
        <v>1037</v>
      </c>
      <c r="Z196" s="0" t="n">
        <v>1</v>
      </c>
      <c r="AA196" s="188" t="s">
        <v>1148</v>
      </c>
    </row>
    <row r="197" customFormat="false" ht="15" hidden="false" customHeight="true" outlineLevel="0" collapsed="false">
      <c r="A197" s="0" t="n">
        <v>39</v>
      </c>
      <c r="B197" s="187" t="n">
        <v>46166.7239145327</v>
      </c>
      <c r="C197" s="187" t="n">
        <v>46166.7281969401</v>
      </c>
      <c r="D197" s="188" t="s">
        <v>488</v>
      </c>
      <c r="E197" s="188" t="s">
        <v>489</v>
      </c>
      <c r="F197" s="188" t="s">
        <v>489</v>
      </c>
      <c r="G197" s="188" t="s">
        <v>490</v>
      </c>
      <c r="H197" s="187" t="n">
        <v>46153</v>
      </c>
      <c r="I197" s="188" t="s">
        <v>113</v>
      </c>
      <c r="J197" s="188" t="s">
        <v>295</v>
      </c>
      <c r="K197" s="188" t="s">
        <v>232</v>
      </c>
      <c r="L197" s="188" t="s">
        <v>491</v>
      </c>
      <c r="M197" s="188" t="s">
        <v>492</v>
      </c>
      <c r="N197" s="188" t="s">
        <v>186</v>
      </c>
      <c r="O197" s="188" t="s">
        <v>157</v>
      </c>
      <c r="P197" s="188" t="s">
        <v>111</v>
      </c>
      <c r="Q197" s="188" t="s">
        <v>112</v>
      </c>
      <c r="R197" s="188" t="s">
        <v>24</v>
      </c>
      <c r="S197" s="188" t="s">
        <v>227</v>
      </c>
      <c r="T197" s="188" t="s">
        <v>496</v>
      </c>
      <c r="V197" s="188" t="s">
        <v>192</v>
      </c>
      <c r="W197" s="188" t="s">
        <v>124</v>
      </c>
      <c r="X197" s="188" t="s">
        <v>448</v>
      </c>
      <c r="Y197" s="188" t="s">
        <v>1040</v>
      </c>
      <c r="Z197" s="0" t="n">
        <v>1</v>
      </c>
      <c r="AA197" s="188" t="s">
        <v>1162</v>
      </c>
    </row>
    <row r="198" customFormat="false" ht="15" hidden="false" customHeight="true" outlineLevel="0" collapsed="false">
      <c r="A198" s="0" t="n">
        <v>40</v>
      </c>
      <c r="B198" s="187" t="n">
        <v>46068.527300339</v>
      </c>
      <c r="C198" s="187" t="n">
        <v>46068.5421035797</v>
      </c>
      <c r="D198" s="188" t="s">
        <v>497</v>
      </c>
      <c r="E198" s="188" t="s">
        <v>498</v>
      </c>
      <c r="F198" s="188" t="s">
        <v>498</v>
      </c>
      <c r="G198" s="188" t="s">
        <v>499</v>
      </c>
      <c r="H198" s="187" t="n">
        <v>46064</v>
      </c>
      <c r="I198" s="188" t="s">
        <v>113</v>
      </c>
      <c r="J198" s="188" t="s">
        <v>128</v>
      </c>
      <c r="K198" s="188" t="s">
        <v>500</v>
      </c>
      <c r="L198" s="188" t="s">
        <v>233</v>
      </c>
      <c r="M198" s="188" t="s">
        <v>501</v>
      </c>
      <c r="N198" s="188" t="s">
        <v>175</v>
      </c>
      <c r="O198" s="188" t="s">
        <v>278</v>
      </c>
      <c r="P198" s="188" t="s">
        <v>111</v>
      </c>
      <c r="Q198" s="188" t="s">
        <v>112</v>
      </c>
      <c r="R198" s="188" t="s">
        <v>23</v>
      </c>
      <c r="S198" s="188" t="s">
        <v>152</v>
      </c>
      <c r="T198" s="188" t="s">
        <v>352</v>
      </c>
      <c r="V198" s="188" t="s">
        <v>123</v>
      </c>
      <c r="W198" s="188" t="s">
        <v>124</v>
      </c>
      <c r="X198" s="188" t="s">
        <v>503</v>
      </c>
      <c r="Y198" s="188" t="s">
        <v>1144</v>
      </c>
      <c r="Z198" s="0" t="n">
        <v>1</v>
      </c>
      <c r="AA198" s="188" t="s">
        <v>502</v>
      </c>
    </row>
    <row r="199" customFormat="false" ht="15" hidden="false" customHeight="true" outlineLevel="0" collapsed="false">
      <c r="A199" s="0" t="n">
        <v>41</v>
      </c>
      <c r="B199" s="187" t="n">
        <v>46118.2492454149</v>
      </c>
      <c r="C199" s="187" t="n">
        <v>46118.2627755075</v>
      </c>
      <c r="D199" s="188" t="s">
        <v>504</v>
      </c>
      <c r="E199" s="188" t="s">
        <v>505</v>
      </c>
      <c r="F199" s="188" t="s">
        <v>505</v>
      </c>
      <c r="G199" s="188" t="s">
        <v>506</v>
      </c>
      <c r="H199" s="187" t="n">
        <v>46115</v>
      </c>
      <c r="I199" s="188" t="s">
        <v>113</v>
      </c>
      <c r="J199" s="188" t="s">
        <v>295</v>
      </c>
      <c r="K199" s="188" t="s">
        <v>232</v>
      </c>
      <c r="L199" s="188" t="s">
        <v>197</v>
      </c>
      <c r="M199" s="188" t="s">
        <v>507</v>
      </c>
      <c r="N199" s="188" t="s">
        <v>508</v>
      </c>
      <c r="O199" s="188" t="s">
        <v>107</v>
      </c>
      <c r="P199" s="188" t="s">
        <v>111</v>
      </c>
      <c r="Q199" s="188" t="s">
        <v>198</v>
      </c>
      <c r="R199" s="188" t="s">
        <v>24</v>
      </c>
      <c r="S199" s="188" t="s">
        <v>152</v>
      </c>
      <c r="T199" s="188" t="s">
        <v>121</v>
      </c>
      <c r="U199" s="188" t="s">
        <v>122</v>
      </c>
      <c r="V199" s="188" t="s">
        <v>192</v>
      </c>
      <c r="W199" s="188" t="s">
        <v>124</v>
      </c>
      <c r="X199" s="188" t="s">
        <v>223</v>
      </c>
      <c r="Y199" s="188" t="s">
        <v>1035</v>
      </c>
      <c r="Z199" s="0" t="n">
        <v>1</v>
      </c>
      <c r="AA199" s="188" t="s">
        <v>1068</v>
      </c>
    </row>
    <row r="200" customFormat="false" ht="15" hidden="false" customHeight="true" outlineLevel="0" collapsed="false">
      <c r="A200" s="0" t="n">
        <v>41</v>
      </c>
      <c r="B200" s="187" t="n">
        <v>46118.2492454149</v>
      </c>
      <c r="C200" s="187" t="n">
        <v>46118.2627755075</v>
      </c>
      <c r="D200" s="188" t="s">
        <v>504</v>
      </c>
      <c r="E200" s="188" t="s">
        <v>505</v>
      </c>
      <c r="F200" s="188" t="s">
        <v>505</v>
      </c>
      <c r="G200" s="188" t="s">
        <v>506</v>
      </c>
      <c r="H200" s="187" t="n">
        <v>46115</v>
      </c>
      <c r="I200" s="188" t="s">
        <v>113</v>
      </c>
      <c r="J200" s="188" t="s">
        <v>295</v>
      </c>
      <c r="K200" s="188" t="s">
        <v>232</v>
      </c>
      <c r="L200" s="188" t="s">
        <v>197</v>
      </c>
      <c r="M200" s="188" t="s">
        <v>507</v>
      </c>
      <c r="N200" s="188" t="s">
        <v>508</v>
      </c>
      <c r="O200" s="188" t="s">
        <v>107</v>
      </c>
      <c r="P200" s="188" t="s">
        <v>111</v>
      </c>
      <c r="Q200" s="188" t="s">
        <v>198</v>
      </c>
      <c r="R200" s="188" t="s">
        <v>24</v>
      </c>
      <c r="S200" s="188" t="s">
        <v>152</v>
      </c>
      <c r="T200" s="188" t="s">
        <v>121</v>
      </c>
      <c r="U200" s="188" t="s">
        <v>122</v>
      </c>
      <c r="V200" s="188" t="s">
        <v>192</v>
      </c>
      <c r="W200" s="188" t="s">
        <v>124</v>
      </c>
      <c r="X200" s="188" t="s">
        <v>223</v>
      </c>
      <c r="Y200" s="188" t="s">
        <v>1035</v>
      </c>
      <c r="Z200" s="0" t="n">
        <v>2</v>
      </c>
      <c r="AA200" s="188" t="s">
        <v>1075</v>
      </c>
    </row>
    <row r="201" customFormat="false" ht="15" hidden="false" customHeight="true" outlineLevel="0" collapsed="false">
      <c r="A201" s="0" t="n">
        <v>41</v>
      </c>
      <c r="B201" s="187" t="n">
        <v>46118.2492454149</v>
      </c>
      <c r="C201" s="187" t="n">
        <v>46118.2627755075</v>
      </c>
      <c r="D201" s="188" t="s">
        <v>504</v>
      </c>
      <c r="E201" s="188" t="s">
        <v>505</v>
      </c>
      <c r="F201" s="188" t="s">
        <v>505</v>
      </c>
      <c r="G201" s="188" t="s">
        <v>506</v>
      </c>
      <c r="H201" s="187" t="n">
        <v>46115</v>
      </c>
      <c r="I201" s="188" t="s">
        <v>113</v>
      </c>
      <c r="J201" s="188" t="s">
        <v>295</v>
      </c>
      <c r="K201" s="188" t="s">
        <v>232</v>
      </c>
      <c r="L201" s="188" t="s">
        <v>197</v>
      </c>
      <c r="M201" s="188" t="s">
        <v>507</v>
      </c>
      <c r="N201" s="188" t="s">
        <v>508</v>
      </c>
      <c r="O201" s="188" t="s">
        <v>107</v>
      </c>
      <c r="P201" s="188" t="s">
        <v>111</v>
      </c>
      <c r="Q201" s="188" t="s">
        <v>198</v>
      </c>
      <c r="R201" s="188" t="s">
        <v>24</v>
      </c>
      <c r="S201" s="188" t="s">
        <v>152</v>
      </c>
      <c r="T201" s="188" t="s">
        <v>121</v>
      </c>
      <c r="U201" s="188" t="s">
        <v>122</v>
      </c>
      <c r="V201" s="188" t="s">
        <v>192</v>
      </c>
      <c r="W201" s="188" t="s">
        <v>124</v>
      </c>
      <c r="X201" s="188" t="s">
        <v>223</v>
      </c>
      <c r="Y201" s="188" t="s">
        <v>1037</v>
      </c>
      <c r="Z201" s="0" t="n">
        <v>1</v>
      </c>
      <c r="AA201" s="188" t="s">
        <v>1143</v>
      </c>
    </row>
    <row r="202" customFormat="false" ht="15" hidden="false" customHeight="true" outlineLevel="0" collapsed="false">
      <c r="A202" s="0" t="n">
        <v>41</v>
      </c>
      <c r="B202" s="187" t="n">
        <v>46118.2492454149</v>
      </c>
      <c r="C202" s="187" t="n">
        <v>46118.2627755075</v>
      </c>
      <c r="D202" s="188" t="s">
        <v>504</v>
      </c>
      <c r="E202" s="188" t="s">
        <v>505</v>
      </c>
      <c r="F202" s="188" t="s">
        <v>505</v>
      </c>
      <c r="G202" s="188" t="s">
        <v>506</v>
      </c>
      <c r="H202" s="187" t="n">
        <v>46115</v>
      </c>
      <c r="I202" s="188" t="s">
        <v>113</v>
      </c>
      <c r="J202" s="188" t="s">
        <v>295</v>
      </c>
      <c r="K202" s="188" t="s">
        <v>232</v>
      </c>
      <c r="L202" s="188" t="s">
        <v>197</v>
      </c>
      <c r="M202" s="188" t="s">
        <v>507</v>
      </c>
      <c r="N202" s="188" t="s">
        <v>508</v>
      </c>
      <c r="O202" s="188" t="s">
        <v>107</v>
      </c>
      <c r="P202" s="188" t="s">
        <v>111</v>
      </c>
      <c r="Q202" s="188" t="s">
        <v>198</v>
      </c>
      <c r="R202" s="188" t="s">
        <v>24</v>
      </c>
      <c r="S202" s="188" t="s">
        <v>152</v>
      </c>
      <c r="T202" s="188" t="s">
        <v>121</v>
      </c>
      <c r="U202" s="188" t="s">
        <v>122</v>
      </c>
      <c r="V202" s="188" t="s">
        <v>192</v>
      </c>
      <c r="W202" s="188" t="s">
        <v>124</v>
      </c>
      <c r="X202" s="188" t="s">
        <v>223</v>
      </c>
      <c r="Y202" s="188" t="s">
        <v>1040</v>
      </c>
      <c r="Z202" s="0" t="n">
        <v>1</v>
      </c>
      <c r="AA202" s="188" t="s">
        <v>1072</v>
      </c>
    </row>
    <row r="203" customFormat="false" ht="15" hidden="false" customHeight="true" outlineLevel="0" collapsed="false">
      <c r="A203" s="0" t="n">
        <v>41</v>
      </c>
      <c r="B203" s="187" t="n">
        <v>46118.2492454149</v>
      </c>
      <c r="C203" s="187" t="n">
        <v>46118.2627755075</v>
      </c>
      <c r="D203" s="188" t="s">
        <v>504</v>
      </c>
      <c r="E203" s="188" t="s">
        <v>505</v>
      </c>
      <c r="F203" s="188" t="s">
        <v>505</v>
      </c>
      <c r="G203" s="188" t="s">
        <v>506</v>
      </c>
      <c r="H203" s="187" t="n">
        <v>46115</v>
      </c>
      <c r="I203" s="188" t="s">
        <v>113</v>
      </c>
      <c r="J203" s="188" t="s">
        <v>295</v>
      </c>
      <c r="K203" s="188" t="s">
        <v>232</v>
      </c>
      <c r="L203" s="188" t="s">
        <v>197</v>
      </c>
      <c r="M203" s="188" t="s">
        <v>507</v>
      </c>
      <c r="N203" s="188" t="s">
        <v>508</v>
      </c>
      <c r="O203" s="188" t="s">
        <v>107</v>
      </c>
      <c r="P203" s="188" t="s">
        <v>111</v>
      </c>
      <c r="Q203" s="188" t="s">
        <v>198</v>
      </c>
      <c r="R203" s="188" t="s">
        <v>24</v>
      </c>
      <c r="S203" s="188" t="s">
        <v>152</v>
      </c>
      <c r="T203" s="188" t="s">
        <v>121</v>
      </c>
      <c r="U203" s="188" t="s">
        <v>122</v>
      </c>
      <c r="V203" s="188" t="s">
        <v>192</v>
      </c>
      <c r="W203" s="188" t="s">
        <v>124</v>
      </c>
      <c r="X203" s="188" t="s">
        <v>223</v>
      </c>
      <c r="Y203" s="188" t="s">
        <v>1040</v>
      </c>
      <c r="Z203" s="0" t="n">
        <v>2</v>
      </c>
      <c r="AA203" s="188" t="s">
        <v>1122</v>
      </c>
    </row>
    <row r="204" customFormat="false" ht="15" hidden="false" customHeight="true" outlineLevel="0" collapsed="false">
      <c r="A204" s="0" t="n">
        <v>42</v>
      </c>
      <c r="B204" s="187" t="n">
        <v>46043.0437522753</v>
      </c>
      <c r="C204" s="187" t="n">
        <v>46043.0560323678</v>
      </c>
      <c r="D204" s="188" t="s">
        <v>512</v>
      </c>
      <c r="E204" s="188" t="s">
        <v>513</v>
      </c>
      <c r="F204" s="188" t="s">
        <v>513</v>
      </c>
      <c r="G204" s="188" t="s">
        <v>514</v>
      </c>
      <c r="H204" s="187" t="n">
        <v>46025</v>
      </c>
      <c r="I204" s="188" t="s">
        <v>113</v>
      </c>
      <c r="J204" s="188" t="s">
        <v>108</v>
      </c>
      <c r="K204" s="188" t="s">
        <v>232</v>
      </c>
      <c r="L204" s="188" t="s">
        <v>114</v>
      </c>
      <c r="M204" s="188" t="s">
        <v>515</v>
      </c>
      <c r="N204" s="188" t="s">
        <v>338</v>
      </c>
      <c r="O204" s="188" t="s">
        <v>172</v>
      </c>
      <c r="P204" s="188" t="s">
        <v>111</v>
      </c>
      <c r="Q204" s="188" t="s">
        <v>247</v>
      </c>
      <c r="R204" s="188" t="s">
        <v>24</v>
      </c>
      <c r="S204" s="188" t="s">
        <v>152</v>
      </c>
      <c r="T204" s="188" t="s">
        <v>121</v>
      </c>
      <c r="V204" s="188" t="s">
        <v>123</v>
      </c>
      <c r="W204" s="188" t="s">
        <v>124</v>
      </c>
      <c r="X204" s="188" t="s">
        <v>448</v>
      </c>
      <c r="Y204" s="188" t="s">
        <v>1035</v>
      </c>
      <c r="Z204" s="0" t="n">
        <v>1</v>
      </c>
      <c r="AA204" s="188" t="s">
        <v>1163</v>
      </c>
    </row>
    <row r="205" customFormat="false" ht="15" hidden="false" customHeight="true" outlineLevel="0" collapsed="false">
      <c r="A205" s="0" t="n">
        <v>42</v>
      </c>
      <c r="B205" s="187" t="n">
        <v>46043.0437522753</v>
      </c>
      <c r="C205" s="187" t="n">
        <v>46043.0560323678</v>
      </c>
      <c r="D205" s="188" t="s">
        <v>512</v>
      </c>
      <c r="E205" s="188" t="s">
        <v>513</v>
      </c>
      <c r="F205" s="188" t="s">
        <v>513</v>
      </c>
      <c r="G205" s="188" t="s">
        <v>514</v>
      </c>
      <c r="H205" s="187" t="n">
        <v>46025</v>
      </c>
      <c r="I205" s="188" t="s">
        <v>113</v>
      </c>
      <c r="J205" s="188" t="s">
        <v>108</v>
      </c>
      <c r="K205" s="188" t="s">
        <v>232</v>
      </c>
      <c r="L205" s="188" t="s">
        <v>114</v>
      </c>
      <c r="M205" s="188" t="s">
        <v>515</v>
      </c>
      <c r="N205" s="188" t="s">
        <v>338</v>
      </c>
      <c r="O205" s="188" t="s">
        <v>172</v>
      </c>
      <c r="P205" s="188" t="s">
        <v>111</v>
      </c>
      <c r="Q205" s="188" t="s">
        <v>247</v>
      </c>
      <c r="R205" s="188" t="s">
        <v>24</v>
      </c>
      <c r="S205" s="188" t="s">
        <v>152</v>
      </c>
      <c r="T205" s="188" t="s">
        <v>121</v>
      </c>
      <c r="V205" s="188" t="s">
        <v>123</v>
      </c>
      <c r="W205" s="188" t="s">
        <v>124</v>
      </c>
      <c r="X205" s="188" t="s">
        <v>448</v>
      </c>
      <c r="Y205" s="188" t="s">
        <v>1037</v>
      </c>
      <c r="Z205" s="0" t="n">
        <v>1</v>
      </c>
      <c r="AA205" s="188" t="s">
        <v>1149</v>
      </c>
    </row>
    <row r="206" customFormat="false" ht="15" hidden="false" customHeight="true" outlineLevel="0" collapsed="false">
      <c r="A206" s="0" t="n">
        <v>42</v>
      </c>
      <c r="B206" s="187" t="n">
        <v>46043.0437522753</v>
      </c>
      <c r="C206" s="187" t="n">
        <v>46043.0560323678</v>
      </c>
      <c r="D206" s="188" t="s">
        <v>512</v>
      </c>
      <c r="E206" s="188" t="s">
        <v>513</v>
      </c>
      <c r="F206" s="188" t="s">
        <v>513</v>
      </c>
      <c r="G206" s="188" t="s">
        <v>514</v>
      </c>
      <c r="H206" s="187" t="n">
        <v>46025</v>
      </c>
      <c r="I206" s="188" t="s">
        <v>113</v>
      </c>
      <c r="J206" s="188" t="s">
        <v>108</v>
      </c>
      <c r="K206" s="188" t="s">
        <v>232</v>
      </c>
      <c r="L206" s="188" t="s">
        <v>114</v>
      </c>
      <c r="M206" s="188" t="s">
        <v>515</v>
      </c>
      <c r="N206" s="188" t="s">
        <v>338</v>
      </c>
      <c r="O206" s="188" t="s">
        <v>172</v>
      </c>
      <c r="P206" s="188" t="s">
        <v>111</v>
      </c>
      <c r="Q206" s="188" t="s">
        <v>247</v>
      </c>
      <c r="R206" s="188" t="s">
        <v>24</v>
      </c>
      <c r="S206" s="188" t="s">
        <v>152</v>
      </c>
      <c r="T206" s="188" t="s">
        <v>121</v>
      </c>
      <c r="V206" s="188" t="s">
        <v>123</v>
      </c>
      <c r="W206" s="188" t="s">
        <v>124</v>
      </c>
      <c r="X206" s="188" t="s">
        <v>448</v>
      </c>
      <c r="Y206" s="188" t="s">
        <v>1040</v>
      </c>
      <c r="Z206" s="0" t="n">
        <v>1</v>
      </c>
      <c r="AA206" s="188" t="s">
        <v>1162</v>
      </c>
    </row>
    <row r="207" customFormat="false" ht="15" hidden="false" customHeight="true" outlineLevel="0" collapsed="false">
      <c r="A207" s="0" t="n">
        <v>42</v>
      </c>
      <c r="B207" s="187" t="n">
        <v>46043.0437522753</v>
      </c>
      <c r="C207" s="187" t="n">
        <v>46043.0560323678</v>
      </c>
      <c r="D207" s="188" t="s">
        <v>512</v>
      </c>
      <c r="E207" s="188" t="s">
        <v>513</v>
      </c>
      <c r="F207" s="188" t="s">
        <v>513</v>
      </c>
      <c r="G207" s="188" t="s">
        <v>514</v>
      </c>
      <c r="H207" s="187" t="n">
        <v>46025</v>
      </c>
      <c r="I207" s="188" t="s">
        <v>113</v>
      </c>
      <c r="J207" s="188" t="s">
        <v>108</v>
      </c>
      <c r="K207" s="188" t="s">
        <v>232</v>
      </c>
      <c r="L207" s="188" t="s">
        <v>114</v>
      </c>
      <c r="M207" s="188" t="s">
        <v>515</v>
      </c>
      <c r="N207" s="188" t="s">
        <v>338</v>
      </c>
      <c r="O207" s="188" t="s">
        <v>172</v>
      </c>
      <c r="P207" s="188" t="s">
        <v>111</v>
      </c>
      <c r="Q207" s="188" t="s">
        <v>247</v>
      </c>
      <c r="R207" s="188" t="s">
        <v>24</v>
      </c>
      <c r="S207" s="188" t="s">
        <v>152</v>
      </c>
      <c r="T207" s="188" t="s">
        <v>121</v>
      </c>
      <c r="V207" s="188" t="s">
        <v>123</v>
      </c>
      <c r="W207" s="188" t="s">
        <v>124</v>
      </c>
      <c r="X207" s="188" t="s">
        <v>448</v>
      </c>
      <c r="Y207" s="188" t="s">
        <v>1040</v>
      </c>
      <c r="Z207" s="0" t="n">
        <v>2</v>
      </c>
      <c r="AA207" s="188" t="s">
        <v>1151</v>
      </c>
    </row>
    <row r="208" customFormat="false" ht="15" hidden="false" customHeight="true" outlineLevel="0" collapsed="false">
      <c r="A208" s="0" t="n">
        <v>43</v>
      </c>
      <c r="B208" s="187" t="n">
        <v>46064.1654742778</v>
      </c>
      <c r="C208" s="187" t="n">
        <v>46064.1852543704</v>
      </c>
      <c r="D208" s="188" t="s">
        <v>519</v>
      </c>
      <c r="E208" s="188" t="s">
        <v>520</v>
      </c>
      <c r="F208" s="188" t="s">
        <v>520</v>
      </c>
      <c r="G208" s="188" t="s">
        <v>521</v>
      </c>
      <c r="H208" s="187" t="n">
        <v>46044</v>
      </c>
      <c r="I208" s="188" t="s">
        <v>325</v>
      </c>
      <c r="J208" s="188" t="s">
        <v>108</v>
      </c>
      <c r="K208" s="188" t="s">
        <v>522</v>
      </c>
      <c r="L208" s="188" t="s">
        <v>286</v>
      </c>
      <c r="M208" s="188" t="s">
        <v>365</v>
      </c>
      <c r="N208" s="188" t="s">
        <v>523</v>
      </c>
      <c r="O208" s="188" t="s">
        <v>278</v>
      </c>
      <c r="P208" s="188" t="s">
        <v>111</v>
      </c>
      <c r="Q208" s="188" t="s">
        <v>112</v>
      </c>
      <c r="R208" s="188" t="s">
        <v>24</v>
      </c>
      <c r="S208" s="188" t="s">
        <v>152</v>
      </c>
      <c r="T208" s="188" t="s">
        <v>121</v>
      </c>
      <c r="V208" s="188" t="s">
        <v>192</v>
      </c>
      <c r="W208" s="188" t="s">
        <v>124</v>
      </c>
      <c r="X208" s="188" t="s">
        <v>214</v>
      </c>
      <c r="Y208" s="188" t="s">
        <v>1035</v>
      </c>
      <c r="Z208" s="0" t="n">
        <v>1</v>
      </c>
      <c r="AA208" s="188" t="s">
        <v>1036</v>
      </c>
    </row>
    <row r="209" customFormat="false" ht="15" hidden="false" customHeight="true" outlineLevel="0" collapsed="false">
      <c r="A209" s="0" t="n">
        <v>43</v>
      </c>
      <c r="B209" s="187" t="n">
        <v>46064.1654742778</v>
      </c>
      <c r="C209" s="187" t="n">
        <v>46064.1852543704</v>
      </c>
      <c r="D209" s="188" t="s">
        <v>519</v>
      </c>
      <c r="E209" s="188" t="s">
        <v>520</v>
      </c>
      <c r="F209" s="188" t="s">
        <v>520</v>
      </c>
      <c r="G209" s="188" t="s">
        <v>521</v>
      </c>
      <c r="H209" s="187" t="n">
        <v>46044</v>
      </c>
      <c r="I209" s="188" t="s">
        <v>325</v>
      </c>
      <c r="J209" s="188" t="s">
        <v>108</v>
      </c>
      <c r="K209" s="188" t="s">
        <v>522</v>
      </c>
      <c r="L209" s="188" t="s">
        <v>286</v>
      </c>
      <c r="M209" s="188" t="s">
        <v>365</v>
      </c>
      <c r="N209" s="188" t="s">
        <v>523</v>
      </c>
      <c r="O209" s="188" t="s">
        <v>278</v>
      </c>
      <c r="P209" s="188" t="s">
        <v>111</v>
      </c>
      <c r="Q209" s="188" t="s">
        <v>112</v>
      </c>
      <c r="R209" s="188" t="s">
        <v>24</v>
      </c>
      <c r="S209" s="188" t="s">
        <v>152</v>
      </c>
      <c r="T209" s="188" t="s">
        <v>121</v>
      </c>
      <c r="V209" s="188" t="s">
        <v>192</v>
      </c>
      <c r="W209" s="188" t="s">
        <v>124</v>
      </c>
      <c r="X209" s="188" t="s">
        <v>214</v>
      </c>
      <c r="Y209" s="188" t="s">
        <v>1035</v>
      </c>
      <c r="Z209" s="0" t="n">
        <v>2</v>
      </c>
      <c r="AA209" s="188" t="s">
        <v>1066</v>
      </c>
    </row>
    <row r="210" customFormat="false" ht="15" hidden="false" customHeight="true" outlineLevel="0" collapsed="false">
      <c r="A210" s="0" t="n">
        <v>43</v>
      </c>
      <c r="B210" s="187" t="n">
        <v>46064.1654742778</v>
      </c>
      <c r="C210" s="187" t="n">
        <v>46064.1852543704</v>
      </c>
      <c r="D210" s="188" t="s">
        <v>519</v>
      </c>
      <c r="E210" s="188" t="s">
        <v>520</v>
      </c>
      <c r="F210" s="188" t="s">
        <v>520</v>
      </c>
      <c r="G210" s="188" t="s">
        <v>521</v>
      </c>
      <c r="H210" s="187" t="n">
        <v>46044</v>
      </c>
      <c r="I210" s="188" t="s">
        <v>325</v>
      </c>
      <c r="J210" s="188" t="s">
        <v>108</v>
      </c>
      <c r="K210" s="188" t="s">
        <v>522</v>
      </c>
      <c r="L210" s="188" t="s">
        <v>286</v>
      </c>
      <c r="M210" s="188" t="s">
        <v>365</v>
      </c>
      <c r="N210" s="188" t="s">
        <v>523</v>
      </c>
      <c r="O210" s="188" t="s">
        <v>278</v>
      </c>
      <c r="P210" s="188" t="s">
        <v>111</v>
      </c>
      <c r="Q210" s="188" t="s">
        <v>112</v>
      </c>
      <c r="R210" s="188" t="s">
        <v>24</v>
      </c>
      <c r="S210" s="188" t="s">
        <v>152</v>
      </c>
      <c r="T210" s="188" t="s">
        <v>121</v>
      </c>
      <c r="V210" s="188" t="s">
        <v>192</v>
      </c>
      <c r="W210" s="188" t="s">
        <v>124</v>
      </c>
      <c r="X210" s="188" t="s">
        <v>214</v>
      </c>
      <c r="Y210" s="188" t="s">
        <v>1037</v>
      </c>
      <c r="Z210" s="0" t="n">
        <v>1</v>
      </c>
      <c r="AA210" s="188" t="s">
        <v>1053</v>
      </c>
    </row>
    <row r="211" customFormat="false" ht="15" hidden="false" customHeight="true" outlineLevel="0" collapsed="false">
      <c r="A211" s="0" t="n">
        <v>43</v>
      </c>
      <c r="B211" s="187" t="n">
        <v>46064.1654742778</v>
      </c>
      <c r="C211" s="187" t="n">
        <v>46064.1852543704</v>
      </c>
      <c r="D211" s="188" t="s">
        <v>519</v>
      </c>
      <c r="E211" s="188" t="s">
        <v>520</v>
      </c>
      <c r="F211" s="188" t="s">
        <v>520</v>
      </c>
      <c r="G211" s="188" t="s">
        <v>521</v>
      </c>
      <c r="H211" s="187" t="n">
        <v>46044</v>
      </c>
      <c r="I211" s="188" t="s">
        <v>325</v>
      </c>
      <c r="J211" s="188" t="s">
        <v>108</v>
      </c>
      <c r="K211" s="188" t="s">
        <v>522</v>
      </c>
      <c r="L211" s="188" t="s">
        <v>286</v>
      </c>
      <c r="M211" s="188" t="s">
        <v>365</v>
      </c>
      <c r="N211" s="188" t="s">
        <v>523</v>
      </c>
      <c r="O211" s="188" t="s">
        <v>278</v>
      </c>
      <c r="P211" s="188" t="s">
        <v>111</v>
      </c>
      <c r="Q211" s="188" t="s">
        <v>112</v>
      </c>
      <c r="R211" s="188" t="s">
        <v>24</v>
      </c>
      <c r="S211" s="188" t="s">
        <v>152</v>
      </c>
      <c r="T211" s="188" t="s">
        <v>121</v>
      </c>
      <c r="V211" s="188" t="s">
        <v>192</v>
      </c>
      <c r="W211" s="188" t="s">
        <v>124</v>
      </c>
      <c r="X211" s="188" t="s">
        <v>214</v>
      </c>
      <c r="Y211" s="188" t="s">
        <v>1037</v>
      </c>
      <c r="Z211" s="0" t="n">
        <v>2</v>
      </c>
      <c r="AA211" s="188" t="s">
        <v>1038</v>
      </c>
    </row>
    <row r="212" customFormat="false" ht="15" hidden="false" customHeight="true" outlineLevel="0" collapsed="false">
      <c r="A212" s="0" t="n">
        <v>43</v>
      </c>
      <c r="B212" s="187" t="n">
        <v>46064.1654742778</v>
      </c>
      <c r="C212" s="187" t="n">
        <v>46064.1852543704</v>
      </c>
      <c r="D212" s="188" t="s">
        <v>519</v>
      </c>
      <c r="E212" s="188" t="s">
        <v>520</v>
      </c>
      <c r="F212" s="188" t="s">
        <v>520</v>
      </c>
      <c r="G212" s="188" t="s">
        <v>521</v>
      </c>
      <c r="H212" s="187" t="n">
        <v>46044</v>
      </c>
      <c r="I212" s="188" t="s">
        <v>325</v>
      </c>
      <c r="J212" s="188" t="s">
        <v>108</v>
      </c>
      <c r="K212" s="188" t="s">
        <v>522</v>
      </c>
      <c r="L212" s="188" t="s">
        <v>286</v>
      </c>
      <c r="M212" s="188" t="s">
        <v>365</v>
      </c>
      <c r="N212" s="188" t="s">
        <v>523</v>
      </c>
      <c r="O212" s="188" t="s">
        <v>278</v>
      </c>
      <c r="P212" s="188" t="s">
        <v>111</v>
      </c>
      <c r="Q212" s="188" t="s">
        <v>112</v>
      </c>
      <c r="R212" s="188" t="s">
        <v>24</v>
      </c>
      <c r="S212" s="188" t="s">
        <v>152</v>
      </c>
      <c r="T212" s="188" t="s">
        <v>121</v>
      </c>
      <c r="V212" s="188" t="s">
        <v>192</v>
      </c>
      <c r="W212" s="188" t="s">
        <v>124</v>
      </c>
      <c r="X212" s="188" t="s">
        <v>214</v>
      </c>
      <c r="Y212" s="188" t="s">
        <v>1040</v>
      </c>
      <c r="Z212" s="0" t="n">
        <v>1</v>
      </c>
      <c r="AA212" s="188" t="s">
        <v>122</v>
      </c>
    </row>
    <row r="213" customFormat="false" ht="15" hidden="false" customHeight="true" outlineLevel="0" collapsed="false">
      <c r="A213" s="0" t="n">
        <v>43</v>
      </c>
      <c r="B213" s="187" t="n">
        <v>46064.1654742778</v>
      </c>
      <c r="C213" s="187" t="n">
        <v>46064.1852543704</v>
      </c>
      <c r="D213" s="188" t="s">
        <v>519</v>
      </c>
      <c r="E213" s="188" t="s">
        <v>520</v>
      </c>
      <c r="F213" s="188" t="s">
        <v>520</v>
      </c>
      <c r="G213" s="188" t="s">
        <v>521</v>
      </c>
      <c r="H213" s="187" t="n">
        <v>46044</v>
      </c>
      <c r="I213" s="188" t="s">
        <v>325</v>
      </c>
      <c r="J213" s="188" t="s">
        <v>108</v>
      </c>
      <c r="K213" s="188" t="s">
        <v>522</v>
      </c>
      <c r="L213" s="188" t="s">
        <v>286</v>
      </c>
      <c r="M213" s="188" t="s">
        <v>365</v>
      </c>
      <c r="N213" s="188" t="s">
        <v>523</v>
      </c>
      <c r="O213" s="188" t="s">
        <v>278</v>
      </c>
      <c r="P213" s="188" t="s">
        <v>111</v>
      </c>
      <c r="Q213" s="188" t="s">
        <v>112</v>
      </c>
      <c r="R213" s="188" t="s">
        <v>24</v>
      </c>
      <c r="S213" s="188" t="s">
        <v>152</v>
      </c>
      <c r="T213" s="188" t="s">
        <v>121</v>
      </c>
      <c r="V213" s="188" t="s">
        <v>192</v>
      </c>
      <c r="W213" s="188" t="s">
        <v>124</v>
      </c>
      <c r="X213" s="188" t="s">
        <v>214</v>
      </c>
      <c r="Y213" s="188" t="s">
        <v>1040</v>
      </c>
      <c r="Z213" s="0" t="n">
        <v>2</v>
      </c>
      <c r="AA213" s="188" t="s">
        <v>1054</v>
      </c>
    </row>
    <row r="214" customFormat="false" ht="15" hidden="false" customHeight="true" outlineLevel="0" collapsed="false">
      <c r="A214" s="0" t="n">
        <v>44</v>
      </c>
      <c r="B214" s="187" t="n">
        <v>46063.8599377686</v>
      </c>
      <c r="C214" s="187" t="n">
        <v>46063.8631437871</v>
      </c>
      <c r="D214" s="188" t="s">
        <v>527</v>
      </c>
      <c r="E214" s="188" t="s">
        <v>528</v>
      </c>
      <c r="F214" s="188" t="s">
        <v>528</v>
      </c>
      <c r="G214" s="188" t="s">
        <v>529</v>
      </c>
      <c r="H214" s="187" t="n">
        <v>46061</v>
      </c>
      <c r="I214" s="188" t="s">
        <v>113</v>
      </c>
      <c r="J214" s="188" t="s">
        <v>108</v>
      </c>
      <c r="K214" s="188" t="s">
        <v>173</v>
      </c>
      <c r="L214" s="188" t="s">
        <v>296</v>
      </c>
      <c r="M214" s="188" t="s">
        <v>269</v>
      </c>
      <c r="N214" s="188" t="s">
        <v>287</v>
      </c>
      <c r="O214" s="188" t="s">
        <v>244</v>
      </c>
      <c r="P214" s="188" t="s">
        <v>211</v>
      </c>
      <c r="Q214" s="188" t="s">
        <v>112</v>
      </c>
      <c r="R214" s="188" t="s">
        <v>22</v>
      </c>
      <c r="S214" s="188" t="s">
        <v>120</v>
      </c>
      <c r="T214" s="188" t="s">
        <v>400</v>
      </c>
      <c r="U214" s="188" t="s">
        <v>122</v>
      </c>
      <c r="V214" s="188" t="s">
        <v>123</v>
      </c>
      <c r="W214" s="188" t="s">
        <v>139</v>
      </c>
      <c r="X214" s="188" t="s">
        <v>135</v>
      </c>
      <c r="Y214" s="188" t="s">
        <v>1035</v>
      </c>
      <c r="Z214" s="0" t="n">
        <v>1</v>
      </c>
      <c r="AA214" s="188" t="s">
        <v>1044</v>
      </c>
    </row>
    <row r="215" customFormat="false" ht="15" hidden="false" customHeight="true" outlineLevel="0" collapsed="false">
      <c r="A215" s="0" t="n">
        <v>44</v>
      </c>
      <c r="B215" s="187" t="n">
        <v>46063.8599377686</v>
      </c>
      <c r="C215" s="187" t="n">
        <v>46063.8631437871</v>
      </c>
      <c r="D215" s="188" t="s">
        <v>527</v>
      </c>
      <c r="E215" s="188" t="s">
        <v>528</v>
      </c>
      <c r="F215" s="188" t="s">
        <v>528</v>
      </c>
      <c r="G215" s="188" t="s">
        <v>529</v>
      </c>
      <c r="H215" s="187" t="n">
        <v>46061</v>
      </c>
      <c r="I215" s="188" t="s">
        <v>113</v>
      </c>
      <c r="J215" s="188" t="s">
        <v>108</v>
      </c>
      <c r="K215" s="188" t="s">
        <v>173</v>
      </c>
      <c r="L215" s="188" t="s">
        <v>296</v>
      </c>
      <c r="M215" s="188" t="s">
        <v>269</v>
      </c>
      <c r="N215" s="188" t="s">
        <v>287</v>
      </c>
      <c r="O215" s="188" t="s">
        <v>244</v>
      </c>
      <c r="P215" s="188" t="s">
        <v>211</v>
      </c>
      <c r="Q215" s="188" t="s">
        <v>112</v>
      </c>
      <c r="R215" s="188" t="s">
        <v>22</v>
      </c>
      <c r="S215" s="188" t="s">
        <v>120</v>
      </c>
      <c r="T215" s="188" t="s">
        <v>400</v>
      </c>
      <c r="U215" s="188" t="s">
        <v>122</v>
      </c>
      <c r="V215" s="188" t="s">
        <v>123</v>
      </c>
      <c r="W215" s="188" t="s">
        <v>139</v>
      </c>
      <c r="X215" s="188" t="s">
        <v>135</v>
      </c>
      <c r="Y215" s="188" t="s">
        <v>1035</v>
      </c>
      <c r="Z215" s="0" t="n">
        <v>2</v>
      </c>
      <c r="AA215" s="188" t="s">
        <v>1043</v>
      </c>
    </row>
    <row r="216" customFormat="false" ht="15" hidden="false" customHeight="true" outlineLevel="0" collapsed="false">
      <c r="A216" s="0" t="n">
        <v>44</v>
      </c>
      <c r="B216" s="187" t="n">
        <v>46063.8599377686</v>
      </c>
      <c r="C216" s="187" t="n">
        <v>46063.8631437871</v>
      </c>
      <c r="D216" s="188" t="s">
        <v>527</v>
      </c>
      <c r="E216" s="188" t="s">
        <v>528</v>
      </c>
      <c r="F216" s="188" t="s">
        <v>528</v>
      </c>
      <c r="G216" s="188" t="s">
        <v>529</v>
      </c>
      <c r="H216" s="187" t="n">
        <v>46061</v>
      </c>
      <c r="I216" s="188" t="s">
        <v>113</v>
      </c>
      <c r="J216" s="188" t="s">
        <v>108</v>
      </c>
      <c r="K216" s="188" t="s">
        <v>173</v>
      </c>
      <c r="L216" s="188" t="s">
        <v>296</v>
      </c>
      <c r="M216" s="188" t="s">
        <v>269</v>
      </c>
      <c r="N216" s="188" t="s">
        <v>287</v>
      </c>
      <c r="O216" s="188" t="s">
        <v>244</v>
      </c>
      <c r="P216" s="188" t="s">
        <v>211</v>
      </c>
      <c r="Q216" s="188" t="s">
        <v>112</v>
      </c>
      <c r="R216" s="188" t="s">
        <v>22</v>
      </c>
      <c r="S216" s="188" t="s">
        <v>120</v>
      </c>
      <c r="T216" s="188" t="s">
        <v>400</v>
      </c>
      <c r="U216" s="188" t="s">
        <v>122</v>
      </c>
      <c r="V216" s="188" t="s">
        <v>123</v>
      </c>
      <c r="W216" s="188" t="s">
        <v>139</v>
      </c>
      <c r="X216" s="188" t="s">
        <v>135</v>
      </c>
      <c r="Y216" s="188" t="s">
        <v>1037</v>
      </c>
      <c r="Z216" s="0" t="n">
        <v>1</v>
      </c>
      <c r="AA216" s="188" t="s">
        <v>1164</v>
      </c>
    </row>
    <row r="217" customFormat="false" ht="15" hidden="false" customHeight="true" outlineLevel="0" collapsed="false">
      <c r="A217" s="0" t="n">
        <v>44</v>
      </c>
      <c r="B217" s="187" t="n">
        <v>46063.8599377686</v>
      </c>
      <c r="C217" s="187" t="n">
        <v>46063.8631437871</v>
      </c>
      <c r="D217" s="188" t="s">
        <v>527</v>
      </c>
      <c r="E217" s="188" t="s">
        <v>528</v>
      </c>
      <c r="F217" s="188" t="s">
        <v>528</v>
      </c>
      <c r="G217" s="188" t="s">
        <v>529</v>
      </c>
      <c r="H217" s="187" t="n">
        <v>46061</v>
      </c>
      <c r="I217" s="188" t="s">
        <v>113</v>
      </c>
      <c r="J217" s="188" t="s">
        <v>108</v>
      </c>
      <c r="K217" s="188" t="s">
        <v>173</v>
      </c>
      <c r="L217" s="188" t="s">
        <v>296</v>
      </c>
      <c r="M217" s="188" t="s">
        <v>269</v>
      </c>
      <c r="N217" s="188" t="s">
        <v>287</v>
      </c>
      <c r="O217" s="188" t="s">
        <v>244</v>
      </c>
      <c r="P217" s="188" t="s">
        <v>211</v>
      </c>
      <c r="Q217" s="188" t="s">
        <v>112</v>
      </c>
      <c r="R217" s="188" t="s">
        <v>22</v>
      </c>
      <c r="S217" s="188" t="s">
        <v>120</v>
      </c>
      <c r="T217" s="188" t="s">
        <v>400</v>
      </c>
      <c r="U217" s="188" t="s">
        <v>122</v>
      </c>
      <c r="V217" s="188" t="s">
        <v>123</v>
      </c>
      <c r="W217" s="188" t="s">
        <v>139</v>
      </c>
      <c r="X217" s="188" t="s">
        <v>135</v>
      </c>
      <c r="Y217" s="188" t="s">
        <v>1040</v>
      </c>
      <c r="Z217" s="0" t="n">
        <v>1</v>
      </c>
      <c r="AA217" s="188" t="s">
        <v>1165</v>
      </c>
    </row>
    <row r="218" customFormat="false" ht="15" hidden="false" customHeight="true" outlineLevel="0" collapsed="false">
      <c r="A218" s="0" t="n">
        <v>45</v>
      </c>
      <c r="B218" s="187" t="n">
        <v>46202.9184491564</v>
      </c>
      <c r="C218" s="187" t="n">
        <v>46202.9210764712</v>
      </c>
      <c r="D218" s="188" t="s">
        <v>533</v>
      </c>
      <c r="E218" s="188" t="s">
        <v>534</v>
      </c>
      <c r="F218" s="188" t="s">
        <v>534</v>
      </c>
      <c r="G218" s="188" t="s">
        <v>535</v>
      </c>
      <c r="H218" s="187" t="n">
        <v>46192</v>
      </c>
      <c r="I218" s="188" t="s">
        <v>305</v>
      </c>
      <c r="J218" s="188" t="s">
        <v>108</v>
      </c>
      <c r="K218" s="188" t="s">
        <v>232</v>
      </c>
      <c r="L218" s="188" t="s">
        <v>346</v>
      </c>
      <c r="M218" s="188" t="s">
        <v>406</v>
      </c>
      <c r="N218" s="188" t="s">
        <v>234</v>
      </c>
      <c r="O218" s="188" t="s">
        <v>107</v>
      </c>
      <c r="P218" s="188" t="s">
        <v>111</v>
      </c>
      <c r="Q218" s="188" t="s">
        <v>112</v>
      </c>
      <c r="R218" s="188" t="s">
        <v>22</v>
      </c>
      <c r="S218" s="188" t="s">
        <v>152</v>
      </c>
      <c r="T218" s="188" t="s">
        <v>180</v>
      </c>
      <c r="V218" s="188" t="s">
        <v>192</v>
      </c>
      <c r="W218" s="188" t="s">
        <v>139</v>
      </c>
      <c r="X218" s="188" t="s">
        <v>298</v>
      </c>
      <c r="Y218" s="188" t="s">
        <v>1035</v>
      </c>
      <c r="Z218" s="0" t="n">
        <v>1</v>
      </c>
      <c r="AA218" s="188" t="s">
        <v>1166</v>
      </c>
    </row>
    <row r="219" customFormat="false" ht="15" hidden="false" customHeight="true" outlineLevel="0" collapsed="false">
      <c r="A219" s="0" t="n">
        <v>45</v>
      </c>
      <c r="B219" s="187" t="n">
        <v>46202.9184491564</v>
      </c>
      <c r="C219" s="187" t="n">
        <v>46202.9210764712</v>
      </c>
      <c r="D219" s="188" t="s">
        <v>533</v>
      </c>
      <c r="E219" s="188" t="s">
        <v>534</v>
      </c>
      <c r="F219" s="188" t="s">
        <v>534</v>
      </c>
      <c r="G219" s="188" t="s">
        <v>535</v>
      </c>
      <c r="H219" s="187" t="n">
        <v>46192</v>
      </c>
      <c r="I219" s="188" t="s">
        <v>305</v>
      </c>
      <c r="J219" s="188" t="s">
        <v>108</v>
      </c>
      <c r="K219" s="188" t="s">
        <v>232</v>
      </c>
      <c r="L219" s="188" t="s">
        <v>346</v>
      </c>
      <c r="M219" s="188" t="s">
        <v>406</v>
      </c>
      <c r="N219" s="188" t="s">
        <v>234</v>
      </c>
      <c r="O219" s="188" t="s">
        <v>107</v>
      </c>
      <c r="P219" s="188" t="s">
        <v>111</v>
      </c>
      <c r="Q219" s="188" t="s">
        <v>112</v>
      </c>
      <c r="R219" s="188" t="s">
        <v>22</v>
      </c>
      <c r="S219" s="188" t="s">
        <v>152</v>
      </c>
      <c r="T219" s="188" t="s">
        <v>180</v>
      </c>
      <c r="V219" s="188" t="s">
        <v>192</v>
      </c>
      <c r="W219" s="188" t="s">
        <v>139</v>
      </c>
      <c r="X219" s="188" t="s">
        <v>298</v>
      </c>
      <c r="Y219" s="188" t="s">
        <v>1035</v>
      </c>
      <c r="Z219" s="0" t="n">
        <v>2</v>
      </c>
      <c r="AA219" s="188" t="s">
        <v>1167</v>
      </c>
    </row>
    <row r="220" customFormat="false" ht="15" hidden="false" customHeight="true" outlineLevel="0" collapsed="false">
      <c r="A220" s="0" t="n">
        <v>45</v>
      </c>
      <c r="B220" s="187" t="n">
        <v>46202.9184491564</v>
      </c>
      <c r="C220" s="187" t="n">
        <v>46202.9210764712</v>
      </c>
      <c r="D220" s="188" t="s">
        <v>533</v>
      </c>
      <c r="E220" s="188" t="s">
        <v>534</v>
      </c>
      <c r="F220" s="188" t="s">
        <v>534</v>
      </c>
      <c r="G220" s="188" t="s">
        <v>535</v>
      </c>
      <c r="H220" s="187" t="n">
        <v>46192</v>
      </c>
      <c r="I220" s="188" t="s">
        <v>305</v>
      </c>
      <c r="J220" s="188" t="s">
        <v>108</v>
      </c>
      <c r="K220" s="188" t="s">
        <v>232</v>
      </c>
      <c r="L220" s="188" t="s">
        <v>346</v>
      </c>
      <c r="M220" s="188" t="s">
        <v>406</v>
      </c>
      <c r="N220" s="188" t="s">
        <v>234</v>
      </c>
      <c r="O220" s="188" t="s">
        <v>107</v>
      </c>
      <c r="P220" s="188" t="s">
        <v>111</v>
      </c>
      <c r="Q220" s="188" t="s">
        <v>112</v>
      </c>
      <c r="R220" s="188" t="s">
        <v>22</v>
      </c>
      <c r="S220" s="188" t="s">
        <v>152</v>
      </c>
      <c r="T220" s="188" t="s">
        <v>180</v>
      </c>
      <c r="V220" s="188" t="s">
        <v>192</v>
      </c>
      <c r="W220" s="188" t="s">
        <v>139</v>
      </c>
      <c r="X220" s="188" t="s">
        <v>298</v>
      </c>
      <c r="Y220" s="188" t="s">
        <v>1037</v>
      </c>
      <c r="Z220" s="0" t="n">
        <v>1</v>
      </c>
      <c r="AA220" s="188" t="s">
        <v>1168</v>
      </c>
    </row>
    <row r="221" customFormat="false" ht="15" hidden="false" customHeight="true" outlineLevel="0" collapsed="false">
      <c r="A221" s="0" t="n">
        <v>45</v>
      </c>
      <c r="B221" s="187" t="n">
        <v>46202.9184491564</v>
      </c>
      <c r="C221" s="187" t="n">
        <v>46202.9210764712</v>
      </c>
      <c r="D221" s="188" t="s">
        <v>533</v>
      </c>
      <c r="E221" s="188" t="s">
        <v>534</v>
      </c>
      <c r="F221" s="188" t="s">
        <v>534</v>
      </c>
      <c r="G221" s="188" t="s">
        <v>535</v>
      </c>
      <c r="H221" s="187" t="n">
        <v>46192</v>
      </c>
      <c r="I221" s="188" t="s">
        <v>305</v>
      </c>
      <c r="J221" s="188" t="s">
        <v>108</v>
      </c>
      <c r="K221" s="188" t="s">
        <v>232</v>
      </c>
      <c r="L221" s="188" t="s">
        <v>346</v>
      </c>
      <c r="M221" s="188" t="s">
        <v>406</v>
      </c>
      <c r="N221" s="188" t="s">
        <v>234</v>
      </c>
      <c r="O221" s="188" t="s">
        <v>107</v>
      </c>
      <c r="P221" s="188" t="s">
        <v>111</v>
      </c>
      <c r="Q221" s="188" t="s">
        <v>112</v>
      </c>
      <c r="R221" s="188" t="s">
        <v>22</v>
      </c>
      <c r="S221" s="188" t="s">
        <v>152</v>
      </c>
      <c r="T221" s="188" t="s">
        <v>180</v>
      </c>
      <c r="V221" s="188" t="s">
        <v>192</v>
      </c>
      <c r="W221" s="188" t="s">
        <v>139</v>
      </c>
      <c r="X221" s="188" t="s">
        <v>298</v>
      </c>
      <c r="Y221" s="188" t="s">
        <v>1040</v>
      </c>
      <c r="Z221" s="0" t="n">
        <v>1</v>
      </c>
      <c r="AA221" s="188" t="s">
        <v>1169</v>
      </c>
    </row>
    <row r="222" customFormat="false" ht="15" hidden="false" customHeight="true" outlineLevel="0" collapsed="false">
      <c r="A222" s="0" t="n">
        <v>46</v>
      </c>
      <c r="B222" s="187" t="n">
        <v>46160.9522516075</v>
      </c>
      <c r="C222" s="187" t="n">
        <v>46160.9656891075</v>
      </c>
      <c r="D222" s="188" t="s">
        <v>539</v>
      </c>
      <c r="E222" s="188" t="s">
        <v>540</v>
      </c>
      <c r="F222" s="188" t="s">
        <v>541</v>
      </c>
      <c r="G222" s="188" t="s">
        <v>542</v>
      </c>
      <c r="H222" s="187" t="n">
        <v>46151</v>
      </c>
      <c r="I222" s="188" t="s">
        <v>113</v>
      </c>
      <c r="J222" s="188" t="s">
        <v>108</v>
      </c>
      <c r="K222" s="188" t="s">
        <v>196</v>
      </c>
      <c r="L222" s="188" t="s">
        <v>286</v>
      </c>
      <c r="M222" s="188" t="s">
        <v>543</v>
      </c>
      <c r="N222" s="188" t="s">
        <v>544</v>
      </c>
      <c r="O222" s="188" t="s">
        <v>107</v>
      </c>
      <c r="P222" s="188" t="s">
        <v>111</v>
      </c>
      <c r="Q222" s="188" t="s">
        <v>112</v>
      </c>
      <c r="R222" s="188" t="s">
        <v>21</v>
      </c>
      <c r="S222" s="188" t="s">
        <v>152</v>
      </c>
      <c r="T222" s="188" t="s">
        <v>180</v>
      </c>
      <c r="U222" s="188" t="s">
        <v>547</v>
      </c>
      <c r="V222" s="188" t="s">
        <v>192</v>
      </c>
      <c r="W222" s="188" t="s">
        <v>124</v>
      </c>
      <c r="X222" s="188" t="s">
        <v>307</v>
      </c>
      <c r="Y222" s="188" t="s">
        <v>1035</v>
      </c>
      <c r="Z222" s="0" t="n">
        <v>1</v>
      </c>
      <c r="AA222" s="188" t="s">
        <v>1101</v>
      </c>
    </row>
    <row r="223" customFormat="false" ht="15" hidden="false" customHeight="true" outlineLevel="0" collapsed="false">
      <c r="A223" s="0" t="n">
        <v>46</v>
      </c>
      <c r="B223" s="187" t="n">
        <v>46160.9522516075</v>
      </c>
      <c r="C223" s="187" t="n">
        <v>46160.9656891075</v>
      </c>
      <c r="D223" s="188" t="s">
        <v>539</v>
      </c>
      <c r="E223" s="188" t="s">
        <v>540</v>
      </c>
      <c r="F223" s="188" t="s">
        <v>541</v>
      </c>
      <c r="G223" s="188" t="s">
        <v>542</v>
      </c>
      <c r="H223" s="187" t="n">
        <v>46151</v>
      </c>
      <c r="I223" s="188" t="s">
        <v>113</v>
      </c>
      <c r="J223" s="188" t="s">
        <v>108</v>
      </c>
      <c r="K223" s="188" t="s">
        <v>196</v>
      </c>
      <c r="L223" s="188" t="s">
        <v>286</v>
      </c>
      <c r="M223" s="188" t="s">
        <v>543</v>
      </c>
      <c r="N223" s="188" t="s">
        <v>544</v>
      </c>
      <c r="O223" s="188" t="s">
        <v>107</v>
      </c>
      <c r="P223" s="188" t="s">
        <v>111</v>
      </c>
      <c r="Q223" s="188" t="s">
        <v>112</v>
      </c>
      <c r="R223" s="188" t="s">
        <v>21</v>
      </c>
      <c r="S223" s="188" t="s">
        <v>152</v>
      </c>
      <c r="T223" s="188" t="s">
        <v>180</v>
      </c>
      <c r="U223" s="188" t="s">
        <v>547</v>
      </c>
      <c r="V223" s="188" t="s">
        <v>192</v>
      </c>
      <c r="W223" s="188" t="s">
        <v>124</v>
      </c>
      <c r="X223" s="188" t="s">
        <v>307</v>
      </c>
      <c r="Y223" s="188" t="s">
        <v>1035</v>
      </c>
      <c r="Z223" s="0" t="n">
        <v>2</v>
      </c>
      <c r="AA223" s="188" t="s">
        <v>1102</v>
      </c>
    </row>
    <row r="224" customFormat="false" ht="15" hidden="false" customHeight="true" outlineLevel="0" collapsed="false">
      <c r="A224" s="0" t="n">
        <v>46</v>
      </c>
      <c r="B224" s="187" t="n">
        <v>46160.9522516075</v>
      </c>
      <c r="C224" s="187" t="n">
        <v>46160.9656891075</v>
      </c>
      <c r="D224" s="188" t="s">
        <v>539</v>
      </c>
      <c r="E224" s="188" t="s">
        <v>540</v>
      </c>
      <c r="F224" s="188" t="s">
        <v>541</v>
      </c>
      <c r="G224" s="188" t="s">
        <v>542</v>
      </c>
      <c r="H224" s="187" t="n">
        <v>46151</v>
      </c>
      <c r="I224" s="188" t="s">
        <v>113</v>
      </c>
      <c r="J224" s="188" t="s">
        <v>108</v>
      </c>
      <c r="K224" s="188" t="s">
        <v>196</v>
      </c>
      <c r="L224" s="188" t="s">
        <v>286</v>
      </c>
      <c r="M224" s="188" t="s">
        <v>543</v>
      </c>
      <c r="N224" s="188" t="s">
        <v>544</v>
      </c>
      <c r="O224" s="188" t="s">
        <v>107</v>
      </c>
      <c r="P224" s="188" t="s">
        <v>111</v>
      </c>
      <c r="Q224" s="188" t="s">
        <v>112</v>
      </c>
      <c r="R224" s="188" t="s">
        <v>21</v>
      </c>
      <c r="S224" s="188" t="s">
        <v>152</v>
      </c>
      <c r="T224" s="188" t="s">
        <v>180</v>
      </c>
      <c r="U224" s="188" t="s">
        <v>547</v>
      </c>
      <c r="V224" s="188" t="s">
        <v>192</v>
      </c>
      <c r="W224" s="188" t="s">
        <v>124</v>
      </c>
      <c r="X224" s="188" t="s">
        <v>307</v>
      </c>
      <c r="Y224" s="188" t="s">
        <v>1035</v>
      </c>
      <c r="Z224" s="0" t="n">
        <v>3</v>
      </c>
      <c r="AA224" s="188" t="s">
        <v>1100</v>
      </c>
    </row>
    <row r="225" customFormat="false" ht="15" hidden="false" customHeight="true" outlineLevel="0" collapsed="false">
      <c r="A225" s="0" t="n">
        <v>46</v>
      </c>
      <c r="B225" s="187" t="n">
        <v>46160.9522516075</v>
      </c>
      <c r="C225" s="187" t="n">
        <v>46160.9656891075</v>
      </c>
      <c r="D225" s="188" t="s">
        <v>539</v>
      </c>
      <c r="E225" s="188" t="s">
        <v>540</v>
      </c>
      <c r="F225" s="188" t="s">
        <v>541</v>
      </c>
      <c r="G225" s="188" t="s">
        <v>542</v>
      </c>
      <c r="H225" s="187" t="n">
        <v>46151</v>
      </c>
      <c r="I225" s="188" t="s">
        <v>113</v>
      </c>
      <c r="J225" s="188" t="s">
        <v>108</v>
      </c>
      <c r="K225" s="188" t="s">
        <v>196</v>
      </c>
      <c r="L225" s="188" t="s">
        <v>286</v>
      </c>
      <c r="M225" s="188" t="s">
        <v>543</v>
      </c>
      <c r="N225" s="188" t="s">
        <v>544</v>
      </c>
      <c r="O225" s="188" t="s">
        <v>107</v>
      </c>
      <c r="P225" s="188" t="s">
        <v>111</v>
      </c>
      <c r="Q225" s="188" t="s">
        <v>112</v>
      </c>
      <c r="R225" s="188" t="s">
        <v>21</v>
      </c>
      <c r="S225" s="188" t="s">
        <v>152</v>
      </c>
      <c r="T225" s="188" t="s">
        <v>180</v>
      </c>
      <c r="U225" s="188" t="s">
        <v>547</v>
      </c>
      <c r="V225" s="188" t="s">
        <v>192</v>
      </c>
      <c r="W225" s="188" t="s">
        <v>124</v>
      </c>
      <c r="X225" s="188" t="s">
        <v>307</v>
      </c>
      <c r="Y225" s="188" t="s">
        <v>1037</v>
      </c>
      <c r="Z225" s="0" t="n">
        <v>1</v>
      </c>
      <c r="AA225" s="188" t="s">
        <v>1104</v>
      </c>
    </row>
    <row r="226" customFormat="false" ht="15" hidden="false" customHeight="true" outlineLevel="0" collapsed="false">
      <c r="A226" s="0" t="n">
        <v>46</v>
      </c>
      <c r="B226" s="187" t="n">
        <v>46160.9522516075</v>
      </c>
      <c r="C226" s="187" t="n">
        <v>46160.9656891075</v>
      </c>
      <c r="D226" s="188" t="s">
        <v>539</v>
      </c>
      <c r="E226" s="188" t="s">
        <v>540</v>
      </c>
      <c r="F226" s="188" t="s">
        <v>541</v>
      </c>
      <c r="G226" s="188" t="s">
        <v>542</v>
      </c>
      <c r="H226" s="187" t="n">
        <v>46151</v>
      </c>
      <c r="I226" s="188" t="s">
        <v>113</v>
      </c>
      <c r="J226" s="188" t="s">
        <v>108</v>
      </c>
      <c r="K226" s="188" t="s">
        <v>196</v>
      </c>
      <c r="L226" s="188" t="s">
        <v>286</v>
      </c>
      <c r="M226" s="188" t="s">
        <v>543</v>
      </c>
      <c r="N226" s="188" t="s">
        <v>544</v>
      </c>
      <c r="O226" s="188" t="s">
        <v>107</v>
      </c>
      <c r="P226" s="188" t="s">
        <v>111</v>
      </c>
      <c r="Q226" s="188" t="s">
        <v>112</v>
      </c>
      <c r="R226" s="188" t="s">
        <v>21</v>
      </c>
      <c r="S226" s="188" t="s">
        <v>152</v>
      </c>
      <c r="T226" s="188" t="s">
        <v>180</v>
      </c>
      <c r="U226" s="188" t="s">
        <v>547</v>
      </c>
      <c r="V226" s="188" t="s">
        <v>192</v>
      </c>
      <c r="W226" s="188" t="s">
        <v>124</v>
      </c>
      <c r="X226" s="188" t="s">
        <v>307</v>
      </c>
      <c r="Y226" s="188" t="s">
        <v>1040</v>
      </c>
      <c r="Z226" s="0" t="n">
        <v>1</v>
      </c>
      <c r="AA226" s="188" t="s">
        <v>1105</v>
      </c>
    </row>
    <row r="227" customFormat="false" ht="15" hidden="false" customHeight="true" outlineLevel="0" collapsed="false">
      <c r="A227" s="0" t="n">
        <v>46</v>
      </c>
      <c r="B227" s="187" t="n">
        <v>46160.9522516075</v>
      </c>
      <c r="C227" s="187" t="n">
        <v>46160.9656891075</v>
      </c>
      <c r="D227" s="188" t="s">
        <v>539</v>
      </c>
      <c r="E227" s="188" t="s">
        <v>540</v>
      </c>
      <c r="F227" s="188" t="s">
        <v>541</v>
      </c>
      <c r="G227" s="188" t="s">
        <v>542</v>
      </c>
      <c r="H227" s="187" t="n">
        <v>46151</v>
      </c>
      <c r="I227" s="188" t="s">
        <v>113</v>
      </c>
      <c r="J227" s="188" t="s">
        <v>108</v>
      </c>
      <c r="K227" s="188" t="s">
        <v>196</v>
      </c>
      <c r="L227" s="188" t="s">
        <v>286</v>
      </c>
      <c r="M227" s="188" t="s">
        <v>543</v>
      </c>
      <c r="N227" s="188" t="s">
        <v>544</v>
      </c>
      <c r="O227" s="188" t="s">
        <v>107</v>
      </c>
      <c r="P227" s="188" t="s">
        <v>111</v>
      </c>
      <c r="Q227" s="188" t="s">
        <v>112</v>
      </c>
      <c r="R227" s="188" t="s">
        <v>21</v>
      </c>
      <c r="S227" s="188" t="s">
        <v>152</v>
      </c>
      <c r="T227" s="188" t="s">
        <v>180</v>
      </c>
      <c r="U227" s="188" t="s">
        <v>547</v>
      </c>
      <c r="V227" s="188" t="s">
        <v>192</v>
      </c>
      <c r="W227" s="188" t="s">
        <v>124</v>
      </c>
      <c r="X227" s="188" t="s">
        <v>307</v>
      </c>
      <c r="Y227" s="188" t="s">
        <v>1040</v>
      </c>
      <c r="Z227" s="0" t="n">
        <v>2</v>
      </c>
      <c r="AA227" s="188" t="s">
        <v>1106</v>
      </c>
    </row>
    <row r="228" customFormat="false" ht="15" hidden="false" customHeight="true" outlineLevel="0" collapsed="false">
      <c r="A228" s="0" t="n">
        <v>47</v>
      </c>
      <c r="B228" s="187" t="n">
        <v>46139.5223570502</v>
      </c>
      <c r="C228" s="187" t="n">
        <v>46139.5382135316</v>
      </c>
      <c r="D228" s="188" t="s">
        <v>548</v>
      </c>
      <c r="E228" s="188" t="s">
        <v>549</v>
      </c>
      <c r="F228" s="188" t="s">
        <v>549</v>
      </c>
      <c r="G228" s="188" t="s">
        <v>550</v>
      </c>
      <c r="H228" s="187" t="n">
        <v>46125</v>
      </c>
      <c r="I228" s="188" t="s">
        <v>551</v>
      </c>
      <c r="J228" s="188" t="s">
        <v>108</v>
      </c>
      <c r="K228" s="188" t="s">
        <v>196</v>
      </c>
      <c r="L228" s="188" t="s">
        <v>286</v>
      </c>
      <c r="M228" s="188" t="s">
        <v>160</v>
      </c>
      <c r="N228" s="188" t="s">
        <v>552</v>
      </c>
      <c r="O228" s="188" t="s">
        <v>107</v>
      </c>
      <c r="P228" s="188" t="s">
        <v>111</v>
      </c>
      <c r="Q228" s="188" t="s">
        <v>247</v>
      </c>
      <c r="R228" s="188" t="s">
        <v>22</v>
      </c>
      <c r="S228" s="188" t="s">
        <v>152</v>
      </c>
      <c r="T228" s="188" t="s">
        <v>121</v>
      </c>
      <c r="U228" s="188" t="s">
        <v>122</v>
      </c>
      <c r="V228" s="188" t="s">
        <v>192</v>
      </c>
      <c r="W228" s="188" t="s">
        <v>124</v>
      </c>
      <c r="X228" s="188" t="s">
        <v>339</v>
      </c>
      <c r="Y228" s="188" t="s">
        <v>1035</v>
      </c>
      <c r="Z228" s="0" t="n">
        <v>1</v>
      </c>
      <c r="AA228" s="188" t="s">
        <v>1140</v>
      </c>
    </row>
    <row r="229" customFormat="false" ht="15" hidden="false" customHeight="true" outlineLevel="0" collapsed="false">
      <c r="A229" s="0" t="n">
        <v>47</v>
      </c>
      <c r="B229" s="187" t="n">
        <v>46139.5223570502</v>
      </c>
      <c r="C229" s="187" t="n">
        <v>46139.5382135316</v>
      </c>
      <c r="D229" s="188" t="s">
        <v>548</v>
      </c>
      <c r="E229" s="188" t="s">
        <v>549</v>
      </c>
      <c r="F229" s="188" t="s">
        <v>549</v>
      </c>
      <c r="G229" s="188" t="s">
        <v>550</v>
      </c>
      <c r="H229" s="187" t="n">
        <v>46125</v>
      </c>
      <c r="I229" s="188" t="s">
        <v>551</v>
      </c>
      <c r="J229" s="188" t="s">
        <v>108</v>
      </c>
      <c r="K229" s="188" t="s">
        <v>196</v>
      </c>
      <c r="L229" s="188" t="s">
        <v>286</v>
      </c>
      <c r="M229" s="188" t="s">
        <v>160</v>
      </c>
      <c r="N229" s="188" t="s">
        <v>552</v>
      </c>
      <c r="O229" s="188" t="s">
        <v>107</v>
      </c>
      <c r="P229" s="188" t="s">
        <v>111</v>
      </c>
      <c r="Q229" s="188" t="s">
        <v>247</v>
      </c>
      <c r="R229" s="188" t="s">
        <v>22</v>
      </c>
      <c r="S229" s="188" t="s">
        <v>152</v>
      </c>
      <c r="T229" s="188" t="s">
        <v>121</v>
      </c>
      <c r="U229" s="188" t="s">
        <v>122</v>
      </c>
      <c r="V229" s="188" t="s">
        <v>192</v>
      </c>
      <c r="W229" s="188" t="s">
        <v>124</v>
      </c>
      <c r="X229" s="188" t="s">
        <v>339</v>
      </c>
      <c r="Y229" s="188" t="s">
        <v>1035</v>
      </c>
      <c r="Z229" s="0" t="n">
        <v>2</v>
      </c>
      <c r="AA229" s="188" t="s">
        <v>1170</v>
      </c>
    </row>
    <row r="230" customFormat="false" ht="15" hidden="false" customHeight="true" outlineLevel="0" collapsed="false">
      <c r="A230" s="0" t="n">
        <v>47</v>
      </c>
      <c r="B230" s="187" t="n">
        <v>46139.5223570502</v>
      </c>
      <c r="C230" s="187" t="n">
        <v>46139.5382135316</v>
      </c>
      <c r="D230" s="188" t="s">
        <v>548</v>
      </c>
      <c r="E230" s="188" t="s">
        <v>549</v>
      </c>
      <c r="F230" s="188" t="s">
        <v>549</v>
      </c>
      <c r="G230" s="188" t="s">
        <v>550</v>
      </c>
      <c r="H230" s="187" t="n">
        <v>46125</v>
      </c>
      <c r="I230" s="188" t="s">
        <v>551</v>
      </c>
      <c r="J230" s="188" t="s">
        <v>108</v>
      </c>
      <c r="K230" s="188" t="s">
        <v>196</v>
      </c>
      <c r="L230" s="188" t="s">
        <v>286</v>
      </c>
      <c r="M230" s="188" t="s">
        <v>160</v>
      </c>
      <c r="N230" s="188" t="s">
        <v>552</v>
      </c>
      <c r="O230" s="188" t="s">
        <v>107</v>
      </c>
      <c r="P230" s="188" t="s">
        <v>111</v>
      </c>
      <c r="Q230" s="188" t="s">
        <v>247</v>
      </c>
      <c r="R230" s="188" t="s">
        <v>22</v>
      </c>
      <c r="S230" s="188" t="s">
        <v>152</v>
      </c>
      <c r="T230" s="188" t="s">
        <v>121</v>
      </c>
      <c r="U230" s="188" t="s">
        <v>122</v>
      </c>
      <c r="V230" s="188" t="s">
        <v>192</v>
      </c>
      <c r="W230" s="188" t="s">
        <v>124</v>
      </c>
      <c r="X230" s="188" t="s">
        <v>339</v>
      </c>
      <c r="Y230" s="188" t="s">
        <v>1035</v>
      </c>
      <c r="Z230" s="0" t="n">
        <v>3</v>
      </c>
      <c r="AA230" s="188" t="s">
        <v>1171</v>
      </c>
    </row>
    <row r="231" customFormat="false" ht="15" hidden="false" customHeight="true" outlineLevel="0" collapsed="false">
      <c r="A231" s="0" t="n">
        <v>47</v>
      </c>
      <c r="B231" s="187" t="n">
        <v>46139.5223570502</v>
      </c>
      <c r="C231" s="187" t="n">
        <v>46139.5382135316</v>
      </c>
      <c r="D231" s="188" t="s">
        <v>548</v>
      </c>
      <c r="E231" s="188" t="s">
        <v>549</v>
      </c>
      <c r="F231" s="188" t="s">
        <v>549</v>
      </c>
      <c r="G231" s="188" t="s">
        <v>550</v>
      </c>
      <c r="H231" s="187" t="n">
        <v>46125</v>
      </c>
      <c r="I231" s="188" t="s">
        <v>551</v>
      </c>
      <c r="J231" s="188" t="s">
        <v>108</v>
      </c>
      <c r="K231" s="188" t="s">
        <v>196</v>
      </c>
      <c r="L231" s="188" t="s">
        <v>286</v>
      </c>
      <c r="M231" s="188" t="s">
        <v>160</v>
      </c>
      <c r="N231" s="188" t="s">
        <v>552</v>
      </c>
      <c r="O231" s="188" t="s">
        <v>107</v>
      </c>
      <c r="P231" s="188" t="s">
        <v>111</v>
      </c>
      <c r="Q231" s="188" t="s">
        <v>247</v>
      </c>
      <c r="R231" s="188" t="s">
        <v>22</v>
      </c>
      <c r="S231" s="188" t="s">
        <v>152</v>
      </c>
      <c r="T231" s="188" t="s">
        <v>121</v>
      </c>
      <c r="U231" s="188" t="s">
        <v>122</v>
      </c>
      <c r="V231" s="188" t="s">
        <v>192</v>
      </c>
      <c r="W231" s="188" t="s">
        <v>124</v>
      </c>
      <c r="X231" s="188" t="s">
        <v>339</v>
      </c>
      <c r="Y231" s="188" t="s">
        <v>1037</v>
      </c>
      <c r="Z231" s="0" t="n">
        <v>1</v>
      </c>
      <c r="AA231" s="188" t="s">
        <v>1114</v>
      </c>
    </row>
    <row r="232" customFormat="false" ht="15" hidden="false" customHeight="true" outlineLevel="0" collapsed="false">
      <c r="A232" s="0" t="n">
        <v>47</v>
      </c>
      <c r="B232" s="187" t="n">
        <v>46139.5223570502</v>
      </c>
      <c r="C232" s="187" t="n">
        <v>46139.5382135316</v>
      </c>
      <c r="D232" s="188" t="s">
        <v>548</v>
      </c>
      <c r="E232" s="188" t="s">
        <v>549</v>
      </c>
      <c r="F232" s="188" t="s">
        <v>549</v>
      </c>
      <c r="G232" s="188" t="s">
        <v>550</v>
      </c>
      <c r="H232" s="187" t="n">
        <v>46125</v>
      </c>
      <c r="I232" s="188" t="s">
        <v>551</v>
      </c>
      <c r="J232" s="188" t="s">
        <v>108</v>
      </c>
      <c r="K232" s="188" t="s">
        <v>196</v>
      </c>
      <c r="L232" s="188" t="s">
        <v>286</v>
      </c>
      <c r="M232" s="188" t="s">
        <v>160</v>
      </c>
      <c r="N232" s="188" t="s">
        <v>552</v>
      </c>
      <c r="O232" s="188" t="s">
        <v>107</v>
      </c>
      <c r="P232" s="188" t="s">
        <v>111</v>
      </c>
      <c r="Q232" s="188" t="s">
        <v>247</v>
      </c>
      <c r="R232" s="188" t="s">
        <v>22</v>
      </c>
      <c r="S232" s="188" t="s">
        <v>152</v>
      </c>
      <c r="T232" s="188" t="s">
        <v>121</v>
      </c>
      <c r="U232" s="188" t="s">
        <v>122</v>
      </c>
      <c r="V232" s="188" t="s">
        <v>192</v>
      </c>
      <c r="W232" s="188" t="s">
        <v>124</v>
      </c>
      <c r="X232" s="188" t="s">
        <v>339</v>
      </c>
      <c r="Y232" s="188" t="s">
        <v>1040</v>
      </c>
      <c r="Z232" s="0" t="n">
        <v>1</v>
      </c>
      <c r="AA232" s="188" t="s">
        <v>1172</v>
      </c>
    </row>
    <row r="233" customFormat="false" ht="15" hidden="false" customHeight="true" outlineLevel="0" collapsed="false">
      <c r="A233" s="0" t="n">
        <v>48</v>
      </c>
      <c r="B233" s="187" t="n">
        <v>46042.9623497678</v>
      </c>
      <c r="C233" s="187" t="n">
        <v>46042.9743868048</v>
      </c>
      <c r="D233" s="188" t="s">
        <v>556</v>
      </c>
      <c r="E233" s="188" t="s">
        <v>557</v>
      </c>
      <c r="F233" s="188" t="s">
        <v>558</v>
      </c>
      <c r="G233" s="188" t="s">
        <v>559</v>
      </c>
      <c r="H233" s="187" t="n">
        <v>46029</v>
      </c>
      <c r="I233" s="188" t="s">
        <v>113</v>
      </c>
      <c r="J233" s="188" t="s">
        <v>128</v>
      </c>
      <c r="K233" s="188" t="s">
        <v>257</v>
      </c>
      <c r="L233" s="188" t="s">
        <v>246</v>
      </c>
      <c r="M233" s="188" t="s">
        <v>212</v>
      </c>
      <c r="N233" s="188" t="s">
        <v>560</v>
      </c>
      <c r="O233" s="188" t="s">
        <v>107</v>
      </c>
      <c r="P233" s="188" t="s">
        <v>111</v>
      </c>
      <c r="Q233" s="188" t="s">
        <v>112</v>
      </c>
      <c r="R233" s="188" t="s">
        <v>22</v>
      </c>
      <c r="S233" s="188" t="s">
        <v>120</v>
      </c>
      <c r="T233" s="188" t="s">
        <v>121</v>
      </c>
      <c r="U233" s="188" t="s">
        <v>562</v>
      </c>
      <c r="V233" s="188" t="s">
        <v>192</v>
      </c>
      <c r="W233" s="188" t="s">
        <v>124</v>
      </c>
      <c r="X233" s="188" t="s">
        <v>135</v>
      </c>
      <c r="Y233" s="188" t="s">
        <v>1035</v>
      </c>
      <c r="Z233" s="0" t="n">
        <v>1</v>
      </c>
      <c r="AA233" s="188" t="s">
        <v>1044</v>
      </c>
    </row>
    <row r="234" customFormat="false" ht="15" hidden="false" customHeight="true" outlineLevel="0" collapsed="false">
      <c r="A234" s="0" t="n">
        <v>48</v>
      </c>
      <c r="B234" s="187" t="n">
        <v>46042.9623497678</v>
      </c>
      <c r="C234" s="187" t="n">
        <v>46042.9743868048</v>
      </c>
      <c r="D234" s="188" t="s">
        <v>556</v>
      </c>
      <c r="E234" s="188" t="s">
        <v>557</v>
      </c>
      <c r="F234" s="188" t="s">
        <v>558</v>
      </c>
      <c r="G234" s="188" t="s">
        <v>559</v>
      </c>
      <c r="H234" s="187" t="n">
        <v>46029</v>
      </c>
      <c r="I234" s="188" t="s">
        <v>113</v>
      </c>
      <c r="J234" s="188" t="s">
        <v>128</v>
      </c>
      <c r="K234" s="188" t="s">
        <v>257</v>
      </c>
      <c r="L234" s="188" t="s">
        <v>246</v>
      </c>
      <c r="M234" s="188" t="s">
        <v>212</v>
      </c>
      <c r="N234" s="188" t="s">
        <v>560</v>
      </c>
      <c r="O234" s="188" t="s">
        <v>107</v>
      </c>
      <c r="P234" s="188" t="s">
        <v>111</v>
      </c>
      <c r="Q234" s="188" t="s">
        <v>112</v>
      </c>
      <c r="R234" s="188" t="s">
        <v>22</v>
      </c>
      <c r="S234" s="188" t="s">
        <v>120</v>
      </c>
      <c r="T234" s="188" t="s">
        <v>121</v>
      </c>
      <c r="U234" s="188" t="s">
        <v>562</v>
      </c>
      <c r="V234" s="188" t="s">
        <v>192</v>
      </c>
      <c r="W234" s="188" t="s">
        <v>124</v>
      </c>
      <c r="X234" s="188" t="s">
        <v>135</v>
      </c>
      <c r="Y234" s="188" t="s">
        <v>1035</v>
      </c>
      <c r="Z234" s="0" t="n">
        <v>2</v>
      </c>
      <c r="AA234" s="188" t="s">
        <v>1043</v>
      </c>
    </row>
    <row r="235" customFormat="false" ht="15" hidden="false" customHeight="true" outlineLevel="0" collapsed="false">
      <c r="A235" s="0" t="n">
        <v>48</v>
      </c>
      <c r="B235" s="187" t="n">
        <v>46042.9623497678</v>
      </c>
      <c r="C235" s="187" t="n">
        <v>46042.9743868048</v>
      </c>
      <c r="D235" s="188" t="s">
        <v>556</v>
      </c>
      <c r="E235" s="188" t="s">
        <v>557</v>
      </c>
      <c r="F235" s="188" t="s">
        <v>558</v>
      </c>
      <c r="G235" s="188" t="s">
        <v>559</v>
      </c>
      <c r="H235" s="187" t="n">
        <v>46029</v>
      </c>
      <c r="I235" s="188" t="s">
        <v>113</v>
      </c>
      <c r="J235" s="188" t="s">
        <v>128</v>
      </c>
      <c r="K235" s="188" t="s">
        <v>257</v>
      </c>
      <c r="L235" s="188" t="s">
        <v>246</v>
      </c>
      <c r="M235" s="188" t="s">
        <v>212</v>
      </c>
      <c r="N235" s="188" t="s">
        <v>560</v>
      </c>
      <c r="O235" s="188" t="s">
        <v>107</v>
      </c>
      <c r="P235" s="188" t="s">
        <v>111</v>
      </c>
      <c r="Q235" s="188" t="s">
        <v>112</v>
      </c>
      <c r="R235" s="188" t="s">
        <v>22</v>
      </c>
      <c r="S235" s="188" t="s">
        <v>120</v>
      </c>
      <c r="T235" s="188" t="s">
        <v>121</v>
      </c>
      <c r="U235" s="188" t="s">
        <v>562</v>
      </c>
      <c r="V235" s="188" t="s">
        <v>192</v>
      </c>
      <c r="W235" s="188" t="s">
        <v>124</v>
      </c>
      <c r="X235" s="188" t="s">
        <v>135</v>
      </c>
      <c r="Y235" s="188" t="s">
        <v>1037</v>
      </c>
      <c r="Z235" s="0" t="n">
        <v>1</v>
      </c>
      <c r="AA235" s="188" t="s">
        <v>1164</v>
      </c>
    </row>
    <row r="236" customFormat="false" ht="15" hidden="false" customHeight="true" outlineLevel="0" collapsed="false">
      <c r="A236" s="0" t="n">
        <v>48</v>
      </c>
      <c r="B236" s="187" t="n">
        <v>46042.9623497678</v>
      </c>
      <c r="C236" s="187" t="n">
        <v>46042.9743868048</v>
      </c>
      <c r="D236" s="188" t="s">
        <v>556</v>
      </c>
      <c r="E236" s="188" t="s">
        <v>557</v>
      </c>
      <c r="F236" s="188" t="s">
        <v>558</v>
      </c>
      <c r="G236" s="188" t="s">
        <v>559</v>
      </c>
      <c r="H236" s="187" t="n">
        <v>46029</v>
      </c>
      <c r="I236" s="188" t="s">
        <v>113</v>
      </c>
      <c r="J236" s="188" t="s">
        <v>128</v>
      </c>
      <c r="K236" s="188" t="s">
        <v>257</v>
      </c>
      <c r="L236" s="188" t="s">
        <v>246</v>
      </c>
      <c r="M236" s="188" t="s">
        <v>212</v>
      </c>
      <c r="N236" s="188" t="s">
        <v>560</v>
      </c>
      <c r="O236" s="188" t="s">
        <v>107</v>
      </c>
      <c r="P236" s="188" t="s">
        <v>111</v>
      </c>
      <c r="Q236" s="188" t="s">
        <v>112</v>
      </c>
      <c r="R236" s="188" t="s">
        <v>22</v>
      </c>
      <c r="S236" s="188" t="s">
        <v>120</v>
      </c>
      <c r="T236" s="188" t="s">
        <v>121</v>
      </c>
      <c r="U236" s="188" t="s">
        <v>562</v>
      </c>
      <c r="V236" s="188" t="s">
        <v>192</v>
      </c>
      <c r="W236" s="188" t="s">
        <v>124</v>
      </c>
      <c r="X236" s="188" t="s">
        <v>135</v>
      </c>
      <c r="Y236" s="188" t="s">
        <v>1040</v>
      </c>
      <c r="Z236" s="0" t="n">
        <v>1</v>
      </c>
      <c r="AA236" s="188" t="s">
        <v>1046</v>
      </c>
    </row>
    <row r="237" customFormat="false" ht="15" hidden="false" customHeight="true" outlineLevel="0" collapsed="false">
      <c r="A237" s="0" t="n">
        <v>49</v>
      </c>
      <c r="B237" s="187" t="n">
        <v>46048.4323150061</v>
      </c>
      <c r="C237" s="187" t="n">
        <v>46048.4467015802</v>
      </c>
      <c r="D237" s="188" t="s">
        <v>563</v>
      </c>
      <c r="E237" s="188" t="s">
        <v>564</v>
      </c>
      <c r="F237" s="188" t="s">
        <v>564</v>
      </c>
      <c r="G237" s="188" t="s">
        <v>565</v>
      </c>
      <c r="H237" s="187" t="n">
        <v>46035</v>
      </c>
      <c r="I237" s="188" t="s">
        <v>113</v>
      </c>
      <c r="J237" s="188" t="s">
        <v>108</v>
      </c>
      <c r="K237" s="188" t="s">
        <v>173</v>
      </c>
      <c r="L237" s="188" t="s">
        <v>184</v>
      </c>
      <c r="M237" s="188" t="s">
        <v>566</v>
      </c>
      <c r="N237" s="188" t="s">
        <v>567</v>
      </c>
      <c r="O237" s="188" t="s">
        <v>107</v>
      </c>
      <c r="P237" s="188" t="s">
        <v>111</v>
      </c>
      <c r="Q237" s="188" t="s">
        <v>145</v>
      </c>
      <c r="R237" s="188" t="s">
        <v>22</v>
      </c>
      <c r="S237" s="188" t="s">
        <v>152</v>
      </c>
      <c r="T237" s="188" t="s">
        <v>180</v>
      </c>
      <c r="U237" s="188" t="s">
        <v>122</v>
      </c>
      <c r="V237" s="188" t="s">
        <v>192</v>
      </c>
      <c r="W237" s="188" t="s">
        <v>124</v>
      </c>
      <c r="X237" s="188" t="s">
        <v>135</v>
      </c>
      <c r="Y237" s="188" t="s">
        <v>1035</v>
      </c>
      <c r="Z237" s="0" t="n">
        <v>1</v>
      </c>
      <c r="AA237" s="188" t="s">
        <v>1173</v>
      </c>
    </row>
    <row r="238" customFormat="false" ht="15" hidden="false" customHeight="true" outlineLevel="0" collapsed="false">
      <c r="A238" s="0" t="n">
        <v>49</v>
      </c>
      <c r="B238" s="187" t="n">
        <v>46048.4323150061</v>
      </c>
      <c r="C238" s="187" t="n">
        <v>46048.4467015802</v>
      </c>
      <c r="D238" s="188" t="s">
        <v>563</v>
      </c>
      <c r="E238" s="188" t="s">
        <v>564</v>
      </c>
      <c r="F238" s="188" t="s">
        <v>564</v>
      </c>
      <c r="G238" s="188" t="s">
        <v>565</v>
      </c>
      <c r="H238" s="187" t="n">
        <v>46035</v>
      </c>
      <c r="I238" s="188" t="s">
        <v>113</v>
      </c>
      <c r="J238" s="188" t="s">
        <v>108</v>
      </c>
      <c r="K238" s="188" t="s">
        <v>173</v>
      </c>
      <c r="L238" s="188" t="s">
        <v>184</v>
      </c>
      <c r="M238" s="188" t="s">
        <v>566</v>
      </c>
      <c r="N238" s="188" t="s">
        <v>567</v>
      </c>
      <c r="O238" s="188" t="s">
        <v>107</v>
      </c>
      <c r="P238" s="188" t="s">
        <v>111</v>
      </c>
      <c r="Q238" s="188" t="s">
        <v>145</v>
      </c>
      <c r="R238" s="188" t="s">
        <v>22</v>
      </c>
      <c r="S238" s="188" t="s">
        <v>152</v>
      </c>
      <c r="T238" s="188" t="s">
        <v>180</v>
      </c>
      <c r="U238" s="188" t="s">
        <v>122</v>
      </c>
      <c r="V238" s="188" t="s">
        <v>192</v>
      </c>
      <c r="W238" s="188" t="s">
        <v>124</v>
      </c>
      <c r="X238" s="188" t="s">
        <v>135</v>
      </c>
      <c r="Y238" s="188" t="s">
        <v>1035</v>
      </c>
      <c r="Z238" s="0" t="n">
        <v>2</v>
      </c>
      <c r="AA238" s="188" t="s">
        <v>1174</v>
      </c>
    </row>
    <row r="239" customFormat="false" ht="15" hidden="false" customHeight="true" outlineLevel="0" collapsed="false">
      <c r="A239" s="0" t="n">
        <v>49</v>
      </c>
      <c r="B239" s="187" t="n">
        <v>46048.4323150061</v>
      </c>
      <c r="C239" s="187" t="n">
        <v>46048.4467015802</v>
      </c>
      <c r="D239" s="188" t="s">
        <v>563</v>
      </c>
      <c r="E239" s="188" t="s">
        <v>564</v>
      </c>
      <c r="F239" s="188" t="s">
        <v>564</v>
      </c>
      <c r="G239" s="188" t="s">
        <v>565</v>
      </c>
      <c r="H239" s="187" t="n">
        <v>46035</v>
      </c>
      <c r="I239" s="188" t="s">
        <v>113</v>
      </c>
      <c r="J239" s="188" t="s">
        <v>108</v>
      </c>
      <c r="K239" s="188" t="s">
        <v>173</v>
      </c>
      <c r="L239" s="188" t="s">
        <v>184</v>
      </c>
      <c r="M239" s="188" t="s">
        <v>566</v>
      </c>
      <c r="N239" s="188" t="s">
        <v>567</v>
      </c>
      <c r="O239" s="188" t="s">
        <v>107</v>
      </c>
      <c r="P239" s="188" t="s">
        <v>111</v>
      </c>
      <c r="Q239" s="188" t="s">
        <v>145</v>
      </c>
      <c r="R239" s="188" t="s">
        <v>22</v>
      </c>
      <c r="S239" s="188" t="s">
        <v>152</v>
      </c>
      <c r="T239" s="188" t="s">
        <v>180</v>
      </c>
      <c r="U239" s="188" t="s">
        <v>122</v>
      </c>
      <c r="V239" s="188" t="s">
        <v>192</v>
      </c>
      <c r="W239" s="188" t="s">
        <v>124</v>
      </c>
      <c r="X239" s="188" t="s">
        <v>135</v>
      </c>
      <c r="Y239" s="188" t="s">
        <v>1035</v>
      </c>
      <c r="Z239" s="0" t="n">
        <v>3</v>
      </c>
      <c r="AA239" s="188" t="s">
        <v>1042</v>
      </c>
    </row>
    <row r="240" customFormat="false" ht="15" hidden="false" customHeight="true" outlineLevel="0" collapsed="false">
      <c r="A240" s="0" t="n">
        <v>49</v>
      </c>
      <c r="B240" s="187" t="n">
        <v>46048.4323150061</v>
      </c>
      <c r="C240" s="187" t="n">
        <v>46048.4467015802</v>
      </c>
      <c r="D240" s="188" t="s">
        <v>563</v>
      </c>
      <c r="E240" s="188" t="s">
        <v>564</v>
      </c>
      <c r="F240" s="188" t="s">
        <v>564</v>
      </c>
      <c r="G240" s="188" t="s">
        <v>565</v>
      </c>
      <c r="H240" s="187" t="n">
        <v>46035</v>
      </c>
      <c r="I240" s="188" t="s">
        <v>113</v>
      </c>
      <c r="J240" s="188" t="s">
        <v>108</v>
      </c>
      <c r="K240" s="188" t="s">
        <v>173</v>
      </c>
      <c r="L240" s="188" t="s">
        <v>184</v>
      </c>
      <c r="M240" s="188" t="s">
        <v>566</v>
      </c>
      <c r="N240" s="188" t="s">
        <v>567</v>
      </c>
      <c r="O240" s="188" t="s">
        <v>107</v>
      </c>
      <c r="P240" s="188" t="s">
        <v>111</v>
      </c>
      <c r="Q240" s="188" t="s">
        <v>145</v>
      </c>
      <c r="R240" s="188" t="s">
        <v>22</v>
      </c>
      <c r="S240" s="188" t="s">
        <v>152</v>
      </c>
      <c r="T240" s="188" t="s">
        <v>180</v>
      </c>
      <c r="U240" s="188" t="s">
        <v>122</v>
      </c>
      <c r="V240" s="188" t="s">
        <v>192</v>
      </c>
      <c r="W240" s="188" t="s">
        <v>124</v>
      </c>
      <c r="X240" s="188" t="s">
        <v>135</v>
      </c>
      <c r="Y240" s="188" t="s">
        <v>1037</v>
      </c>
      <c r="Z240" s="0" t="n">
        <v>1</v>
      </c>
      <c r="AA240" s="188" t="s">
        <v>122</v>
      </c>
    </row>
    <row r="241" customFormat="false" ht="15" hidden="false" customHeight="true" outlineLevel="0" collapsed="false">
      <c r="A241" s="0" t="n">
        <v>49</v>
      </c>
      <c r="B241" s="187" t="n">
        <v>46048.4323150061</v>
      </c>
      <c r="C241" s="187" t="n">
        <v>46048.4467015802</v>
      </c>
      <c r="D241" s="188" t="s">
        <v>563</v>
      </c>
      <c r="E241" s="188" t="s">
        <v>564</v>
      </c>
      <c r="F241" s="188" t="s">
        <v>564</v>
      </c>
      <c r="G241" s="188" t="s">
        <v>565</v>
      </c>
      <c r="H241" s="187" t="n">
        <v>46035</v>
      </c>
      <c r="I241" s="188" t="s">
        <v>113</v>
      </c>
      <c r="J241" s="188" t="s">
        <v>108</v>
      </c>
      <c r="K241" s="188" t="s">
        <v>173</v>
      </c>
      <c r="L241" s="188" t="s">
        <v>184</v>
      </c>
      <c r="M241" s="188" t="s">
        <v>566</v>
      </c>
      <c r="N241" s="188" t="s">
        <v>567</v>
      </c>
      <c r="O241" s="188" t="s">
        <v>107</v>
      </c>
      <c r="P241" s="188" t="s">
        <v>111</v>
      </c>
      <c r="Q241" s="188" t="s">
        <v>145</v>
      </c>
      <c r="R241" s="188" t="s">
        <v>22</v>
      </c>
      <c r="S241" s="188" t="s">
        <v>152</v>
      </c>
      <c r="T241" s="188" t="s">
        <v>180</v>
      </c>
      <c r="U241" s="188" t="s">
        <v>122</v>
      </c>
      <c r="V241" s="188" t="s">
        <v>192</v>
      </c>
      <c r="W241" s="188" t="s">
        <v>124</v>
      </c>
      <c r="X241" s="188" t="s">
        <v>135</v>
      </c>
      <c r="Y241" s="188" t="s">
        <v>1040</v>
      </c>
      <c r="Z241" s="0" t="n">
        <v>1</v>
      </c>
      <c r="AA241" s="188" t="s">
        <v>1175</v>
      </c>
    </row>
    <row r="242" customFormat="false" ht="15" hidden="false" customHeight="true" outlineLevel="0" collapsed="false">
      <c r="A242" s="0" t="n">
        <v>49</v>
      </c>
      <c r="B242" s="187" t="n">
        <v>46048.4323150061</v>
      </c>
      <c r="C242" s="187" t="n">
        <v>46048.4467015802</v>
      </c>
      <c r="D242" s="188" t="s">
        <v>563</v>
      </c>
      <c r="E242" s="188" t="s">
        <v>564</v>
      </c>
      <c r="F242" s="188" t="s">
        <v>564</v>
      </c>
      <c r="G242" s="188" t="s">
        <v>565</v>
      </c>
      <c r="H242" s="187" t="n">
        <v>46035</v>
      </c>
      <c r="I242" s="188" t="s">
        <v>113</v>
      </c>
      <c r="J242" s="188" t="s">
        <v>108</v>
      </c>
      <c r="K242" s="188" t="s">
        <v>173</v>
      </c>
      <c r="L242" s="188" t="s">
        <v>184</v>
      </c>
      <c r="M242" s="188" t="s">
        <v>566</v>
      </c>
      <c r="N242" s="188" t="s">
        <v>567</v>
      </c>
      <c r="O242" s="188" t="s">
        <v>107</v>
      </c>
      <c r="P242" s="188" t="s">
        <v>111</v>
      </c>
      <c r="Q242" s="188" t="s">
        <v>145</v>
      </c>
      <c r="R242" s="188" t="s">
        <v>22</v>
      </c>
      <c r="S242" s="188" t="s">
        <v>152</v>
      </c>
      <c r="T242" s="188" t="s">
        <v>180</v>
      </c>
      <c r="U242" s="188" t="s">
        <v>122</v>
      </c>
      <c r="V242" s="188" t="s">
        <v>192</v>
      </c>
      <c r="W242" s="188" t="s">
        <v>124</v>
      </c>
      <c r="X242" s="188" t="s">
        <v>135</v>
      </c>
      <c r="Y242" s="188" t="s">
        <v>1040</v>
      </c>
      <c r="Z242" s="0" t="n">
        <v>2</v>
      </c>
      <c r="AA242" s="188" t="s">
        <v>1124</v>
      </c>
    </row>
    <row r="243" customFormat="false" ht="15" hidden="false" customHeight="true" outlineLevel="0" collapsed="false">
      <c r="A243" s="0" t="n">
        <v>51</v>
      </c>
      <c r="B243" s="187" t="n">
        <v>46205.6704955122</v>
      </c>
      <c r="C243" s="187" t="n">
        <v>46205.6733774567</v>
      </c>
      <c r="D243" s="188" t="s">
        <v>574</v>
      </c>
      <c r="E243" s="188" t="s">
        <v>575</v>
      </c>
      <c r="F243" s="188" t="s">
        <v>575</v>
      </c>
      <c r="G243" s="188" t="s">
        <v>576</v>
      </c>
      <c r="H243" s="187" t="n">
        <v>46191</v>
      </c>
      <c r="I243" s="188" t="s">
        <v>577</v>
      </c>
      <c r="J243" s="188" t="s">
        <v>108</v>
      </c>
      <c r="K243" s="188" t="s">
        <v>173</v>
      </c>
      <c r="L243" s="188" t="s">
        <v>144</v>
      </c>
      <c r="M243" s="188" t="s">
        <v>578</v>
      </c>
      <c r="N243" s="188" t="s">
        <v>287</v>
      </c>
      <c r="O243" s="188" t="s">
        <v>107</v>
      </c>
      <c r="P243" s="188" t="s">
        <v>211</v>
      </c>
      <c r="Q243" s="188" t="s">
        <v>112</v>
      </c>
      <c r="R243" s="188" t="s">
        <v>22</v>
      </c>
      <c r="S243" s="188" t="s">
        <v>152</v>
      </c>
      <c r="T243" s="188" t="s">
        <v>121</v>
      </c>
      <c r="U243" s="188" t="s">
        <v>122</v>
      </c>
      <c r="V243" s="188" t="s">
        <v>123</v>
      </c>
      <c r="W243" s="188" t="s">
        <v>124</v>
      </c>
      <c r="X243" s="188" t="s">
        <v>176</v>
      </c>
      <c r="Y243" s="188" t="s">
        <v>1035</v>
      </c>
      <c r="Z243" s="0" t="n">
        <v>1</v>
      </c>
      <c r="AA243" s="188" t="s">
        <v>1057</v>
      </c>
    </row>
    <row r="244" customFormat="false" ht="15" hidden="false" customHeight="true" outlineLevel="0" collapsed="false">
      <c r="A244" s="0" t="n">
        <v>51</v>
      </c>
      <c r="B244" s="187" t="n">
        <v>46205.6704955122</v>
      </c>
      <c r="C244" s="187" t="n">
        <v>46205.6733774567</v>
      </c>
      <c r="D244" s="188" t="s">
        <v>574</v>
      </c>
      <c r="E244" s="188" t="s">
        <v>575</v>
      </c>
      <c r="F244" s="188" t="s">
        <v>575</v>
      </c>
      <c r="G244" s="188" t="s">
        <v>576</v>
      </c>
      <c r="H244" s="187" t="n">
        <v>46191</v>
      </c>
      <c r="I244" s="188" t="s">
        <v>577</v>
      </c>
      <c r="J244" s="188" t="s">
        <v>108</v>
      </c>
      <c r="K244" s="188" t="s">
        <v>173</v>
      </c>
      <c r="L244" s="188" t="s">
        <v>144</v>
      </c>
      <c r="M244" s="188" t="s">
        <v>578</v>
      </c>
      <c r="N244" s="188" t="s">
        <v>287</v>
      </c>
      <c r="O244" s="188" t="s">
        <v>107</v>
      </c>
      <c r="P244" s="188" t="s">
        <v>211</v>
      </c>
      <c r="Q244" s="188" t="s">
        <v>112</v>
      </c>
      <c r="R244" s="188" t="s">
        <v>22</v>
      </c>
      <c r="S244" s="188" t="s">
        <v>152</v>
      </c>
      <c r="T244" s="188" t="s">
        <v>121</v>
      </c>
      <c r="U244" s="188" t="s">
        <v>122</v>
      </c>
      <c r="V244" s="188" t="s">
        <v>123</v>
      </c>
      <c r="W244" s="188" t="s">
        <v>124</v>
      </c>
      <c r="X244" s="188" t="s">
        <v>176</v>
      </c>
      <c r="Y244" s="188" t="s">
        <v>1035</v>
      </c>
      <c r="Z244" s="0" t="n">
        <v>2</v>
      </c>
      <c r="AA244" s="188" t="s">
        <v>1176</v>
      </c>
    </row>
    <row r="245" customFormat="false" ht="15" hidden="false" customHeight="true" outlineLevel="0" collapsed="false">
      <c r="A245" s="0" t="n">
        <v>51</v>
      </c>
      <c r="B245" s="187" t="n">
        <v>46205.6704955122</v>
      </c>
      <c r="C245" s="187" t="n">
        <v>46205.6733774567</v>
      </c>
      <c r="D245" s="188" t="s">
        <v>574</v>
      </c>
      <c r="E245" s="188" t="s">
        <v>575</v>
      </c>
      <c r="F245" s="188" t="s">
        <v>575</v>
      </c>
      <c r="G245" s="188" t="s">
        <v>576</v>
      </c>
      <c r="H245" s="187" t="n">
        <v>46191</v>
      </c>
      <c r="I245" s="188" t="s">
        <v>577</v>
      </c>
      <c r="J245" s="188" t="s">
        <v>108</v>
      </c>
      <c r="K245" s="188" t="s">
        <v>173</v>
      </c>
      <c r="L245" s="188" t="s">
        <v>144</v>
      </c>
      <c r="M245" s="188" t="s">
        <v>578</v>
      </c>
      <c r="N245" s="188" t="s">
        <v>287</v>
      </c>
      <c r="O245" s="188" t="s">
        <v>107</v>
      </c>
      <c r="P245" s="188" t="s">
        <v>211</v>
      </c>
      <c r="Q245" s="188" t="s">
        <v>112</v>
      </c>
      <c r="R245" s="188" t="s">
        <v>22</v>
      </c>
      <c r="S245" s="188" t="s">
        <v>152</v>
      </c>
      <c r="T245" s="188" t="s">
        <v>121</v>
      </c>
      <c r="U245" s="188" t="s">
        <v>122</v>
      </c>
      <c r="V245" s="188" t="s">
        <v>123</v>
      </c>
      <c r="W245" s="188" t="s">
        <v>124</v>
      </c>
      <c r="X245" s="188" t="s">
        <v>176</v>
      </c>
      <c r="Y245" s="188" t="s">
        <v>1037</v>
      </c>
      <c r="Z245" s="0" t="n">
        <v>1</v>
      </c>
      <c r="AA245" s="188" t="s">
        <v>1177</v>
      </c>
    </row>
    <row r="246" customFormat="false" ht="15" hidden="false" customHeight="true" outlineLevel="0" collapsed="false">
      <c r="A246" s="0" t="n">
        <v>51</v>
      </c>
      <c r="B246" s="187" t="n">
        <v>46205.6704955122</v>
      </c>
      <c r="C246" s="187" t="n">
        <v>46205.6733774567</v>
      </c>
      <c r="D246" s="188" t="s">
        <v>574</v>
      </c>
      <c r="E246" s="188" t="s">
        <v>575</v>
      </c>
      <c r="F246" s="188" t="s">
        <v>575</v>
      </c>
      <c r="G246" s="188" t="s">
        <v>576</v>
      </c>
      <c r="H246" s="187" t="n">
        <v>46191</v>
      </c>
      <c r="I246" s="188" t="s">
        <v>577</v>
      </c>
      <c r="J246" s="188" t="s">
        <v>108</v>
      </c>
      <c r="K246" s="188" t="s">
        <v>173</v>
      </c>
      <c r="L246" s="188" t="s">
        <v>144</v>
      </c>
      <c r="M246" s="188" t="s">
        <v>578</v>
      </c>
      <c r="N246" s="188" t="s">
        <v>287</v>
      </c>
      <c r="O246" s="188" t="s">
        <v>107</v>
      </c>
      <c r="P246" s="188" t="s">
        <v>211</v>
      </c>
      <c r="Q246" s="188" t="s">
        <v>112</v>
      </c>
      <c r="R246" s="188" t="s">
        <v>22</v>
      </c>
      <c r="S246" s="188" t="s">
        <v>152</v>
      </c>
      <c r="T246" s="188" t="s">
        <v>121</v>
      </c>
      <c r="U246" s="188" t="s">
        <v>122</v>
      </c>
      <c r="V246" s="188" t="s">
        <v>123</v>
      </c>
      <c r="W246" s="188" t="s">
        <v>124</v>
      </c>
      <c r="X246" s="188" t="s">
        <v>176</v>
      </c>
      <c r="Y246" s="188" t="s">
        <v>1040</v>
      </c>
      <c r="Z246" s="0" t="n">
        <v>1</v>
      </c>
      <c r="AA246" s="188" t="s">
        <v>1178</v>
      </c>
    </row>
    <row r="247" customFormat="false" ht="15" hidden="false" customHeight="true" outlineLevel="0" collapsed="false">
      <c r="A247" s="0" t="n">
        <v>51</v>
      </c>
      <c r="B247" s="187" t="n">
        <v>46205.6704955122</v>
      </c>
      <c r="C247" s="187" t="n">
        <v>46205.6733774567</v>
      </c>
      <c r="D247" s="188" t="s">
        <v>574</v>
      </c>
      <c r="E247" s="188" t="s">
        <v>575</v>
      </c>
      <c r="F247" s="188" t="s">
        <v>575</v>
      </c>
      <c r="G247" s="188" t="s">
        <v>576</v>
      </c>
      <c r="H247" s="187" t="n">
        <v>46191</v>
      </c>
      <c r="I247" s="188" t="s">
        <v>577</v>
      </c>
      <c r="J247" s="188" t="s">
        <v>108</v>
      </c>
      <c r="K247" s="188" t="s">
        <v>173</v>
      </c>
      <c r="L247" s="188" t="s">
        <v>144</v>
      </c>
      <c r="M247" s="188" t="s">
        <v>578</v>
      </c>
      <c r="N247" s="188" t="s">
        <v>287</v>
      </c>
      <c r="O247" s="188" t="s">
        <v>107</v>
      </c>
      <c r="P247" s="188" t="s">
        <v>211</v>
      </c>
      <c r="Q247" s="188" t="s">
        <v>112</v>
      </c>
      <c r="R247" s="188" t="s">
        <v>22</v>
      </c>
      <c r="S247" s="188" t="s">
        <v>152</v>
      </c>
      <c r="T247" s="188" t="s">
        <v>121</v>
      </c>
      <c r="U247" s="188" t="s">
        <v>122</v>
      </c>
      <c r="V247" s="188" t="s">
        <v>123</v>
      </c>
      <c r="W247" s="188" t="s">
        <v>124</v>
      </c>
      <c r="X247" s="188" t="s">
        <v>176</v>
      </c>
      <c r="Y247" s="188" t="s">
        <v>1040</v>
      </c>
      <c r="Z247" s="0" t="n">
        <v>2</v>
      </c>
      <c r="AA247" s="188" t="s">
        <v>122</v>
      </c>
    </row>
    <row r="248" customFormat="false" ht="15" hidden="false" customHeight="true" outlineLevel="0" collapsed="false">
      <c r="A248" s="0" t="n">
        <v>52</v>
      </c>
      <c r="B248" s="187" t="n">
        <v>46110.3273019175</v>
      </c>
      <c r="C248" s="187" t="n">
        <v>46110.3350102508</v>
      </c>
      <c r="D248" s="188" t="s">
        <v>582</v>
      </c>
      <c r="E248" s="188" t="s">
        <v>583</v>
      </c>
      <c r="F248" s="188" t="s">
        <v>584</v>
      </c>
      <c r="G248" s="188" t="s">
        <v>585</v>
      </c>
      <c r="H248" s="187" t="n">
        <v>46097</v>
      </c>
      <c r="I248" s="188" t="s">
        <v>113</v>
      </c>
      <c r="J248" s="188" t="s">
        <v>108</v>
      </c>
      <c r="K248" s="188" t="s">
        <v>232</v>
      </c>
      <c r="L248" s="188" t="s">
        <v>144</v>
      </c>
      <c r="M248" s="188" t="s">
        <v>130</v>
      </c>
      <c r="N248" s="188" t="s">
        <v>586</v>
      </c>
      <c r="O248" s="188" t="s">
        <v>107</v>
      </c>
      <c r="P248" s="188" t="s">
        <v>111</v>
      </c>
      <c r="Q248" s="188" t="s">
        <v>112</v>
      </c>
      <c r="R248" s="188" t="s">
        <v>22</v>
      </c>
      <c r="S248" s="188" t="s">
        <v>152</v>
      </c>
      <c r="T248" s="188" t="s">
        <v>590</v>
      </c>
      <c r="U248" s="188" t="s">
        <v>204</v>
      </c>
      <c r="V248" s="188" t="s">
        <v>192</v>
      </c>
      <c r="W248" s="188" t="s">
        <v>124</v>
      </c>
      <c r="X248" s="188" t="s">
        <v>298</v>
      </c>
      <c r="Y248" s="188" t="s">
        <v>1035</v>
      </c>
      <c r="Z248" s="0" t="n">
        <v>1</v>
      </c>
      <c r="AA248" s="188" t="s">
        <v>1094</v>
      </c>
    </row>
    <row r="249" customFormat="false" ht="15" hidden="false" customHeight="true" outlineLevel="0" collapsed="false">
      <c r="A249" s="0" t="n">
        <v>52</v>
      </c>
      <c r="B249" s="187" t="n">
        <v>46110.3273019175</v>
      </c>
      <c r="C249" s="187" t="n">
        <v>46110.3350102508</v>
      </c>
      <c r="D249" s="188" t="s">
        <v>582</v>
      </c>
      <c r="E249" s="188" t="s">
        <v>583</v>
      </c>
      <c r="F249" s="188" t="s">
        <v>584</v>
      </c>
      <c r="G249" s="188" t="s">
        <v>585</v>
      </c>
      <c r="H249" s="187" t="n">
        <v>46097</v>
      </c>
      <c r="I249" s="188" t="s">
        <v>113</v>
      </c>
      <c r="J249" s="188" t="s">
        <v>108</v>
      </c>
      <c r="K249" s="188" t="s">
        <v>232</v>
      </c>
      <c r="L249" s="188" t="s">
        <v>144</v>
      </c>
      <c r="M249" s="188" t="s">
        <v>130</v>
      </c>
      <c r="N249" s="188" t="s">
        <v>586</v>
      </c>
      <c r="O249" s="188" t="s">
        <v>107</v>
      </c>
      <c r="P249" s="188" t="s">
        <v>111</v>
      </c>
      <c r="Q249" s="188" t="s">
        <v>112</v>
      </c>
      <c r="R249" s="188" t="s">
        <v>22</v>
      </c>
      <c r="S249" s="188" t="s">
        <v>152</v>
      </c>
      <c r="T249" s="188" t="s">
        <v>590</v>
      </c>
      <c r="U249" s="188" t="s">
        <v>204</v>
      </c>
      <c r="V249" s="188" t="s">
        <v>192</v>
      </c>
      <c r="W249" s="188" t="s">
        <v>124</v>
      </c>
      <c r="X249" s="188" t="s">
        <v>298</v>
      </c>
      <c r="Y249" s="188" t="s">
        <v>1035</v>
      </c>
      <c r="Z249" s="0" t="n">
        <v>2</v>
      </c>
      <c r="AA249" s="188" t="s">
        <v>1179</v>
      </c>
    </row>
    <row r="250" customFormat="false" ht="15" hidden="false" customHeight="true" outlineLevel="0" collapsed="false">
      <c r="A250" s="0" t="n">
        <v>52</v>
      </c>
      <c r="B250" s="187" t="n">
        <v>46110.3273019175</v>
      </c>
      <c r="C250" s="187" t="n">
        <v>46110.3350102508</v>
      </c>
      <c r="D250" s="188" t="s">
        <v>582</v>
      </c>
      <c r="E250" s="188" t="s">
        <v>583</v>
      </c>
      <c r="F250" s="188" t="s">
        <v>584</v>
      </c>
      <c r="G250" s="188" t="s">
        <v>585</v>
      </c>
      <c r="H250" s="187" t="n">
        <v>46097</v>
      </c>
      <c r="I250" s="188" t="s">
        <v>113</v>
      </c>
      <c r="J250" s="188" t="s">
        <v>108</v>
      </c>
      <c r="K250" s="188" t="s">
        <v>232</v>
      </c>
      <c r="L250" s="188" t="s">
        <v>144</v>
      </c>
      <c r="M250" s="188" t="s">
        <v>130</v>
      </c>
      <c r="N250" s="188" t="s">
        <v>586</v>
      </c>
      <c r="O250" s="188" t="s">
        <v>107</v>
      </c>
      <c r="P250" s="188" t="s">
        <v>111</v>
      </c>
      <c r="Q250" s="188" t="s">
        <v>112</v>
      </c>
      <c r="R250" s="188" t="s">
        <v>22</v>
      </c>
      <c r="S250" s="188" t="s">
        <v>152</v>
      </c>
      <c r="T250" s="188" t="s">
        <v>590</v>
      </c>
      <c r="U250" s="188" t="s">
        <v>204</v>
      </c>
      <c r="V250" s="188" t="s">
        <v>192</v>
      </c>
      <c r="W250" s="188" t="s">
        <v>124</v>
      </c>
      <c r="X250" s="188" t="s">
        <v>298</v>
      </c>
      <c r="Y250" s="188" t="s">
        <v>1035</v>
      </c>
      <c r="Z250" s="0" t="n">
        <v>3</v>
      </c>
      <c r="AA250" s="188" t="s">
        <v>1180</v>
      </c>
    </row>
    <row r="251" customFormat="false" ht="15" hidden="false" customHeight="true" outlineLevel="0" collapsed="false">
      <c r="A251" s="0" t="n">
        <v>52</v>
      </c>
      <c r="B251" s="187" t="n">
        <v>46110.3273019175</v>
      </c>
      <c r="C251" s="187" t="n">
        <v>46110.3350102508</v>
      </c>
      <c r="D251" s="188" t="s">
        <v>582</v>
      </c>
      <c r="E251" s="188" t="s">
        <v>583</v>
      </c>
      <c r="F251" s="188" t="s">
        <v>584</v>
      </c>
      <c r="G251" s="188" t="s">
        <v>585</v>
      </c>
      <c r="H251" s="187" t="n">
        <v>46097</v>
      </c>
      <c r="I251" s="188" t="s">
        <v>113</v>
      </c>
      <c r="J251" s="188" t="s">
        <v>108</v>
      </c>
      <c r="K251" s="188" t="s">
        <v>232</v>
      </c>
      <c r="L251" s="188" t="s">
        <v>144</v>
      </c>
      <c r="M251" s="188" t="s">
        <v>130</v>
      </c>
      <c r="N251" s="188" t="s">
        <v>586</v>
      </c>
      <c r="O251" s="188" t="s">
        <v>107</v>
      </c>
      <c r="P251" s="188" t="s">
        <v>111</v>
      </c>
      <c r="Q251" s="188" t="s">
        <v>112</v>
      </c>
      <c r="R251" s="188" t="s">
        <v>22</v>
      </c>
      <c r="S251" s="188" t="s">
        <v>152</v>
      </c>
      <c r="T251" s="188" t="s">
        <v>590</v>
      </c>
      <c r="U251" s="188" t="s">
        <v>204</v>
      </c>
      <c r="V251" s="188" t="s">
        <v>192</v>
      </c>
      <c r="W251" s="188" t="s">
        <v>124</v>
      </c>
      <c r="X251" s="188" t="s">
        <v>298</v>
      </c>
      <c r="Y251" s="188" t="s">
        <v>1037</v>
      </c>
      <c r="Z251" s="0" t="n">
        <v>1</v>
      </c>
      <c r="AA251" s="188" t="s">
        <v>1181</v>
      </c>
    </row>
    <row r="252" customFormat="false" ht="15" hidden="false" customHeight="true" outlineLevel="0" collapsed="false">
      <c r="A252" s="0" t="n">
        <v>52</v>
      </c>
      <c r="B252" s="187" t="n">
        <v>46110.3273019175</v>
      </c>
      <c r="C252" s="187" t="n">
        <v>46110.3350102508</v>
      </c>
      <c r="D252" s="188" t="s">
        <v>582</v>
      </c>
      <c r="E252" s="188" t="s">
        <v>583</v>
      </c>
      <c r="F252" s="188" t="s">
        <v>584</v>
      </c>
      <c r="G252" s="188" t="s">
        <v>585</v>
      </c>
      <c r="H252" s="187" t="n">
        <v>46097</v>
      </c>
      <c r="I252" s="188" t="s">
        <v>113</v>
      </c>
      <c r="J252" s="188" t="s">
        <v>108</v>
      </c>
      <c r="K252" s="188" t="s">
        <v>232</v>
      </c>
      <c r="L252" s="188" t="s">
        <v>144</v>
      </c>
      <c r="M252" s="188" t="s">
        <v>130</v>
      </c>
      <c r="N252" s="188" t="s">
        <v>586</v>
      </c>
      <c r="O252" s="188" t="s">
        <v>107</v>
      </c>
      <c r="P252" s="188" t="s">
        <v>111</v>
      </c>
      <c r="Q252" s="188" t="s">
        <v>112</v>
      </c>
      <c r="R252" s="188" t="s">
        <v>22</v>
      </c>
      <c r="S252" s="188" t="s">
        <v>152</v>
      </c>
      <c r="T252" s="188" t="s">
        <v>590</v>
      </c>
      <c r="U252" s="188" t="s">
        <v>204</v>
      </c>
      <c r="V252" s="188" t="s">
        <v>192</v>
      </c>
      <c r="W252" s="188" t="s">
        <v>124</v>
      </c>
      <c r="X252" s="188" t="s">
        <v>298</v>
      </c>
      <c r="Y252" s="188" t="s">
        <v>1040</v>
      </c>
      <c r="Z252" s="0" t="n">
        <v>1</v>
      </c>
      <c r="AA252" s="188" t="s">
        <v>122</v>
      </c>
    </row>
    <row r="253" customFormat="false" ht="15" hidden="false" customHeight="true" outlineLevel="0" collapsed="false">
      <c r="A253" s="0" t="n">
        <v>52</v>
      </c>
      <c r="B253" s="187" t="n">
        <v>46110.3273019175</v>
      </c>
      <c r="C253" s="187" t="n">
        <v>46110.3350102508</v>
      </c>
      <c r="D253" s="188" t="s">
        <v>582</v>
      </c>
      <c r="E253" s="188" t="s">
        <v>583</v>
      </c>
      <c r="F253" s="188" t="s">
        <v>584</v>
      </c>
      <c r="G253" s="188" t="s">
        <v>585</v>
      </c>
      <c r="H253" s="187" t="n">
        <v>46097</v>
      </c>
      <c r="I253" s="188" t="s">
        <v>113</v>
      </c>
      <c r="J253" s="188" t="s">
        <v>108</v>
      </c>
      <c r="K253" s="188" t="s">
        <v>232</v>
      </c>
      <c r="L253" s="188" t="s">
        <v>144</v>
      </c>
      <c r="M253" s="188" t="s">
        <v>130</v>
      </c>
      <c r="N253" s="188" t="s">
        <v>586</v>
      </c>
      <c r="O253" s="188" t="s">
        <v>107</v>
      </c>
      <c r="P253" s="188" t="s">
        <v>111</v>
      </c>
      <c r="Q253" s="188" t="s">
        <v>112</v>
      </c>
      <c r="R253" s="188" t="s">
        <v>22</v>
      </c>
      <c r="S253" s="188" t="s">
        <v>152</v>
      </c>
      <c r="T253" s="188" t="s">
        <v>590</v>
      </c>
      <c r="U253" s="188" t="s">
        <v>204</v>
      </c>
      <c r="V253" s="188" t="s">
        <v>192</v>
      </c>
      <c r="W253" s="188" t="s">
        <v>124</v>
      </c>
      <c r="X253" s="188" t="s">
        <v>298</v>
      </c>
      <c r="Y253" s="188" t="s">
        <v>1040</v>
      </c>
      <c r="Z253" s="0" t="n">
        <v>2</v>
      </c>
      <c r="AA253" s="188" t="s">
        <v>1182</v>
      </c>
    </row>
    <row r="254" customFormat="false" ht="15" hidden="false" customHeight="true" outlineLevel="0" collapsed="false">
      <c r="A254" s="0" t="n">
        <v>53</v>
      </c>
      <c r="B254" s="187" t="n">
        <v>46106.0492031267</v>
      </c>
      <c r="C254" s="187" t="n">
        <v>46106.0513211823</v>
      </c>
      <c r="D254" s="188" t="s">
        <v>591</v>
      </c>
      <c r="E254" s="188" t="s">
        <v>592</v>
      </c>
      <c r="F254" s="188" t="s">
        <v>592</v>
      </c>
      <c r="G254" s="188" t="s">
        <v>593</v>
      </c>
      <c r="H254" s="187" t="n">
        <v>46092</v>
      </c>
      <c r="I254" s="188" t="s">
        <v>113</v>
      </c>
      <c r="J254" s="188" t="s">
        <v>108</v>
      </c>
      <c r="K254" s="188" t="s">
        <v>257</v>
      </c>
      <c r="L254" s="188" t="s">
        <v>491</v>
      </c>
      <c r="M254" s="188" t="s">
        <v>594</v>
      </c>
      <c r="N254" s="188" t="s">
        <v>595</v>
      </c>
      <c r="O254" s="188" t="s">
        <v>107</v>
      </c>
      <c r="P254" s="188" t="s">
        <v>111</v>
      </c>
      <c r="Q254" s="188" t="s">
        <v>112</v>
      </c>
      <c r="R254" s="188" t="s">
        <v>24</v>
      </c>
      <c r="S254" s="188" t="s">
        <v>152</v>
      </c>
      <c r="T254" s="188" t="s">
        <v>121</v>
      </c>
      <c r="U254" s="188" t="s">
        <v>122</v>
      </c>
      <c r="V254" s="188" t="s">
        <v>123</v>
      </c>
      <c r="W254" s="188" t="s">
        <v>168</v>
      </c>
      <c r="X254" s="188" t="s">
        <v>448</v>
      </c>
      <c r="Y254" s="188" t="s">
        <v>1035</v>
      </c>
      <c r="Z254" s="0" t="n">
        <v>1</v>
      </c>
      <c r="AA254" s="188" t="s">
        <v>1147</v>
      </c>
    </row>
    <row r="255" customFormat="false" ht="15" hidden="false" customHeight="true" outlineLevel="0" collapsed="false">
      <c r="A255" s="0" t="n">
        <v>53</v>
      </c>
      <c r="B255" s="187" t="n">
        <v>46106.0492031267</v>
      </c>
      <c r="C255" s="187" t="n">
        <v>46106.0513211823</v>
      </c>
      <c r="D255" s="188" t="s">
        <v>591</v>
      </c>
      <c r="E255" s="188" t="s">
        <v>592</v>
      </c>
      <c r="F255" s="188" t="s">
        <v>592</v>
      </c>
      <c r="G255" s="188" t="s">
        <v>593</v>
      </c>
      <c r="H255" s="187" t="n">
        <v>46092</v>
      </c>
      <c r="I255" s="188" t="s">
        <v>113</v>
      </c>
      <c r="J255" s="188" t="s">
        <v>108</v>
      </c>
      <c r="K255" s="188" t="s">
        <v>257</v>
      </c>
      <c r="L255" s="188" t="s">
        <v>491</v>
      </c>
      <c r="M255" s="188" t="s">
        <v>594</v>
      </c>
      <c r="N255" s="188" t="s">
        <v>595</v>
      </c>
      <c r="O255" s="188" t="s">
        <v>107</v>
      </c>
      <c r="P255" s="188" t="s">
        <v>111</v>
      </c>
      <c r="Q255" s="188" t="s">
        <v>112</v>
      </c>
      <c r="R255" s="188" t="s">
        <v>24</v>
      </c>
      <c r="S255" s="188" t="s">
        <v>152</v>
      </c>
      <c r="T255" s="188" t="s">
        <v>121</v>
      </c>
      <c r="U255" s="188" t="s">
        <v>122</v>
      </c>
      <c r="V255" s="188" t="s">
        <v>123</v>
      </c>
      <c r="W255" s="188" t="s">
        <v>168</v>
      </c>
      <c r="X255" s="188" t="s">
        <v>448</v>
      </c>
      <c r="Y255" s="188" t="s">
        <v>1035</v>
      </c>
      <c r="Z255" s="0" t="n">
        <v>2</v>
      </c>
      <c r="AA255" s="188" t="s">
        <v>1161</v>
      </c>
    </row>
    <row r="256" customFormat="false" ht="15" hidden="false" customHeight="true" outlineLevel="0" collapsed="false">
      <c r="A256" s="0" t="n">
        <v>53</v>
      </c>
      <c r="B256" s="187" t="n">
        <v>46106.0492031267</v>
      </c>
      <c r="C256" s="187" t="n">
        <v>46106.0513211823</v>
      </c>
      <c r="D256" s="188" t="s">
        <v>591</v>
      </c>
      <c r="E256" s="188" t="s">
        <v>592</v>
      </c>
      <c r="F256" s="188" t="s">
        <v>592</v>
      </c>
      <c r="G256" s="188" t="s">
        <v>593</v>
      </c>
      <c r="H256" s="187" t="n">
        <v>46092</v>
      </c>
      <c r="I256" s="188" t="s">
        <v>113</v>
      </c>
      <c r="J256" s="188" t="s">
        <v>108</v>
      </c>
      <c r="K256" s="188" t="s">
        <v>257</v>
      </c>
      <c r="L256" s="188" t="s">
        <v>491</v>
      </c>
      <c r="M256" s="188" t="s">
        <v>594</v>
      </c>
      <c r="N256" s="188" t="s">
        <v>595</v>
      </c>
      <c r="O256" s="188" t="s">
        <v>107</v>
      </c>
      <c r="P256" s="188" t="s">
        <v>111</v>
      </c>
      <c r="Q256" s="188" t="s">
        <v>112</v>
      </c>
      <c r="R256" s="188" t="s">
        <v>24</v>
      </c>
      <c r="S256" s="188" t="s">
        <v>152</v>
      </c>
      <c r="T256" s="188" t="s">
        <v>121</v>
      </c>
      <c r="U256" s="188" t="s">
        <v>122</v>
      </c>
      <c r="V256" s="188" t="s">
        <v>123</v>
      </c>
      <c r="W256" s="188" t="s">
        <v>168</v>
      </c>
      <c r="X256" s="188" t="s">
        <v>448</v>
      </c>
      <c r="Y256" s="188" t="s">
        <v>1037</v>
      </c>
      <c r="Z256" s="0" t="n">
        <v>1</v>
      </c>
      <c r="AA256" s="188" t="s">
        <v>1148</v>
      </c>
    </row>
    <row r="257" customFormat="false" ht="15" hidden="false" customHeight="true" outlineLevel="0" collapsed="false">
      <c r="A257" s="0" t="n">
        <v>53</v>
      </c>
      <c r="B257" s="187" t="n">
        <v>46106.0492031267</v>
      </c>
      <c r="C257" s="187" t="n">
        <v>46106.0513211823</v>
      </c>
      <c r="D257" s="188" t="s">
        <v>591</v>
      </c>
      <c r="E257" s="188" t="s">
        <v>592</v>
      </c>
      <c r="F257" s="188" t="s">
        <v>592</v>
      </c>
      <c r="G257" s="188" t="s">
        <v>593</v>
      </c>
      <c r="H257" s="187" t="n">
        <v>46092</v>
      </c>
      <c r="I257" s="188" t="s">
        <v>113</v>
      </c>
      <c r="J257" s="188" t="s">
        <v>108</v>
      </c>
      <c r="K257" s="188" t="s">
        <v>257</v>
      </c>
      <c r="L257" s="188" t="s">
        <v>491</v>
      </c>
      <c r="M257" s="188" t="s">
        <v>594</v>
      </c>
      <c r="N257" s="188" t="s">
        <v>595</v>
      </c>
      <c r="O257" s="188" t="s">
        <v>107</v>
      </c>
      <c r="P257" s="188" t="s">
        <v>111</v>
      </c>
      <c r="Q257" s="188" t="s">
        <v>112</v>
      </c>
      <c r="R257" s="188" t="s">
        <v>24</v>
      </c>
      <c r="S257" s="188" t="s">
        <v>152</v>
      </c>
      <c r="T257" s="188" t="s">
        <v>121</v>
      </c>
      <c r="U257" s="188" t="s">
        <v>122</v>
      </c>
      <c r="V257" s="188" t="s">
        <v>123</v>
      </c>
      <c r="W257" s="188" t="s">
        <v>168</v>
      </c>
      <c r="X257" s="188" t="s">
        <v>448</v>
      </c>
      <c r="Y257" s="188" t="s">
        <v>1037</v>
      </c>
      <c r="Z257" s="0" t="n">
        <v>2</v>
      </c>
      <c r="AA257" s="188" t="s">
        <v>1149</v>
      </c>
    </row>
    <row r="258" customFormat="false" ht="15" hidden="false" customHeight="true" outlineLevel="0" collapsed="false">
      <c r="A258" s="0" t="n">
        <v>53</v>
      </c>
      <c r="B258" s="187" t="n">
        <v>46106.0492031267</v>
      </c>
      <c r="C258" s="187" t="n">
        <v>46106.0513211823</v>
      </c>
      <c r="D258" s="188" t="s">
        <v>591</v>
      </c>
      <c r="E258" s="188" t="s">
        <v>592</v>
      </c>
      <c r="F258" s="188" t="s">
        <v>592</v>
      </c>
      <c r="G258" s="188" t="s">
        <v>593</v>
      </c>
      <c r="H258" s="187" t="n">
        <v>46092</v>
      </c>
      <c r="I258" s="188" t="s">
        <v>113</v>
      </c>
      <c r="J258" s="188" t="s">
        <v>108</v>
      </c>
      <c r="K258" s="188" t="s">
        <v>257</v>
      </c>
      <c r="L258" s="188" t="s">
        <v>491</v>
      </c>
      <c r="M258" s="188" t="s">
        <v>594</v>
      </c>
      <c r="N258" s="188" t="s">
        <v>595</v>
      </c>
      <c r="O258" s="188" t="s">
        <v>107</v>
      </c>
      <c r="P258" s="188" t="s">
        <v>111</v>
      </c>
      <c r="Q258" s="188" t="s">
        <v>112</v>
      </c>
      <c r="R258" s="188" t="s">
        <v>24</v>
      </c>
      <c r="S258" s="188" t="s">
        <v>152</v>
      </c>
      <c r="T258" s="188" t="s">
        <v>121</v>
      </c>
      <c r="U258" s="188" t="s">
        <v>122</v>
      </c>
      <c r="V258" s="188" t="s">
        <v>123</v>
      </c>
      <c r="W258" s="188" t="s">
        <v>168</v>
      </c>
      <c r="X258" s="188" t="s">
        <v>448</v>
      </c>
      <c r="Y258" s="188" t="s">
        <v>1040</v>
      </c>
      <c r="Z258" s="0" t="n">
        <v>1</v>
      </c>
      <c r="AA258" s="188" t="s">
        <v>1150</v>
      </c>
    </row>
    <row r="259" customFormat="false" ht="15" hidden="false" customHeight="true" outlineLevel="0" collapsed="false">
      <c r="A259" s="0" t="n">
        <v>53</v>
      </c>
      <c r="B259" s="187" t="n">
        <v>46106.0492031267</v>
      </c>
      <c r="C259" s="187" t="n">
        <v>46106.0513211823</v>
      </c>
      <c r="D259" s="188" t="s">
        <v>591</v>
      </c>
      <c r="E259" s="188" t="s">
        <v>592</v>
      </c>
      <c r="F259" s="188" t="s">
        <v>592</v>
      </c>
      <c r="G259" s="188" t="s">
        <v>593</v>
      </c>
      <c r="H259" s="187" t="n">
        <v>46092</v>
      </c>
      <c r="I259" s="188" t="s">
        <v>113</v>
      </c>
      <c r="J259" s="188" t="s">
        <v>108</v>
      </c>
      <c r="K259" s="188" t="s">
        <v>257</v>
      </c>
      <c r="L259" s="188" t="s">
        <v>491</v>
      </c>
      <c r="M259" s="188" t="s">
        <v>594</v>
      </c>
      <c r="N259" s="188" t="s">
        <v>595</v>
      </c>
      <c r="O259" s="188" t="s">
        <v>107</v>
      </c>
      <c r="P259" s="188" t="s">
        <v>111</v>
      </c>
      <c r="Q259" s="188" t="s">
        <v>112</v>
      </c>
      <c r="R259" s="188" t="s">
        <v>24</v>
      </c>
      <c r="S259" s="188" t="s">
        <v>152</v>
      </c>
      <c r="T259" s="188" t="s">
        <v>121</v>
      </c>
      <c r="U259" s="188" t="s">
        <v>122</v>
      </c>
      <c r="V259" s="188" t="s">
        <v>123</v>
      </c>
      <c r="W259" s="188" t="s">
        <v>168</v>
      </c>
      <c r="X259" s="188" t="s">
        <v>448</v>
      </c>
      <c r="Y259" s="188" t="s">
        <v>1040</v>
      </c>
      <c r="Z259" s="0" t="n">
        <v>2</v>
      </c>
      <c r="AA259" s="188" t="s">
        <v>1162</v>
      </c>
    </row>
    <row r="260" customFormat="false" ht="15" hidden="false" customHeight="true" outlineLevel="0" collapsed="false">
      <c r="A260" s="0" t="n">
        <v>54</v>
      </c>
      <c r="B260" s="187" t="n">
        <v>46203.3747962733</v>
      </c>
      <c r="C260" s="187" t="n">
        <v>46203.3926319214</v>
      </c>
      <c r="D260" s="188" t="s">
        <v>598</v>
      </c>
      <c r="E260" s="188" t="s">
        <v>599</v>
      </c>
      <c r="F260" s="188" t="s">
        <v>599</v>
      </c>
      <c r="G260" s="188" t="s">
        <v>600</v>
      </c>
      <c r="H260" s="187" t="n">
        <v>46199</v>
      </c>
      <c r="I260" s="188" t="s">
        <v>551</v>
      </c>
      <c r="J260" s="188" t="s">
        <v>108</v>
      </c>
      <c r="K260" s="188" t="s">
        <v>196</v>
      </c>
      <c r="L260" s="188" t="s">
        <v>110</v>
      </c>
      <c r="M260" s="188" t="s">
        <v>234</v>
      </c>
      <c r="N260" s="188" t="s">
        <v>111</v>
      </c>
      <c r="O260" s="188" t="s">
        <v>157</v>
      </c>
      <c r="P260" s="188" t="s">
        <v>131</v>
      </c>
      <c r="Q260" s="188" t="s">
        <v>247</v>
      </c>
      <c r="R260" s="188" t="s">
        <v>22</v>
      </c>
      <c r="S260" s="188" t="s">
        <v>227</v>
      </c>
      <c r="T260" s="188" t="s">
        <v>352</v>
      </c>
      <c r="V260" s="188" t="s">
        <v>123</v>
      </c>
      <c r="W260" s="188" t="s">
        <v>124</v>
      </c>
      <c r="X260" s="188" t="s">
        <v>116</v>
      </c>
      <c r="Y260" s="188" t="s">
        <v>1035</v>
      </c>
      <c r="Z260" s="0" t="n">
        <v>1</v>
      </c>
      <c r="AA260" s="188" t="s">
        <v>1111</v>
      </c>
    </row>
    <row r="261" customFormat="false" ht="15" hidden="false" customHeight="true" outlineLevel="0" collapsed="false">
      <c r="A261" s="0" t="n">
        <v>54</v>
      </c>
      <c r="B261" s="187" t="n">
        <v>46203.3747962733</v>
      </c>
      <c r="C261" s="187" t="n">
        <v>46203.3926319214</v>
      </c>
      <c r="D261" s="188" t="s">
        <v>598</v>
      </c>
      <c r="E261" s="188" t="s">
        <v>599</v>
      </c>
      <c r="F261" s="188" t="s">
        <v>599</v>
      </c>
      <c r="G261" s="188" t="s">
        <v>600</v>
      </c>
      <c r="H261" s="187" t="n">
        <v>46199</v>
      </c>
      <c r="I261" s="188" t="s">
        <v>551</v>
      </c>
      <c r="J261" s="188" t="s">
        <v>108</v>
      </c>
      <c r="K261" s="188" t="s">
        <v>196</v>
      </c>
      <c r="L261" s="188" t="s">
        <v>110</v>
      </c>
      <c r="M261" s="188" t="s">
        <v>234</v>
      </c>
      <c r="N261" s="188" t="s">
        <v>111</v>
      </c>
      <c r="O261" s="188" t="s">
        <v>157</v>
      </c>
      <c r="P261" s="188" t="s">
        <v>131</v>
      </c>
      <c r="Q261" s="188" t="s">
        <v>247</v>
      </c>
      <c r="R261" s="188" t="s">
        <v>22</v>
      </c>
      <c r="S261" s="188" t="s">
        <v>227</v>
      </c>
      <c r="T261" s="188" t="s">
        <v>352</v>
      </c>
      <c r="V261" s="188" t="s">
        <v>123</v>
      </c>
      <c r="W261" s="188" t="s">
        <v>124</v>
      </c>
      <c r="X261" s="188" t="s">
        <v>116</v>
      </c>
      <c r="Y261" s="188" t="s">
        <v>1035</v>
      </c>
      <c r="Z261" s="0" t="n">
        <v>2</v>
      </c>
      <c r="AA261" s="188" t="s">
        <v>1036</v>
      </c>
    </row>
    <row r="262" customFormat="false" ht="15" hidden="false" customHeight="true" outlineLevel="0" collapsed="false">
      <c r="A262" s="0" t="n">
        <v>54</v>
      </c>
      <c r="B262" s="187" t="n">
        <v>46203.3747962733</v>
      </c>
      <c r="C262" s="187" t="n">
        <v>46203.3926319214</v>
      </c>
      <c r="D262" s="188" t="s">
        <v>598</v>
      </c>
      <c r="E262" s="188" t="s">
        <v>599</v>
      </c>
      <c r="F262" s="188" t="s">
        <v>599</v>
      </c>
      <c r="G262" s="188" t="s">
        <v>600</v>
      </c>
      <c r="H262" s="187" t="n">
        <v>46199</v>
      </c>
      <c r="I262" s="188" t="s">
        <v>551</v>
      </c>
      <c r="J262" s="188" t="s">
        <v>108</v>
      </c>
      <c r="K262" s="188" t="s">
        <v>196</v>
      </c>
      <c r="L262" s="188" t="s">
        <v>110</v>
      </c>
      <c r="M262" s="188" t="s">
        <v>234</v>
      </c>
      <c r="N262" s="188" t="s">
        <v>111</v>
      </c>
      <c r="O262" s="188" t="s">
        <v>157</v>
      </c>
      <c r="P262" s="188" t="s">
        <v>131</v>
      </c>
      <c r="Q262" s="188" t="s">
        <v>247</v>
      </c>
      <c r="R262" s="188" t="s">
        <v>22</v>
      </c>
      <c r="S262" s="188" t="s">
        <v>227</v>
      </c>
      <c r="T262" s="188" t="s">
        <v>352</v>
      </c>
      <c r="V262" s="188" t="s">
        <v>123</v>
      </c>
      <c r="W262" s="188" t="s">
        <v>124</v>
      </c>
      <c r="X262" s="188" t="s">
        <v>116</v>
      </c>
      <c r="Y262" s="188" t="s">
        <v>1035</v>
      </c>
      <c r="Z262" s="0" t="n">
        <v>3</v>
      </c>
      <c r="AA262" s="188" t="s">
        <v>1052</v>
      </c>
    </row>
    <row r="263" customFormat="false" ht="15" hidden="false" customHeight="true" outlineLevel="0" collapsed="false">
      <c r="A263" s="0" t="n">
        <v>54</v>
      </c>
      <c r="B263" s="187" t="n">
        <v>46203.3747962733</v>
      </c>
      <c r="C263" s="187" t="n">
        <v>46203.3926319214</v>
      </c>
      <c r="D263" s="188" t="s">
        <v>598</v>
      </c>
      <c r="E263" s="188" t="s">
        <v>599</v>
      </c>
      <c r="F263" s="188" t="s">
        <v>599</v>
      </c>
      <c r="G263" s="188" t="s">
        <v>600</v>
      </c>
      <c r="H263" s="187" t="n">
        <v>46199</v>
      </c>
      <c r="I263" s="188" t="s">
        <v>551</v>
      </c>
      <c r="J263" s="188" t="s">
        <v>108</v>
      </c>
      <c r="K263" s="188" t="s">
        <v>196</v>
      </c>
      <c r="L263" s="188" t="s">
        <v>110</v>
      </c>
      <c r="M263" s="188" t="s">
        <v>234</v>
      </c>
      <c r="N263" s="188" t="s">
        <v>111</v>
      </c>
      <c r="O263" s="188" t="s">
        <v>157</v>
      </c>
      <c r="P263" s="188" t="s">
        <v>131</v>
      </c>
      <c r="Q263" s="188" t="s">
        <v>247</v>
      </c>
      <c r="R263" s="188" t="s">
        <v>22</v>
      </c>
      <c r="S263" s="188" t="s">
        <v>227</v>
      </c>
      <c r="T263" s="188" t="s">
        <v>352</v>
      </c>
      <c r="V263" s="188" t="s">
        <v>123</v>
      </c>
      <c r="W263" s="188" t="s">
        <v>124</v>
      </c>
      <c r="X263" s="188" t="s">
        <v>116</v>
      </c>
      <c r="Y263" s="188" t="s">
        <v>1037</v>
      </c>
      <c r="Z263" s="0" t="n">
        <v>1</v>
      </c>
      <c r="AA263" s="188" t="s">
        <v>1053</v>
      </c>
    </row>
    <row r="264" customFormat="false" ht="15" hidden="false" customHeight="true" outlineLevel="0" collapsed="false">
      <c r="A264" s="0" t="n">
        <v>54</v>
      </c>
      <c r="B264" s="187" t="n">
        <v>46203.3747962733</v>
      </c>
      <c r="C264" s="187" t="n">
        <v>46203.3926319214</v>
      </c>
      <c r="D264" s="188" t="s">
        <v>598</v>
      </c>
      <c r="E264" s="188" t="s">
        <v>599</v>
      </c>
      <c r="F264" s="188" t="s">
        <v>599</v>
      </c>
      <c r="G264" s="188" t="s">
        <v>600</v>
      </c>
      <c r="H264" s="187" t="n">
        <v>46199</v>
      </c>
      <c r="I264" s="188" t="s">
        <v>551</v>
      </c>
      <c r="J264" s="188" t="s">
        <v>108</v>
      </c>
      <c r="K264" s="188" t="s">
        <v>196</v>
      </c>
      <c r="L264" s="188" t="s">
        <v>110</v>
      </c>
      <c r="M264" s="188" t="s">
        <v>234</v>
      </c>
      <c r="N264" s="188" t="s">
        <v>111</v>
      </c>
      <c r="O264" s="188" t="s">
        <v>157</v>
      </c>
      <c r="P264" s="188" t="s">
        <v>131</v>
      </c>
      <c r="Q264" s="188" t="s">
        <v>247</v>
      </c>
      <c r="R264" s="188" t="s">
        <v>22</v>
      </c>
      <c r="S264" s="188" t="s">
        <v>227</v>
      </c>
      <c r="T264" s="188" t="s">
        <v>352</v>
      </c>
      <c r="V264" s="188" t="s">
        <v>123</v>
      </c>
      <c r="W264" s="188" t="s">
        <v>124</v>
      </c>
      <c r="X264" s="188" t="s">
        <v>116</v>
      </c>
      <c r="Y264" s="188" t="s">
        <v>1040</v>
      </c>
      <c r="Z264" s="0" t="n">
        <v>1</v>
      </c>
      <c r="AA264" s="188" t="s">
        <v>122</v>
      </c>
    </row>
    <row r="265" customFormat="false" ht="15" hidden="false" customHeight="true" outlineLevel="0" collapsed="false">
      <c r="A265" s="0" t="n">
        <v>55</v>
      </c>
      <c r="B265" s="187" t="n">
        <v>46147.184357683</v>
      </c>
      <c r="C265" s="187" t="n">
        <v>46147.1877836089</v>
      </c>
      <c r="D265" s="188" t="s">
        <v>603</v>
      </c>
      <c r="E265" s="188" t="s">
        <v>604</v>
      </c>
      <c r="F265" s="188" t="s">
        <v>604</v>
      </c>
      <c r="G265" s="188" t="s">
        <v>605</v>
      </c>
      <c r="H265" s="187" t="n">
        <v>46132</v>
      </c>
      <c r="I265" s="188" t="s">
        <v>113</v>
      </c>
      <c r="J265" s="188" t="s">
        <v>295</v>
      </c>
      <c r="K265" s="188" t="s">
        <v>462</v>
      </c>
      <c r="L265" s="188" t="s">
        <v>431</v>
      </c>
      <c r="M265" s="188" t="s">
        <v>594</v>
      </c>
      <c r="N265" s="188" t="s">
        <v>606</v>
      </c>
      <c r="O265" s="188" t="s">
        <v>244</v>
      </c>
      <c r="P265" s="188" t="s">
        <v>390</v>
      </c>
      <c r="Q265" s="188" t="s">
        <v>112</v>
      </c>
      <c r="R265" s="188" t="s">
        <v>22</v>
      </c>
      <c r="S265" s="188" t="s">
        <v>152</v>
      </c>
      <c r="T265" s="188" t="s">
        <v>121</v>
      </c>
      <c r="U265" s="188" t="s">
        <v>122</v>
      </c>
      <c r="V265" s="188" t="s">
        <v>123</v>
      </c>
      <c r="W265" s="188" t="s">
        <v>139</v>
      </c>
      <c r="X265" s="188" t="s">
        <v>116</v>
      </c>
      <c r="Y265" s="188" t="s">
        <v>1035</v>
      </c>
      <c r="Z265" s="0" t="n">
        <v>1</v>
      </c>
      <c r="AA265" s="188" t="s">
        <v>1036</v>
      </c>
    </row>
    <row r="266" customFormat="false" ht="15" hidden="false" customHeight="true" outlineLevel="0" collapsed="false">
      <c r="A266" s="0" t="n">
        <v>55</v>
      </c>
      <c r="B266" s="187" t="n">
        <v>46147.184357683</v>
      </c>
      <c r="C266" s="187" t="n">
        <v>46147.1877836089</v>
      </c>
      <c r="D266" s="188" t="s">
        <v>603</v>
      </c>
      <c r="E266" s="188" t="s">
        <v>604</v>
      </c>
      <c r="F266" s="188" t="s">
        <v>604</v>
      </c>
      <c r="G266" s="188" t="s">
        <v>605</v>
      </c>
      <c r="H266" s="187" t="n">
        <v>46132</v>
      </c>
      <c r="I266" s="188" t="s">
        <v>113</v>
      </c>
      <c r="J266" s="188" t="s">
        <v>295</v>
      </c>
      <c r="K266" s="188" t="s">
        <v>462</v>
      </c>
      <c r="L266" s="188" t="s">
        <v>431</v>
      </c>
      <c r="M266" s="188" t="s">
        <v>594</v>
      </c>
      <c r="N266" s="188" t="s">
        <v>606</v>
      </c>
      <c r="O266" s="188" t="s">
        <v>244</v>
      </c>
      <c r="P266" s="188" t="s">
        <v>390</v>
      </c>
      <c r="Q266" s="188" t="s">
        <v>112</v>
      </c>
      <c r="R266" s="188" t="s">
        <v>22</v>
      </c>
      <c r="S266" s="188" t="s">
        <v>152</v>
      </c>
      <c r="T266" s="188" t="s">
        <v>121</v>
      </c>
      <c r="U266" s="188" t="s">
        <v>122</v>
      </c>
      <c r="V266" s="188" t="s">
        <v>123</v>
      </c>
      <c r="W266" s="188" t="s">
        <v>139</v>
      </c>
      <c r="X266" s="188" t="s">
        <v>116</v>
      </c>
      <c r="Y266" s="188" t="s">
        <v>1035</v>
      </c>
      <c r="Z266" s="0" t="n">
        <v>2</v>
      </c>
      <c r="AA266" s="188" t="s">
        <v>1078</v>
      </c>
    </row>
    <row r="267" customFormat="false" ht="15" hidden="false" customHeight="true" outlineLevel="0" collapsed="false">
      <c r="A267" s="0" t="n">
        <v>55</v>
      </c>
      <c r="B267" s="187" t="n">
        <v>46147.184357683</v>
      </c>
      <c r="C267" s="187" t="n">
        <v>46147.1877836089</v>
      </c>
      <c r="D267" s="188" t="s">
        <v>603</v>
      </c>
      <c r="E267" s="188" t="s">
        <v>604</v>
      </c>
      <c r="F267" s="188" t="s">
        <v>604</v>
      </c>
      <c r="G267" s="188" t="s">
        <v>605</v>
      </c>
      <c r="H267" s="187" t="n">
        <v>46132</v>
      </c>
      <c r="I267" s="188" t="s">
        <v>113</v>
      </c>
      <c r="J267" s="188" t="s">
        <v>295</v>
      </c>
      <c r="K267" s="188" t="s">
        <v>462</v>
      </c>
      <c r="L267" s="188" t="s">
        <v>431</v>
      </c>
      <c r="M267" s="188" t="s">
        <v>594</v>
      </c>
      <c r="N267" s="188" t="s">
        <v>606</v>
      </c>
      <c r="O267" s="188" t="s">
        <v>244</v>
      </c>
      <c r="P267" s="188" t="s">
        <v>390</v>
      </c>
      <c r="Q267" s="188" t="s">
        <v>112</v>
      </c>
      <c r="R267" s="188" t="s">
        <v>22</v>
      </c>
      <c r="S267" s="188" t="s">
        <v>152</v>
      </c>
      <c r="T267" s="188" t="s">
        <v>121</v>
      </c>
      <c r="U267" s="188" t="s">
        <v>122</v>
      </c>
      <c r="V267" s="188" t="s">
        <v>123</v>
      </c>
      <c r="W267" s="188" t="s">
        <v>139</v>
      </c>
      <c r="X267" s="188" t="s">
        <v>116</v>
      </c>
      <c r="Y267" s="188" t="s">
        <v>1035</v>
      </c>
      <c r="Z267" s="0" t="n">
        <v>3</v>
      </c>
      <c r="AA267" s="188" t="s">
        <v>1052</v>
      </c>
    </row>
    <row r="268" customFormat="false" ht="15" hidden="false" customHeight="true" outlineLevel="0" collapsed="false">
      <c r="A268" s="0" t="n">
        <v>55</v>
      </c>
      <c r="B268" s="187" t="n">
        <v>46147.184357683</v>
      </c>
      <c r="C268" s="187" t="n">
        <v>46147.1877836089</v>
      </c>
      <c r="D268" s="188" t="s">
        <v>603</v>
      </c>
      <c r="E268" s="188" t="s">
        <v>604</v>
      </c>
      <c r="F268" s="188" t="s">
        <v>604</v>
      </c>
      <c r="G268" s="188" t="s">
        <v>605</v>
      </c>
      <c r="H268" s="187" t="n">
        <v>46132</v>
      </c>
      <c r="I268" s="188" t="s">
        <v>113</v>
      </c>
      <c r="J268" s="188" t="s">
        <v>295</v>
      </c>
      <c r="K268" s="188" t="s">
        <v>462</v>
      </c>
      <c r="L268" s="188" t="s">
        <v>431</v>
      </c>
      <c r="M268" s="188" t="s">
        <v>594</v>
      </c>
      <c r="N268" s="188" t="s">
        <v>606</v>
      </c>
      <c r="O268" s="188" t="s">
        <v>244</v>
      </c>
      <c r="P268" s="188" t="s">
        <v>390</v>
      </c>
      <c r="Q268" s="188" t="s">
        <v>112</v>
      </c>
      <c r="R268" s="188" t="s">
        <v>22</v>
      </c>
      <c r="S268" s="188" t="s">
        <v>152</v>
      </c>
      <c r="T268" s="188" t="s">
        <v>121</v>
      </c>
      <c r="U268" s="188" t="s">
        <v>122</v>
      </c>
      <c r="V268" s="188" t="s">
        <v>123</v>
      </c>
      <c r="W268" s="188" t="s">
        <v>139</v>
      </c>
      <c r="X268" s="188" t="s">
        <v>116</v>
      </c>
      <c r="Y268" s="188" t="s">
        <v>1037</v>
      </c>
      <c r="Z268" s="0" t="n">
        <v>1</v>
      </c>
      <c r="AA268" s="188" t="s">
        <v>1183</v>
      </c>
    </row>
    <row r="269" customFormat="false" ht="15" hidden="false" customHeight="true" outlineLevel="0" collapsed="false">
      <c r="A269" s="0" t="n">
        <v>55</v>
      </c>
      <c r="B269" s="187" t="n">
        <v>46147.184357683</v>
      </c>
      <c r="C269" s="187" t="n">
        <v>46147.1877836089</v>
      </c>
      <c r="D269" s="188" t="s">
        <v>603</v>
      </c>
      <c r="E269" s="188" t="s">
        <v>604</v>
      </c>
      <c r="F269" s="188" t="s">
        <v>604</v>
      </c>
      <c r="G269" s="188" t="s">
        <v>605</v>
      </c>
      <c r="H269" s="187" t="n">
        <v>46132</v>
      </c>
      <c r="I269" s="188" t="s">
        <v>113</v>
      </c>
      <c r="J269" s="188" t="s">
        <v>295</v>
      </c>
      <c r="K269" s="188" t="s">
        <v>462</v>
      </c>
      <c r="L269" s="188" t="s">
        <v>431</v>
      </c>
      <c r="M269" s="188" t="s">
        <v>594</v>
      </c>
      <c r="N269" s="188" t="s">
        <v>606</v>
      </c>
      <c r="O269" s="188" t="s">
        <v>244</v>
      </c>
      <c r="P269" s="188" t="s">
        <v>390</v>
      </c>
      <c r="Q269" s="188" t="s">
        <v>112</v>
      </c>
      <c r="R269" s="188" t="s">
        <v>22</v>
      </c>
      <c r="S269" s="188" t="s">
        <v>152</v>
      </c>
      <c r="T269" s="188" t="s">
        <v>121</v>
      </c>
      <c r="U269" s="188" t="s">
        <v>122</v>
      </c>
      <c r="V269" s="188" t="s">
        <v>123</v>
      </c>
      <c r="W269" s="188" t="s">
        <v>139</v>
      </c>
      <c r="X269" s="188" t="s">
        <v>116</v>
      </c>
      <c r="Y269" s="188" t="s">
        <v>1037</v>
      </c>
      <c r="Z269" s="0" t="n">
        <v>2</v>
      </c>
      <c r="AA269" s="188" t="s">
        <v>122</v>
      </c>
    </row>
    <row r="270" customFormat="false" ht="15" hidden="false" customHeight="true" outlineLevel="0" collapsed="false">
      <c r="A270" s="0" t="n">
        <v>55</v>
      </c>
      <c r="B270" s="187" t="n">
        <v>46147.184357683</v>
      </c>
      <c r="C270" s="187" t="n">
        <v>46147.1877836089</v>
      </c>
      <c r="D270" s="188" t="s">
        <v>603</v>
      </c>
      <c r="E270" s="188" t="s">
        <v>604</v>
      </c>
      <c r="F270" s="188" t="s">
        <v>604</v>
      </c>
      <c r="G270" s="188" t="s">
        <v>605</v>
      </c>
      <c r="H270" s="187" t="n">
        <v>46132</v>
      </c>
      <c r="I270" s="188" t="s">
        <v>113</v>
      </c>
      <c r="J270" s="188" t="s">
        <v>295</v>
      </c>
      <c r="K270" s="188" t="s">
        <v>462</v>
      </c>
      <c r="L270" s="188" t="s">
        <v>431</v>
      </c>
      <c r="M270" s="188" t="s">
        <v>594</v>
      </c>
      <c r="N270" s="188" t="s">
        <v>606</v>
      </c>
      <c r="O270" s="188" t="s">
        <v>244</v>
      </c>
      <c r="P270" s="188" t="s">
        <v>390</v>
      </c>
      <c r="Q270" s="188" t="s">
        <v>112</v>
      </c>
      <c r="R270" s="188" t="s">
        <v>22</v>
      </c>
      <c r="S270" s="188" t="s">
        <v>152</v>
      </c>
      <c r="T270" s="188" t="s">
        <v>121</v>
      </c>
      <c r="U270" s="188" t="s">
        <v>122</v>
      </c>
      <c r="V270" s="188" t="s">
        <v>123</v>
      </c>
      <c r="W270" s="188" t="s">
        <v>139</v>
      </c>
      <c r="X270" s="188" t="s">
        <v>116</v>
      </c>
      <c r="Y270" s="188" t="s">
        <v>1040</v>
      </c>
      <c r="Z270" s="0" t="n">
        <v>1</v>
      </c>
      <c r="AA270" s="188" t="s">
        <v>1112</v>
      </c>
    </row>
    <row r="271" customFormat="false" ht="15" hidden="false" customHeight="true" outlineLevel="0" collapsed="false">
      <c r="A271" s="0" t="n">
        <v>56</v>
      </c>
      <c r="B271" s="187" t="n">
        <v>46072.7152954454</v>
      </c>
      <c r="C271" s="187" t="n">
        <v>46072.7317306305</v>
      </c>
      <c r="D271" s="188" t="s">
        <v>609</v>
      </c>
      <c r="E271" s="188" t="s">
        <v>610</v>
      </c>
      <c r="F271" s="188" t="s">
        <v>610</v>
      </c>
      <c r="G271" s="188" t="s">
        <v>611</v>
      </c>
      <c r="H271" s="187" t="n">
        <v>46052</v>
      </c>
      <c r="I271" s="188" t="s">
        <v>305</v>
      </c>
      <c r="J271" s="188" t="s">
        <v>108</v>
      </c>
      <c r="K271" s="188" t="s">
        <v>364</v>
      </c>
      <c r="L271" s="188" t="s">
        <v>431</v>
      </c>
      <c r="M271" s="188" t="s">
        <v>612</v>
      </c>
      <c r="N271" s="188" t="s">
        <v>613</v>
      </c>
      <c r="O271" s="188" t="s">
        <v>172</v>
      </c>
      <c r="P271" s="188" t="s">
        <v>111</v>
      </c>
      <c r="Q271" s="188" t="s">
        <v>112</v>
      </c>
      <c r="R271" s="188" t="s">
        <v>21</v>
      </c>
      <c r="S271" s="188" t="s">
        <v>152</v>
      </c>
      <c r="T271" s="188" t="s">
        <v>121</v>
      </c>
      <c r="U271" s="188" t="s">
        <v>614</v>
      </c>
      <c r="V271" s="188" t="s">
        <v>123</v>
      </c>
      <c r="W271" s="188" t="s">
        <v>139</v>
      </c>
      <c r="X271" s="188" t="s">
        <v>307</v>
      </c>
      <c r="Y271" s="188" t="s">
        <v>1035</v>
      </c>
      <c r="Z271" s="0" t="n">
        <v>1</v>
      </c>
      <c r="AA271" s="188" t="s">
        <v>1102</v>
      </c>
    </row>
    <row r="272" customFormat="false" ht="15" hidden="false" customHeight="true" outlineLevel="0" collapsed="false">
      <c r="A272" s="0" t="n">
        <v>56</v>
      </c>
      <c r="B272" s="187" t="n">
        <v>46072.7152954454</v>
      </c>
      <c r="C272" s="187" t="n">
        <v>46072.7317306305</v>
      </c>
      <c r="D272" s="188" t="s">
        <v>609</v>
      </c>
      <c r="E272" s="188" t="s">
        <v>610</v>
      </c>
      <c r="F272" s="188" t="s">
        <v>610</v>
      </c>
      <c r="G272" s="188" t="s">
        <v>611</v>
      </c>
      <c r="H272" s="187" t="n">
        <v>46052</v>
      </c>
      <c r="I272" s="188" t="s">
        <v>305</v>
      </c>
      <c r="J272" s="188" t="s">
        <v>108</v>
      </c>
      <c r="K272" s="188" t="s">
        <v>364</v>
      </c>
      <c r="L272" s="188" t="s">
        <v>431</v>
      </c>
      <c r="M272" s="188" t="s">
        <v>612</v>
      </c>
      <c r="N272" s="188" t="s">
        <v>613</v>
      </c>
      <c r="O272" s="188" t="s">
        <v>172</v>
      </c>
      <c r="P272" s="188" t="s">
        <v>111</v>
      </c>
      <c r="Q272" s="188" t="s">
        <v>112</v>
      </c>
      <c r="R272" s="188" t="s">
        <v>21</v>
      </c>
      <c r="S272" s="188" t="s">
        <v>152</v>
      </c>
      <c r="T272" s="188" t="s">
        <v>121</v>
      </c>
      <c r="U272" s="188" t="s">
        <v>614</v>
      </c>
      <c r="V272" s="188" t="s">
        <v>123</v>
      </c>
      <c r="W272" s="188" t="s">
        <v>139</v>
      </c>
      <c r="X272" s="188" t="s">
        <v>307</v>
      </c>
      <c r="Y272" s="188" t="s">
        <v>1037</v>
      </c>
      <c r="Z272" s="0" t="n">
        <v>1</v>
      </c>
      <c r="AA272" s="188" t="s">
        <v>1104</v>
      </c>
    </row>
    <row r="273" customFormat="false" ht="15" hidden="false" customHeight="true" outlineLevel="0" collapsed="false">
      <c r="A273" s="0" t="n">
        <v>56</v>
      </c>
      <c r="B273" s="187" t="n">
        <v>46072.7152954454</v>
      </c>
      <c r="C273" s="187" t="n">
        <v>46072.7317306305</v>
      </c>
      <c r="D273" s="188" t="s">
        <v>609</v>
      </c>
      <c r="E273" s="188" t="s">
        <v>610</v>
      </c>
      <c r="F273" s="188" t="s">
        <v>610</v>
      </c>
      <c r="G273" s="188" t="s">
        <v>611</v>
      </c>
      <c r="H273" s="187" t="n">
        <v>46052</v>
      </c>
      <c r="I273" s="188" t="s">
        <v>305</v>
      </c>
      <c r="J273" s="188" t="s">
        <v>108</v>
      </c>
      <c r="K273" s="188" t="s">
        <v>364</v>
      </c>
      <c r="L273" s="188" t="s">
        <v>431</v>
      </c>
      <c r="M273" s="188" t="s">
        <v>612</v>
      </c>
      <c r="N273" s="188" t="s">
        <v>613</v>
      </c>
      <c r="O273" s="188" t="s">
        <v>172</v>
      </c>
      <c r="P273" s="188" t="s">
        <v>111</v>
      </c>
      <c r="Q273" s="188" t="s">
        <v>112</v>
      </c>
      <c r="R273" s="188" t="s">
        <v>21</v>
      </c>
      <c r="S273" s="188" t="s">
        <v>152</v>
      </c>
      <c r="T273" s="188" t="s">
        <v>121</v>
      </c>
      <c r="U273" s="188" t="s">
        <v>614</v>
      </c>
      <c r="V273" s="188" t="s">
        <v>123</v>
      </c>
      <c r="W273" s="188" t="s">
        <v>139</v>
      </c>
      <c r="X273" s="188" t="s">
        <v>307</v>
      </c>
      <c r="Y273" s="188" t="s">
        <v>1040</v>
      </c>
      <c r="Z273" s="0" t="n">
        <v>1</v>
      </c>
      <c r="AA273" s="188" t="s">
        <v>1105</v>
      </c>
    </row>
    <row r="274" customFormat="false" ht="15" hidden="false" customHeight="true" outlineLevel="0" collapsed="false">
      <c r="A274" s="0" t="n">
        <v>56</v>
      </c>
      <c r="B274" s="187" t="n">
        <v>46072.7152954454</v>
      </c>
      <c r="C274" s="187" t="n">
        <v>46072.7317306305</v>
      </c>
      <c r="D274" s="188" t="s">
        <v>609</v>
      </c>
      <c r="E274" s="188" t="s">
        <v>610</v>
      </c>
      <c r="F274" s="188" t="s">
        <v>610</v>
      </c>
      <c r="G274" s="188" t="s">
        <v>611</v>
      </c>
      <c r="H274" s="187" t="n">
        <v>46052</v>
      </c>
      <c r="I274" s="188" t="s">
        <v>305</v>
      </c>
      <c r="J274" s="188" t="s">
        <v>108</v>
      </c>
      <c r="K274" s="188" t="s">
        <v>364</v>
      </c>
      <c r="L274" s="188" t="s">
        <v>431</v>
      </c>
      <c r="M274" s="188" t="s">
        <v>612</v>
      </c>
      <c r="N274" s="188" t="s">
        <v>613</v>
      </c>
      <c r="O274" s="188" t="s">
        <v>172</v>
      </c>
      <c r="P274" s="188" t="s">
        <v>111</v>
      </c>
      <c r="Q274" s="188" t="s">
        <v>112</v>
      </c>
      <c r="R274" s="188" t="s">
        <v>21</v>
      </c>
      <c r="S274" s="188" t="s">
        <v>152</v>
      </c>
      <c r="T274" s="188" t="s">
        <v>121</v>
      </c>
      <c r="U274" s="188" t="s">
        <v>614</v>
      </c>
      <c r="V274" s="188" t="s">
        <v>123</v>
      </c>
      <c r="W274" s="188" t="s">
        <v>139</v>
      </c>
      <c r="X274" s="188" t="s">
        <v>307</v>
      </c>
      <c r="Y274" s="188" t="s">
        <v>1040</v>
      </c>
      <c r="Z274" s="0" t="n">
        <v>2</v>
      </c>
      <c r="AA274" s="188" t="s">
        <v>1106</v>
      </c>
    </row>
    <row r="275" customFormat="false" ht="15" hidden="false" customHeight="true" outlineLevel="0" collapsed="false">
      <c r="A275" s="0" t="n">
        <v>57</v>
      </c>
      <c r="B275" s="187" t="n">
        <v>46194.5856993516</v>
      </c>
      <c r="C275" s="187" t="n">
        <v>46194.5941368516</v>
      </c>
      <c r="D275" s="188" t="s">
        <v>615</v>
      </c>
      <c r="E275" s="188" t="s">
        <v>616</v>
      </c>
      <c r="F275" s="188" t="s">
        <v>617</v>
      </c>
      <c r="G275" s="188" t="s">
        <v>618</v>
      </c>
      <c r="H275" s="187" t="n">
        <v>46193</v>
      </c>
      <c r="I275" s="188" t="s">
        <v>325</v>
      </c>
      <c r="J275" s="188" t="s">
        <v>108</v>
      </c>
      <c r="K275" s="188" t="s">
        <v>257</v>
      </c>
      <c r="L275" s="188" t="s">
        <v>431</v>
      </c>
      <c r="M275" s="188" t="s">
        <v>406</v>
      </c>
      <c r="N275" s="188" t="s">
        <v>111</v>
      </c>
      <c r="O275" s="188" t="s">
        <v>107</v>
      </c>
      <c r="P275" s="188" t="s">
        <v>111</v>
      </c>
      <c r="Q275" s="188" t="s">
        <v>145</v>
      </c>
      <c r="R275" s="188" t="s">
        <v>25</v>
      </c>
      <c r="S275" s="188" t="s">
        <v>152</v>
      </c>
      <c r="T275" s="188" t="s">
        <v>121</v>
      </c>
      <c r="U275" s="188" t="s">
        <v>122</v>
      </c>
      <c r="V275" s="188" t="s">
        <v>167</v>
      </c>
      <c r="W275" s="188" t="s">
        <v>124</v>
      </c>
      <c r="X275" s="188" t="s">
        <v>327</v>
      </c>
      <c r="Y275" s="188" t="s">
        <v>1035</v>
      </c>
      <c r="Z275" s="0" t="n">
        <v>1</v>
      </c>
      <c r="AA275" s="188" t="s">
        <v>1036</v>
      </c>
    </row>
    <row r="276" customFormat="false" ht="15" hidden="false" customHeight="true" outlineLevel="0" collapsed="false">
      <c r="A276" s="0" t="n">
        <v>57</v>
      </c>
      <c r="B276" s="187" t="n">
        <v>46194.5856993516</v>
      </c>
      <c r="C276" s="187" t="n">
        <v>46194.5941368516</v>
      </c>
      <c r="D276" s="188" t="s">
        <v>615</v>
      </c>
      <c r="E276" s="188" t="s">
        <v>616</v>
      </c>
      <c r="F276" s="188" t="s">
        <v>617</v>
      </c>
      <c r="G276" s="188" t="s">
        <v>618</v>
      </c>
      <c r="H276" s="187" t="n">
        <v>46193</v>
      </c>
      <c r="I276" s="188" t="s">
        <v>325</v>
      </c>
      <c r="J276" s="188" t="s">
        <v>108</v>
      </c>
      <c r="K276" s="188" t="s">
        <v>257</v>
      </c>
      <c r="L276" s="188" t="s">
        <v>431</v>
      </c>
      <c r="M276" s="188" t="s">
        <v>406</v>
      </c>
      <c r="N276" s="188" t="s">
        <v>111</v>
      </c>
      <c r="O276" s="188" t="s">
        <v>107</v>
      </c>
      <c r="P276" s="188" t="s">
        <v>111</v>
      </c>
      <c r="Q276" s="188" t="s">
        <v>145</v>
      </c>
      <c r="R276" s="188" t="s">
        <v>25</v>
      </c>
      <c r="S276" s="188" t="s">
        <v>152</v>
      </c>
      <c r="T276" s="188" t="s">
        <v>121</v>
      </c>
      <c r="U276" s="188" t="s">
        <v>122</v>
      </c>
      <c r="V276" s="188" t="s">
        <v>167</v>
      </c>
      <c r="W276" s="188" t="s">
        <v>124</v>
      </c>
      <c r="X276" s="188" t="s">
        <v>327</v>
      </c>
      <c r="Y276" s="188" t="s">
        <v>1035</v>
      </c>
      <c r="Z276" s="0" t="n">
        <v>2</v>
      </c>
      <c r="AA276" s="188" t="s">
        <v>1052</v>
      </c>
    </row>
    <row r="277" customFormat="false" ht="15" hidden="false" customHeight="true" outlineLevel="0" collapsed="false">
      <c r="A277" s="0" t="n">
        <v>57</v>
      </c>
      <c r="B277" s="187" t="n">
        <v>46194.5856993516</v>
      </c>
      <c r="C277" s="187" t="n">
        <v>46194.5941368516</v>
      </c>
      <c r="D277" s="188" t="s">
        <v>615</v>
      </c>
      <c r="E277" s="188" t="s">
        <v>616</v>
      </c>
      <c r="F277" s="188" t="s">
        <v>617</v>
      </c>
      <c r="G277" s="188" t="s">
        <v>618</v>
      </c>
      <c r="H277" s="187" t="n">
        <v>46193</v>
      </c>
      <c r="I277" s="188" t="s">
        <v>325</v>
      </c>
      <c r="J277" s="188" t="s">
        <v>108</v>
      </c>
      <c r="K277" s="188" t="s">
        <v>257</v>
      </c>
      <c r="L277" s="188" t="s">
        <v>431</v>
      </c>
      <c r="M277" s="188" t="s">
        <v>406</v>
      </c>
      <c r="N277" s="188" t="s">
        <v>111</v>
      </c>
      <c r="O277" s="188" t="s">
        <v>107</v>
      </c>
      <c r="P277" s="188" t="s">
        <v>111</v>
      </c>
      <c r="Q277" s="188" t="s">
        <v>145</v>
      </c>
      <c r="R277" s="188" t="s">
        <v>25</v>
      </c>
      <c r="S277" s="188" t="s">
        <v>152</v>
      </c>
      <c r="T277" s="188" t="s">
        <v>121</v>
      </c>
      <c r="U277" s="188" t="s">
        <v>122</v>
      </c>
      <c r="V277" s="188" t="s">
        <v>167</v>
      </c>
      <c r="W277" s="188" t="s">
        <v>124</v>
      </c>
      <c r="X277" s="188" t="s">
        <v>327</v>
      </c>
      <c r="Y277" s="188" t="s">
        <v>1037</v>
      </c>
      <c r="Z277" s="0" t="n">
        <v>1</v>
      </c>
      <c r="AA277" s="188" t="s">
        <v>1038</v>
      </c>
    </row>
    <row r="278" customFormat="false" ht="15" hidden="false" customHeight="true" outlineLevel="0" collapsed="false">
      <c r="A278" s="0" t="n">
        <v>57</v>
      </c>
      <c r="B278" s="187" t="n">
        <v>46194.5856993516</v>
      </c>
      <c r="C278" s="187" t="n">
        <v>46194.5941368516</v>
      </c>
      <c r="D278" s="188" t="s">
        <v>615</v>
      </c>
      <c r="E278" s="188" t="s">
        <v>616</v>
      </c>
      <c r="F278" s="188" t="s">
        <v>617</v>
      </c>
      <c r="G278" s="188" t="s">
        <v>618</v>
      </c>
      <c r="H278" s="187" t="n">
        <v>46193</v>
      </c>
      <c r="I278" s="188" t="s">
        <v>325</v>
      </c>
      <c r="J278" s="188" t="s">
        <v>108</v>
      </c>
      <c r="K278" s="188" t="s">
        <v>257</v>
      </c>
      <c r="L278" s="188" t="s">
        <v>431</v>
      </c>
      <c r="M278" s="188" t="s">
        <v>406</v>
      </c>
      <c r="N278" s="188" t="s">
        <v>111</v>
      </c>
      <c r="O278" s="188" t="s">
        <v>107</v>
      </c>
      <c r="P278" s="188" t="s">
        <v>111</v>
      </c>
      <c r="Q278" s="188" t="s">
        <v>145</v>
      </c>
      <c r="R278" s="188" t="s">
        <v>25</v>
      </c>
      <c r="S278" s="188" t="s">
        <v>152</v>
      </c>
      <c r="T278" s="188" t="s">
        <v>121</v>
      </c>
      <c r="U278" s="188" t="s">
        <v>122</v>
      </c>
      <c r="V278" s="188" t="s">
        <v>167</v>
      </c>
      <c r="W278" s="188" t="s">
        <v>124</v>
      </c>
      <c r="X278" s="188" t="s">
        <v>327</v>
      </c>
      <c r="Y278" s="188" t="s">
        <v>1037</v>
      </c>
      <c r="Z278" s="0" t="n">
        <v>2</v>
      </c>
      <c r="AA278" s="188" t="s">
        <v>1039</v>
      </c>
    </row>
    <row r="279" customFormat="false" ht="15" hidden="false" customHeight="true" outlineLevel="0" collapsed="false">
      <c r="A279" s="0" t="n">
        <v>57</v>
      </c>
      <c r="B279" s="187" t="n">
        <v>46194.5856993516</v>
      </c>
      <c r="C279" s="187" t="n">
        <v>46194.5941368516</v>
      </c>
      <c r="D279" s="188" t="s">
        <v>615</v>
      </c>
      <c r="E279" s="188" t="s">
        <v>616</v>
      </c>
      <c r="F279" s="188" t="s">
        <v>617</v>
      </c>
      <c r="G279" s="188" t="s">
        <v>618</v>
      </c>
      <c r="H279" s="187" t="n">
        <v>46193</v>
      </c>
      <c r="I279" s="188" t="s">
        <v>325</v>
      </c>
      <c r="J279" s="188" t="s">
        <v>108</v>
      </c>
      <c r="K279" s="188" t="s">
        <v>257</v>
      </c>
      <c r="L279" s="188" t="s">
        <v>431</v>
      </c>
      <c r="M279" s="188" t="s">
        <v>406</v>
      </c>
      <c r="N279" s="188" t="s">
        <v>111</v>
      </c>
      <c r="O279" s="188" t="s">
        <v>107</v>
      </c>
      <c r="P279" s="188" t="s">
        <v>111</v>
      </c>
      <c r="Q279" s="188" t="s">
        <v>145</v>
      </c>
      <c r="R279" s="188" t="s">
        <v>25</v>
      </c>
      <c r="S279" s="188" t="s">
        <v>152</v>
      </c>
      <c r="T279" s="188" t="s">
        <v>121</v>
      </c>
      <c r="U279" s="188" t="s">
        <v>122</v>
      </c>
      <c r="V279" s="188" t="s">
        <v>167</v>
      </c>
      <c r="W279" s="188" t="s">
        <v>124</v>
      </c>
      <c r="X279" s="188" t="s">
        <v>327</v>
      </c>
      <c r="Y279" s="188" t="s">
        <v>1040</v>
      </c>
      <c r="Z279" s="0" t="n">
        <v>1</v>
      </c>
      <c r="AA279" s="188" t="s">
        <v>1079</v>
      </c>
    </row>
    <row r="280" customFormat="false" ht="15" hidden="false" customHeight="true" outlineLevel="0" collapsed="false">
      <c r="A280" s="0" t="n">
        <v>58</v>
      </c>
      <c r="B280" s="187" t="n">
        <v>46145.4537961707</v>
      </c>
      <c r="C280" s="187" t="n">
        <v>46145.4722683929</v>
      </c>
      <c r="D280" s="188" t="s">
        <v>622</v>
      </c>
      <c r="E280" s="188" t="s">
        <v>623</v>
      </c>
      <c r="F280" s="188" t="s">
        <v>623</v>
      </c>
      <c r="G280" s="188" t="s">
        <v>624</v>
      </c>
      <c r="H280" s="187" t="n">
        <v>46140</v>
      </c>
      <c r="I280" s="188" t="s">
        <v>113</v>
      </c>
      <c r="J280" s="188" t="s">
        <v>108</v>
      </c>
      <c r="K280" s="188" t="s">
        <v>232</v>
      </c>
      <c r="L280" s="188" t="s">
        <v>389</v>
      </c>
      <c r="M280" s="188" t="s">
        <v>286</v>
      </c>
      <c r="N280" s="188" t="s">
        <v>625</v>
      </c>
      <c r="O280" s="188" t="s">
        <v>172</v>
      </c>
      <c r="P280" s="188" t="s">
        <v>111</v>
      </c>
      <c r="Q280" s="188" t="s">
        <v>247</v>
      </c>
      <c r="R280" s="188" t="s">
        <v>22</v>
      </c>
      <c r="S280" s="188" t="s">
        <v>152</v>
      </c>
      <c r="T280" s="188" t="s">
        <v>121</v>
      </c>
      <c r="V280" s="188" t="s">
        <v>123</v>
      </c>
      <c r="W280" s="188" t="s">
        <v>124</v>
      </c>
      <c r="X280" s="188" t="s">
        <v>135</v>
      </c>
      <c r="Y280" s="188" t="s">
        <v>1035</v>
      </c>
      <c r="Z280" s="0" t="n">
        <v>1</v>
      </c>
      <c r="AA280" s="188" t="s">
        <v>1043</v>
      </c>
    </row>
    <row r="281" customFormat="false" ht="15" hidden="false" customHeight="true" outlineLevel="0" collapsed="false">
      <c r="A281" s="0" t="n">
        <v>58</v>
      </c>
      <c r="B281" s="187" t="n">
        <v>46145.4537961707</v>
      </c>
      <c r="C281" s="187" t="n">
        <v>46145.4722683929</v>
      </c>
      <c r="D281" s="188" t="s">
        <v>622</v>
      </c>
      <c r="E281" s="188" t="s">
        <v>623</v>
      </c>
      <c r="F281" s="188" t="s">
        <v>623</v>
      </c>
      <c r="G281" s="188" t="s">
        <v>624</v>
      </c>
      <c r="H281" s="187" t="n">
        <v>46140</v>
      </c>
      <c r="I281" s="188" t="s">
        <v>113</v>
      </c>
      <c r="J281" s="188" t="s">
        <v>108</v>
      </c>
      <c r="K281" s="188" t="s">
        <v>232</v>
      </c>
      <c r="L281" s="188" t="s">
        <v>389</v>
      </c>
      <c r="M281" s="188" t="s">
        <v>286</v>
      </c>
      <c r="N281" s="188" t="s">
        <v>625</v>
      </c>
      <c r="O281" s="188" t="s">
        <v>172</v>
      </c>
      <c r="P281" s="188" t="s">
        <v>111</v>
      </c>
      <c r="Q281" s="188" t="s">
        <v>247</v>
      </c>
      <c r="R281" s="188" t="s">
        <v>22</v>
      </c>
      <c r="S281" s="188" t="s">
        <v>152</v>
      </c>
      <c r="T281" s="188" t="s">
        <v>121</v>
      </c>
      <c r="V281" s="188" t="s">
        <v>123</v>
      </c>
      <c r="W281" s="188" t="s">
        <v>124</v>
      </c>
      <c r="X281" s="188" t="s">
        <v>135</v>
      </c>
      <c r="Y281" s="188" t="s">
        <v>1037</v>
      </c>
      <c r="Z281" s="0" t="n">
        <v>1</v>
      </c>
      <c r="AA281" s="188" t="s">
        <v>1123</v>
      </c>
    </row>
    <row r="282" customFormat="false" ht="15" hidden="false" customHeight="true" outlineLevel="0" collapsed="false">
      <c r="A282" s="0" t="n">
        <v>58</v>
      </c>
      <c r="B282" s="187" t="n">
        <v>46145.4537961707</v>
      </c>
      <c r="C282" s="187" t="n">
        <v>46145.4722683929</v>
      </c>
      <c r="D282" s="188" t="s">
        <v>622</v>
      </c>
      <c r="E282" s="188" t="s">
        <v>623</v>
      </c>
      <c r="F282" s="188" t="s">
        <v>623</v>
      </c>
      <c r="G282" s="188" t="s">
        <v>624</v>
      </c>
      <c r="H282" s="187" t="n">
        <v>46140</v>
      </c>
      <c r="I282" s="188" t="s">
        <v>113</v>
      </c>
      <c r="J282" s="188" t="s">
        <v>108</v>
      </c>
      <c r="K282" s="188" t="s">
        <v>232</v>
      </c>
      <c r="L282" s="188" t="s">
        <v>389</v>
      </c>
      <c r="M282" s="188" t="s">
        <v>286</v>
      </c>
      <c r="N282" s="188" t="s">
        <v>625</v>
      </c>
      <c r="O282" s="188" t="s">
        <v>172</v>
      </c>
      <c r="P282" s="188" t="s">
        <v>111</v>
      </c>
      <c r="Q282" s="188" t="s">
        <v>247</v>
      </c>
      <c r="R282" s="188" t="s">
        <v>22</v>
      </c>
      <c r="S282" s="188" t="s">
        <v>152</v>
      </c>
      <c r="T282" s="188" t="s">
        <v>121</v>
      </c>
      <c r="V282" s="188" t="s">
        <v>123</v>
      </c>
      <c r="W282" s="188" t="s">
        <v>124</v>
      </c>
      <c r="X282" s="188" t="s">
        <v>135</v>
      </c>
      <c r="Y282" s="188" t="s">
        <v>1037</v>
      </c>
      <c r="Z282" s="0" t="n">
        <v>2</v>
      </c>
      <c r="AA282" s="188" t="s">
        <v>1164</v>
      </c>
    </row>
    <row r="283" customFormat="false" ht="15" hidden="false" customHeight="true" outlineLevel="0" collapsed="false">
      <c r="A283" s="0" t="n">
        <v>58</v>
      </c>
      <c r="B283" s="187" t="n">
        <v>46145.4537961707</v>
      </c>
      <c r="C283" s="187" t="n">
        <v>46145.4722683929</v>
      </c>
      <c r="D283" s="188" t="s">
        <v>622</v>
      </c>
      <c r="E283" s="188" t="s">
        <v>623</v>
      </c>
      <c r="F283" s="188" t="s">
        <v>623</v>
      </c>
      <c r="G283" s="188" t="s">
        <v>624</v>
      </c>
      <c r="H283" s="187" t="n">
        <v>46140</v>
      </c>
      <c r="I283" s="188" t="s">
        <v>113</v>
      </c>
      <c r="J283" s="188" t="s">
        <v>108</v>
      </c>
      <c r="K283" s="188" t="s">
        <v>232</v>
      </c>
      <c r="L283" s="188" t="s">
        <v>389</v>
      </c>
      <c r="M283" s="188" t="s">
        <v>286</v>
      </c>
      <c r="N283" s="188" t="s">
        <v>625</v>
      </c>
      <c r="O283" s="188" t="s">
        <v>172</v>
      </c>
      <c r="P283" s="188" t="s">
        <v>111</v>
      </c>
      <c r="Q283" s="188" t="s">
        <v>247</v>
      </c>
      <c r="R283" s="188" t="s">
        <v>22</v>
      </c>
      <c r="S283" s="188" t="s">
        <v>152</v>
      </c>
      <c r="T283" s="188" t="s">
        <v>121</v>
      </c>
      <c r="V283" s="188" t="s">
        <v>123</v>
      </c>
      <c r="W283" s="188" t="s">
        <v>124</v>
      </c>
      <c r="X283" s="188" t="s">
        <v>135</v>
      </c>
      <c r="Y283" s="188" t="s">
        <v>1040</v>
      </c>
      <c r="Z283" s="0" t="n">
        <v>1</v>
      </c>
      <c r="AA283" s="188" t="s">
        <v>1184</v>
      </c>
    </row>
    <row r="284" customFormat="false" ht="15" hidden="false" customHeight="true" outlineLevel="0" collapsed="false">
      <c r="A284" s="0" t="n">
        <v>59</v>
      </c>
      <c r="B284" s="187" t="n">
        <v>46205.1838746871</v>
      </c>
      <c r="C284" s="187" t="n">
        <v>46205.1921038538</v>
      </c>
      <c r="D284" s="188" t="s">
        <v>629</v>
      </c>
      <c r="E284" s="188" t="s">
        <v>630</v>
      </c>
      <c r="F284" s="188" t="s">
        <v>630</v>
      </c>
      <c r="G284" s="188" t="s">
        <v>631</v>
      </c>
      <c r="H284" s="187" t="n">
        <v>46191</v>
      </c>
      <c r="I284" s="188" t="s">
        <v>325</v>
      </c>
      <c r="J284" s="188" t="s">
        <v>108</v>
      </c>
      <c r="K284" s="188" t="s">
        <v>462</v>
      </c>
      <c r="L284" s="188" t="s">
        <v>431</v>
      </c>
      <c r="M284" s="188" t="s">
        <v>612</v>
      </c>
      <c r="N284" s="188" t="s">
        <v>347</v>
      </c>
      <c r="O284" s="188" t="s">
        <v>278</v>
      </c>
      <c r="P284" s="188" t="s">
        <v>390</v>
      </c>
      <c r="Q284" s="188" t="s">
        <v>112</v>
      </c>
      <c r="R284" s="188" t="s">
        <v>24</v>
      </c>
      <c r="S284" s="188" t="s">
        <v>152</v>
      </c>
      <c r="T284" s="188" t="s">
        <v>121</v>
      </c>
      <c r="V284" s="188" t="s">
        <v>192</v>
      </c>
      <c r="W284" s="188" t="s">
        <v>124</v>
      </c>
      <c r="X284" s="188" t="s">
        <v>223</v>
      </c>
      <c r="Y284" s="188" t="s">
        <v>1035</v>
      </c>
      <c r="Z284" s="0" t="n">
        <v>1</v>
      </c>
      <c r="AA284" s="188" t="s">
        <v>1091</v>
      </c>
    </row>
    <row r="285" customFormat="false" ht="15" hidden="false" customHeight="true" outlineLevel="0" collapsed="false">
      <c r="A285" s="0" t="n">
        <v>59</v>
      </c>
      <c r="B285" s="187" t="n">
        <v>46205.1838746871</v>
      </c>
      <c r="C285" s="187" t="n">
        <v>46205.1921038538</v>
      </c>
      <c r="D285" s="188" t="s">
        <v>629</v>
      </c>
      <c r="E285" s="188" t="s">
        <v>630</v>
      </c>
      <c r="F285" s="188" t="s">
        <v>630</v>
      </c>
      <c r="G285" s="188" t="s">
        <v>631</v>
      </c>
      <c r="H285" s="187" t="n">
        <v>46191</v>
      </c>
      <c r="I285" s="188" t="s">
        <v>325</v>
      </c>
      <c r="J285" s="188" t="s">
        <v>108</v>
      </c>
      <c r="K285" s="188" t="s">
        <v>462</v>
      </c>
      <c r="L285" s="188" t="s">
        <v>431</v>
      </c>
      <c r="M285" s="188" t="s">
        <v>612</v>
      </c>
      <c r="N285" s="188" t="s">
        <v>347</v>
      </c>
      <c r="O285" s="188" t="s">
        <v>278</v>
      </c>
      <c r="P285" s="188" t="s">
        <v>390</v>
      </c>
      <c r="Q285" s="188" t="s">
        <v>112</v>
      </c>
      <c r="R285" s="188" t="s">
        <v>24</v>
      </c>
      <c r="S285" s="188" t="s">
        <v>152</v>
      </c>
      <c r="T285" s="188" t="s">
        <v>121</v>
      </c>
      <c r="V285" s="188" t="s">
        <v>192</v>
      </c>
      <c r="W285" s="188" t="s">
        <v>124</v>
      </c>
      <c r="X285" s="188" t="s">
        <v>223</v>
      </c>
      <c r="Y285" s="188" t="s">
        <v>1037</v>
      </c>
      <c r="Z285" s="0" t="n">
        <v>1</v>
      </c>
      <c r="AA285" s="188" t="s">
        <v>1185</v>
      </c>
    </row>
    <row r="286" customFormat="false" ht="15" hidden="false" customHeight="true" outlineLevel="0" collapsed="false">
      <c r="A286" s="0" t="n">
        <v>59</v>
      </c>
      <c r="B286" s="187" t="n">
        <v>46205.1838746871</v>
      </c>
      <c r="C286" s="187" t="n">
        <v>46205.1921038538</v>
      </c>
      <c r="D286" s="188" t="s">
        <v>629</v>
      </c>
      <c r="E286" s="188" t="s">
        <v>630</v>
      </c>
      <c r="F286" s="188" t="s">
        <v>630</v>
      </c>
      <c r="G286" s="188" t="s">
        <v>631</v>
      </c>
      <c r="H286" s="187" t="n">
        <v>46191</v>
      </c>
      <c r="I286" s="188" t="s">
        <v>325</v>
      </c>
      <c r="J286" s="188" t="s">
        <v>108</v>
      </c>
      <c r="K286" s="188" t="s">
        <v>462</v>
      </c>
      <c r="L286" s="188" t="s">
        <v>431</v>
      </c>
      <c r="M286" s="188" t="s">
        <v>612</v>
      </c>
      <c r="N286" s="188" t="s">
        <v>347</v>
      </c>
      <c r="O286" s="188" t="s">
        <v>278</v>
      </c>
      <c r="P286" s="188" t="s">
        <v>390</v>
      </c>
      <c r="Q286" s="188" t="s">
        <v>112</v>
      </c>
      <c r="R286" s="188" t="s">
        <v>24</v>
      </c>
      <c r="S286" s="188" t="s">
        <v>152</v>
      </c>
      <c r="T286" s="188" t="s">
        <v>121</v>
      </c>
      <c r="V286" s="188" t="s">
        <v>192</v>
      </c>
      <c r="W286" s="188" t="s">
        <v>124</v>
      </c>
      <c r="X286" s="188" t="s">
        <v>223</v>
      </c>
      <c r="Y286" s="188" t="s">
        <v>1037</v>
      </c>
      <c r="Z286" s="0" t="n">
        <v>2</v>
      </c>
      <c r="AA286" s="188" t="s">
        <v>1143</v>
      </c>
    </row>
    <row r="287" customFormat="false" ht="15" hidden="false" customHeight="true" outlineLevel="0" collapsed="false">
      <c r="A287" s="0" t="n">
        <v>59</v>
      </c>
      <c r="B287" s="187" t="n">
        <v>46205.1838746871</v>
      </c>
      <c r="C287" s="187" t="n">
        <v>46205.1921038538</v>
      </c>
      <c r="D287" s="188" t="s">
        <v>629</v>
      </c>
      <c r="E287" s="188" t="s">
        <v>630</v>
      </c>
      <c r="F287" s="188" t="s">
        <v>630</v>
      </c>
      <c r="G287" s="188" t="s">
        <v>631</v>
      </c>
      <c r="H287" s="187" t="n">
        <v>46191</v>
      </c>
      <c r="I287" s="188" t="s">
        <v>325</v>
      </c>
      <c r="J287" s="188" t="s">
        <v>108</v>
      </c>
      <c r="K287" s="188" t="s">
        <v>462</v>
      </c>
      <c r="L287" s="188" t="s">
        <v>431</v>
      </c>
      <c r="M287" s="188" t="s">
        <v>612</v>
      </c>
      <c r="N287" s="188" t="s">
        <v>347</v>
      </c>
      <c r="O287" s="188" t="s">
        <v>278</v>
      </c>
      <c r="P287" s="188" t="s">
        <v>390</v>
      </c>
      <c r="Q287" s="188" t="s">
        <v>112</v>
      </c>
      <c r="R287" s="188" t="s">
        <v>24</v>
      </c>
      <c r="S287" s="188" t="s">
        <v>152</v>
      </c>
      <c r="T287" s="188" t="s">
        <v>121</v>
      </c>
      <c r="V287" s="188" t="s">
        <v>192</v>
      </c>
      <c r="W287" s="188" t="s">
        <v>124</v>
      </c>
      <c r="X287" s="188" t="s">
        <v>223</v>
      </c>
      <c r="Y287" s="188" t="s">
        <v>1040</v>
      </c>
      <c r="Z287" s="0" t="n">
        <v>1</v>
      </c>
      <c r="AA287" s="188" t="s">
        <v>1122</v>
      </c>
    </row>
    <row r="288" customFormat="false" ht="15" hidden="false" customHeight="true" outlineLevel="0" collapsed="false">
      <c r="A288" s="0" t="n">
        <v>60</v>
      </c>
      <c r="B288" s="187" t="n">
        <v>46196.2007336531</v>
      </c>
      <c r="C288" s="187" t="n">
        <v>46196.2167290234</v>
      </c>
      <c r="D288" s="188" t="s">
        <v>635</v>
      </c>
      <c r="E288" s="188" t="s">
        <v>636</v>
      </c>
      <c r="F288" s="188" t="s">
        <v>636</v>
      </c>
      <c r="G288" s="188" t="s">
        <v>637</v>
      </c>
      <c r="H288" s="187" t="n">
        <v>46178</v>
      </c>
      <c r="I288" s="188" t="s">
        <v>113</v>
      </c>
      <c r="J288" s="188" t="s">
        <v>295</v>
      </c>
      <c r="K288" s="188" t="s">
        <v>232</v>
      </c>
      <c r="L288" s="188" t="s">
        <v>389</v>
      </c>
      <c r="M288" s="188" t="s">
        <v>279</v>
      </c>
      <c r="N288" s="188" t="s">
        <v>638</v>
      </c>
      <c r="O288" s="188" t="s">
        <v>172</v>
      </c>
      <c r="P288" s="188" t="s">
        <v>131</v>
      </c>
      <c r="Q288" s="188" t="s">
        <v>112</v>
      </c>
      <c r="R288" s="188" t="s">
        <v>22</v>
      </c>
      <c r="S288" s="188" t="s">
        <v>120</v>
      </c>
      <c r="T288" s="188" t="s">
        <v>180</v>
      </c>
      <c r="U288" s="131" t="s">
        <v>641</v>
      </c>
      <c r="V288" s="188" t="s">
        <v>167</v>
      </c>
      <c r="W288" s="188" t="s">
        <v>124</v>
      </c>
      <c r="X288" s="188" t="s">
        <v>135</v>
      </c>
      <c r="Y288" s="188" t="s">
        <v>1035</v>
      </c>
      <c r="Z288" s="0" t="n">
        <v>1</v>
      </c>
      <c r="AA288" s="188" t="s">
        <v>1155</v>
      </c>
    </row>
    <row r="289" customFormat="false" ht="15" hidden="false" customHeight="true" outlineLevel="0" collapsed="false">
      <c r="A289" s="0" t="n">
        <v>60</v>
      </c>
      <c r="B289" s="187" t="n">
        <v>46196.2007336531</v>
      </c>
      <c r="C289" s="187" t="n">
        <v>46196.2167290234</v>
      </c>
      <c r="D289" s="188" t="s">
        <v>635</v>
      </c>
      <c r="E289" s="188" t="s">
        <v>636</v>
      </c>
      <c r="F289" s="188" t="s">
        <v>636</v>
      </c>
      <c r="G289" s="188" t="s">
        <v>637</v>
      </c>
      <c r="H289" s="187" t="n">
        <v>46178</v>
      </c>
      <c r="I289" s="188" t="s">
        <v>113</v>
      </c>
      <c r="J289" s="188" t="s">
        <v>295</v>
      </c>
      <c r="K289" s="188" t="s">
        <v>232</v>
      </c>
      <c r="L289" s="188" t="s">
        <v>389</v>
      </c>
      <c r="M289" s="188" t="s">
        <v>279</v>
      </c>
      <c r="N289" s="188" t="s">
        <v>638</v>
      </c>
      <c r="O289" s="188" t="s">
        <v>172</v>
      </c>
      <c r="P289" s="188" t="s">
        <v>131</v>
      </c>
      <c r="Q289" s="188" t="s">
        <v>112</v>
      </c>
      <c r="R289" s="188" t="s">
        <v>22</v>
      </c>
      <c r="S289" s="188" t="s">
        <v>120</v>
      </c>
      <c r="T289" s="188" t="s">
        <v>180</v>
      </c>
      <c r="U289" s="131" t="s">
        <v>641</v>
      </c>
      <c r="V289" s="188" t="s">
        <v>167</v>
      </c>
      <c r="W289" s="188" t="s">
        <v>124</v>
      </c>
      <c r="X289" s="188" t="s">
        <v>135</v>
      </c>
      <c r="Y289" s="188" t="s">
        <v>1035</v>
      </c>
      <c r="Z289" s="0" t="n">
        <v>2</v>
      </c>
      <c r="AA289" s="188" t="s">
        <v>1043</v>
      </c>
    </row>
    <row r="290" customFormat="false" ht="15" hidden="false" customHeight="true" outlineLevel="0" collapsed="false">
      <c r="A290" s="0" t="n">
        <v>60</v>
      </c>
      <c r="B290" s="187" t="n">
        <v>46196.2007336531</v>
      </c>
      <c r="C290" s="187" t="n">
        <v>46196.2167290234</v>
      </c>
      <c r="D290" s="188" t="s">
        <v>635</v>
      </c>
      <c r="E290" s="188" t="s">
        <v>636</v>
      </c>
      <c r="F290" s="188" t="s">
        <v>636</v>
      </c>
      <c r="G290" s="188" t="s">
        <v>637</v>
      </c>
      <c r="H290" s="187" t="n">
        <v>46178</v>
      </c>
      <c r="I290" s="188" t="s">
        <v>113</v>
      </c>
      <c r="J290" s="188" t="s">
        <v>295</v>
      </c>
      <c r="K290" s="188" t="s">
        <v>232</v>
      </c>
      <c r="L290" s="188" t="s">
        <v>389</v>
      </c>
      <c r="M290" s="188" t="s">
        <v>279</v>
      </c>
      <c r="N290" s="188" t="s">
        <v>638</v>
      </c>
      <c r="O290" s="188" t="s">
        <v>172</v>
      </c>
      <c r="P290" s="188" t="s">
        <v>131</v>
      </c>
      <c r="Q290" s="188" t="s">
        <v>112</v>
      </c>
      <c r="R290" s="188" t="s">
        <v>22</v>
      </c>
      <c r="S290" s="188" t="s">
        <v>120</v>
      </c>
      <c r="T290" s="188" t="s">
        <v>180</v>
      </c>
      <c r="U290" s="131" t="s">
        <v>641</v>
      </c>
      <c r="V290" s="188" t="s">
        <v>167</v>
      </c>
      <c r="W290" s="188" t="s">
        <v>124</v>
      </c>
      <c r="X290" s="188" t="s">
        <v>135</v>
      </c>
      <c r="Y290" s="188" t="s">
        <v>1035</v>
      </c>
      <c r="Z290" s="0" t="n">
        <v>3</v>
      </c>
      <c r="AA290" s="188" t="s">
        <v>1042</v>
      </c>
    </row>
    <row r="291" customFormat="false" ht="15" hidden="false" customHeight="true" outlineLevel="0" collapsed="false">
      <c r="A291" s="0" t="n">
        <v>60</v>
      </c>
      <c r="B291" s="187" t="n">
        <v>46196.2007336531</v>
      </c>
      <c r="C291" s="187" t="n">
        <v>46196.2167290234</v>
      </c>
      <c r="D291" s="188" t="s">
        <v>635</v>
      </c>
      <c r="E291" s="188" t="s">
        <v>636</v>
      </c>
      <c r="F291" s="188" t="s">
        <v>636</v>
      </c>
      <c r="G291" s="188" t="s">
        <v>637</v>
      </c>
      <c r="H291" s="187" t="n">
        <v>46178</v>
      </c>
      <c r="I291" s="188" t="s">
        <v>113</v>
      </c>
      <c r="J291" s="188" t="s">
        <v>295</v>
      </c>
      <c r="K291" s="188" t="s">
        <v>232</v>
      </c>
      <c r="L291" s="188" t="s">
        <v>389</v>
      </c>
      <c r="M291" s="188" t="s">
        <v>279</v>
      </c>
      <c r="N291" s="188" t="s">
        <v>638</v>
      </c>
      <c r="O291" s="188" t="s">
        <v>172</v>
      </c>
      <c r="P291" s="188" t="s">
        <v>131</v>
      </c>
      <c r="Q291" s="188" t="s">
        <v>112</v>
      </c>
      <c r="R291" s="188" t="s">
        <v>22</v>
      </c>
      <c r="S291" s="188" t="s">
        <v>120</v>
      </c>
      <c r="T291" s="188" t="s">
        <v>180</v>
      </c>
      <c r="U291" s="131" t="s">
        <v>641</v>
      </c>
      <c r="V291" s="188" t="s">
        <v>167</v>
      </c>
      <c r="W291" s="188" t="s">
        <v>124</v>
      </c>
      <c r="X291" s="188" t="s">
        <v>135</v>
      </c>
      <c r="Y291" s="188" t="s">
        <v>1037</v>
      </c>
      <c r="Z291" s="0" t="n">
        <v>1</v>
      </c>
      <c r="AA291" s="188" t="s">
        <v>1123</v>
      </c>
    </row>
    <row r="292" customFormat="false" ht="15" hidden="false" customHeight="true" outlineLevel="0" collapsed="false">
      <c r="A292" s="0" t="n">
        <v>60</v>
      </c>
      <c r="B292" s="187" t="n">
        <v>46196.2007336531</v>
      </c>
      <c r="C292" s="187" t="n">
        <v>46196.2167290234</v>
      </c>
      <c r="D292" s="188" t="s">
        <v>635</v>
      </c>
      <c r="E292" s="188" t="s">
        <v>636</v>
      </c>
      <c r="F292" s="188" t="s">
        <v>636</v>
      </c>
      <c r="G292" s="188" t="s">
        <v>637</v>
      </c>
      <c r="H292" s="187" t="n">
        <v>46178</v>
      </c>
      <c r="I292" s="188" t="s">
        <v>113</v>
      </c>
      <c r="J292" s="188" t="s">
        <v>295</v>
      </c>
      <c r="K292" s="188" t="s">
        <v>232</v>
      </c>
      <c r="L292" s="188" t="s">
        <v>389</v>
      </c>
      <c r="M292" s="188" t="s">
        <v>279</v>
      </c>
      <c r="N292" s="188" t="s">
        <v>638</v>
      </c>
      <c r="O292" s="188" t="s">
        <v>172</v>
      </c>
      <c r="P292" s="188" t="s">
        <v>131</v>
      </c>
      <c r="Q292" s="188" t="s">
        <v>112</v>
      </c>
      <c r="R292" s="188" t="s">
        <v>22</v>
      </c>
      <c r="S292" s="188" t="s">
        <v>120</v>
      </c>
      <c r="T292" s="188" t="s">
        <v>180</v>
      </c>
      <c r="U292" s="131" t="s">
        <v>641</v>
      </c>
      <c r="V292" s="188" t="s">
        <v>167</v>
      </c>
      <c r="W292" s="188" t="s">
        <v>124</v>
      </c>
      <c r="X292" s="188" t="s">
        <v>135</v>
      </c>
      <c r="Y292" s="188" t="s">
        <v>1040</v>
      </c>
      <c r="Z292" s="0" t="n">
        <v>1</v>
      </c>
      <c r="AA292" s="188" t="s">
        <v>1124</v>
      </c>
    </row>
    <row r="293" customFormat="false" ht="15" hidden="false" customHeight="true" outlineLevel="0" collapsed="false">
      <c r="A293" s="0" t="n">
        <v>61</v>
      </c>
      <c r="B293" s="187" t="n">
        <v>46144.2039103999</v>
      </c>
      <c r="C293" s="187" t="n">
        <v>46144.2157506777</v>
      </c>
      <c r="D293" s="188" t="s">
        <v>642</v>
      </c>
      <c r="E293" s="188" t="s">
        <v>643</v>
      </c>
      <c r="F293" s="188" t="s">
        <v>643</v>
      </c>
      <c r="G293" s="188" t="s">
        <v>644</v>
      </c>
      <c r="H293" s="187" t="n">
        <v>46131</v>
      </c>
      <c r="I293" s="188" t="s">
        <v>113</v>
      </c>
      <c r="J293" s="188" t="s">
        <v>108</v>
      </c>
      <c r="K293" s="188" t="s">
        <v>196</v>
      </c>
      <c r="L293" s="188" t="s">
        <v>197</v>
      </c>
      <c r="M293" s="188" t="s">
        <v>234</v>
      </c>
      <c r="N293" s="188" t="s">
        <v>645</v>
      </c>
      <c r="O293" s="188" t="s">
        <v>244</v>
      </c>
      <c r="P293" s="188" t="s">
        <v>111</v>
      </c>
      <c r="Q293" s="188" t="s">
        <v>112</v>
      </c>
      <c r="R293" s="188" t="s">
        <v>22</v>
      </c>
      <c r="S293" s="188" t="s">
        <v>152</v>
      </c>
      <c r="T293" s="188" t="s">
        <v>121</v>
      </c>
      <c r="V293" s="188" t="s">
        <v>167</v>
      </c>
      <c r="W293" s="188" t="s">
        <v>124</v>
      </c>
      <c r="X293" s="188" t="s">
        <v>271</v>
      </c>
      <c r="Y293" s="188" t="s">
        <v>1035</v>
      </c>
      <c r="Z293" s="0" t="n">
        <v>1</v>
      </c>
      <c r="AA293" s="188" t="s">
        <v>1107</v>
      </c>
    </row>
    <row r="294" customFormat="false" ht="15" hidden="false" customHeight="true" outlineLevel="0" collapsed="false">
      <c r="A294" s="0" t="n">
        <v>61</v>
      </c>
      <c r="B294" s="187" t="n">
        <v>46144.2039103999</v>
      </c>
      <c r="C294" s="187" t="n">
        <v>46144.2157506777</v>
      </c>
      <c r="D294" s="188" t="s">
        <v>642</v>
      </c>
      <c r="E294" s="188" t="s">
        <v>643</v>
      </c>
      <c r="F294" s="188" t="s">
        <v>643</v>
      </c>
      <c r="G294" s="188" t="s">
        <v>644</v>
      </c>
      <c r="H294" s="187" t="n">
        <v>46131</v>
      </c>
      <c r="I294" s="188" t="s">
        <v>113</v>
      </c>
      <c r="J294" s="188" t="s">
        <v>108</v>
      </c>
      <c r="K294" s="188" t="s">
        <v>196</v>
      </c>
      <c r="L294" s="188" t="s">
        <v>197</v>
      </c>
      <c r="M294" s="188" t="s">
        <v>234</v>
      </c>
      <c r="N294" s="188" t="s">
        <v>645</v>
      </c>
      <c r="O294" s="188" t="s">
        <v>244</v>
      </c>
      <c r="P294" s="188" t="s">
        <v>111</v>
      </c>
      <c r="Q294" s="188" t="s">
        <v>112</v>
      </c>
      <c r="R294" s="188" t="s">
        <v>22</v>
      </c>
      <c r="S294" s="188" t="s">
        <v>152</v>
      </c>
      <c r="T294" s="188" t="s">
        <v>121</v>
      </c>
      <c r="V294" s="188" t="s">
        <v>167</v>
      </c>
      <c r="W294" s="188" t="s">
        <v>124</v>
      </c>
      <c r="X294" s="188" t="s">
        <v>271</v>
      </c>
      <c r="Y294" s="188" t="s">
        <v>1037</v>
      </c>
      <c r="Z294" s="0" t="n">
        <v>1</v>
      </c>
      <c r="AA294" s="188" t="s">
        <v>1087</v>
      </c>
    </row>
    <row r="295" customFormat="false" ht="15" hidden="false" customHeight="true" outlineLevel="0" collapsed="false">
      <c r="A295" s="0" t="n">
        <v>61</v>
      </c>
      <c r="B295" s="187" t="n">
        <v>46144.2039103999</v>
      </c>
      <c r="C295" s="187" t="n">
        <v>46144.2157506777</v>
      </c>
      <c r="D295" s="188" t="s">
        <v>642</v>
      </c>
      <c r="E295" s="188" t="s">
        <v>643</v>
      </c>
      <c r="F295" s="188" t="s">
        <v>643</v>
      </c>
      <c r="G295" s="188" t="s">
        <v>644</v>
      </c>
      <c r="H295" s="187" t="n">
        <v>46131</v>
      </c>
      <c r="I295" s="188" t="s">
        <v>113</v>
      </c>
      <c r="J295" s="188" t="s">
        <v>108</v>
      </c>
      <c r="K295" s="188" t="s">
        <v>196</v>
      </c>
      <c r="L295" s="188" t="s">
        <v>197</v>
      </c>
      <c r="M295" s="188" t="s">
        <v>234</v>
      </c>
      <c r="N295" s="188" t="s">
        <v>645</v>
      </c>
      <c r="O295" s="188" t="s">
        <v>244</v>
      </c>
      <c r="P295" s="188" t="s">
        <v>111</v>
      </c>
      <c r="Q295" s="188" t="s">
        <v>112</v>
      </c>
      <c r="R295" s="188" t="s">
        <v>22</v>
      </c>
      <c r="S295" s="188" t="s">
        <v>152</v>
      </c>
      <c r="T295" s="188" t="s">
        <v>121</v>
      </c>
      <c r="V295" s="188" t="s">
        <v>167</v>
      </c>
      <c r="W295" s="188" t="s">
        <v>124</v>
      </c>
      <c r="X295" s="188" t="s">
        <v>271</v>
      </c>
      <c r="Y295" s="188" t="s">
        <v>1037</v>
      </c>
      <c r="Z295" s="0" t="n">
        <v>2</v>
      </c>
      <c r="AA295" s="188" t="s">
        <v>1109</v>
      </c>
    </row>
    <row r="296" customFormat="false" ht="15" hidden="false" customHeight="true" outlineLevel="0" collapsed="false">
      <c r="A296" s="0" t="n">
        <v>61</v>
      </c>
      <c r="B296" s="187" t="n">
        <v>46144.2039103999</v>
      </c>
      <c r="C296" s="187" t="n">
        <v>46144.2157506777</v>
      </c>
      <c r="D296" s="188" t="s">
        <v>642</v>
      </c>
      <c r="E296" s="188" t="s">
        <v>643</v>
      </c>
      <c r="F296" s="188" t="s">
        <v>643</v>
      </c>
      <c r="G296" s="188" t="s">
        <v>644</v>
      </c>
      <c r="H296" s="187" t="n">
        <v>46131</v>
      </c>
      <c r="I296" s="188" t="s">
        <v>113</v>
      </c>
      <c r="J296" s="188" t="s">
        <v>108</v>
      </c>
      <c r="K296" s="188" t="s">
        <v>196</v>
      </c>
      <c r="L296" s="188" t="s">
        <v>197</v>
      </c>
      <c r="M296" s="188" t="s">
        <v>234</v>
      </c>
      <c r="N296" s="188" t="s">
        <v>645</v>
      </c>
      <c r="O296" s="188" t="s">
        <v>244</v>
      </c>
      <c r="P296" s="188" t="s">
        <v>111</v>
      </c>
      <c r="Q296" s="188" t="s">
        <v>112</v>
      </c>
      <c r="R296" s="188" t="s">
        <v>22</v>
      </c>
      <c r="S296" s="188" t="s">
        <v>152</v>
      </c>
      <c r="T296" s="188" t="s">
        <v>121</v>
      </c>
      <c r="V296" s="188" t="s">
        <v>167</v>
      </c>
      <c r="W296" s="188" t="s">
        <v>124</v>
      </c>
      <c r="X296" s="188" t="s">
        <v>271</v>
      </c>
      <c r="Y296" s="188" t="s">
        <v>1040</v>
      </c>
      <c r="Z296" s="0" t="n">
        <v>1</v>
      </c>
      <c r="AA296" s="188" t="s">
        <v>122</v>
      </c>
    </row>
    <row r="297" customFormat="false" ht="15" hidden="false" customHeight="true" outlineLevel="0" collapsed="false">
      <c r="A297" s="0" t="n">
        <v>61</v>
      </c>
      <c r="B297" s="187" t="n">
        <v>46144.2039103999</v>
      </c>
      <c r="C297" s="187" t="n">
        <v>46144.2157506777</v>
      </c>
      <c r="D297" s="188" t="s">
        <v>642</v>
      </c>
      <c r="E297" s="188" t="s">
        <v>643</v>
      </c>
      <c r="F297" s="188" t="s">
        <v>643</v>
      </c>
      <c r="G297" s="188" t="s">
        <v>644</v>
      </c>
      <c r="H297" s="187" t="n">
        <v>46131</v>
      </c>
      <c r="I297" s="188" t="s">
        <v>113</v>
      </c>
      <c r="J297" s="188" t="s">
        <v>108</v>
      </c>
      <c r="K297" s="188" t="s">
        <v>196</v>
      </c>
      <c r="L297" s="188" t="s">
        <v>197</v>
      </c>
      <c r="M297" s="188" t="s">
        <v>234</v>
      </c>
      <c r="N297" s="188" t="s">
        <v>645</v>
      </c>
      <c r="O297" s="188" t="s">
        <v>244</v>
      </c>
      <c r="P297" s="188" t="s">
        <v>111</v>
      </c>
      <c r="Q297" s="188" t="s">
        <v>112</v>
      </c>
      <c r="R297" s="188" t="s">
        <v>22</v>
      </c>
      <c r="S297" s="188" t="s">
        <v>152</v>
      </c>
      <c r="T297" s="188" t="s">
        <v>121</v>
      </c>
      <c r="V297" s="188" t="s">
        <v>167</v>
      </c>
      <c r="W297" s="188" t="s">
        <v>124</v>
      </c>
      <c r="X297" s="188" t="s">
        <v>271</v>
      </c>
      <c r="Y297" s="188" t="s">
        <v>1040</v>
      </c>
      <c r="Z297" s="0" t="n">
        <v>2</v>
      </c>
      <c r="AA297" s="188" t="s">
        <v>1090</v>
      </c>
    </row>
    <row r="298" customFormat="false" ht="15" hidden="false" customHeight="true" outlineLevel="0" collapsed="false">
      <c r="A298" s="0" t="n">
        <v>62</v>
      </c>
      <c r="B298" s="187" t="n">
        <v>46126.0576316544</v>
      </c>
      <c r="C298" s="187" t="n">
        <v>46126.0665321174</v>
      </c>
      <c r="D298" s="188" t="s">
        <v>649</v>
      </c>
      <c r="E298" s="188" t="s">
        <v>650</v>
      </c>
      <c r="F298" s="188" t="s">
        <v>650</v>
      </c>
      <c r="G298" s="188" t="s">
        <v>651</v>
      </c>
      <c r="H298" s="187" t="n">
        <v>46118</v>
      </c>
      <c r="I298" s="188" t="s">
        <v>113</v>
      </c>
      <c r="J298" s="188" t="s">
        <v>108</v>
      </c>
      <c r="K298" s="188" t="s">
        <v>245</v>
      </c>
      <c r="L298" s="188" t="s">
        <v>491</v>
      </c>
      <c r="M298" s="188" t="s">
        <v>652</v>
      </c>
      <c r="N298" s="188" t="s">
        <v>653</v>
      </c>
      <c r="O298" s="188" t="s">
        <v>172</v>
      </c>
      <c r="P298" s="188" t="s">
        <v>211</v>
      </c>
      <c r="Q298" s="188" t="s">
        <v>145</v>
      </c>
      <c r="R298" s="188" t="s">
        <v>21</v>
      </c>
      <c r="S298" s="188" t="s">
        <v>152</v>
      </c>
      <c r="T298" s="188" t="s">
        <v>352</v>
      </c>
      <c r="V298" s="188" t="s">
        <v>167</v>
      </c>
      <c r="W298" s="188" t="s">
        <v>124</v>
      </c>
      <c r="X298" s="188" t="s">
        <v>374</v>
      </c>
      <c r="Y298" s="188" t="s">
        <v>1035</v>
      </c>
      <c r="Z298" s="0" t="n">
        <v>1</v>
      </c>
      <c r="AA298" s="188" t="s">
        <v>1126</v>
      </c>
    </row>
    <row r="299" customFormat="false" ht="15" hidden="false" customHeight="true" outlineLevel="0" collapsed="false">
      <c r="A299" s="0" t="n">
        <v>62</v>
      </c>
      <c r="B299" s="187" t="n">
        <v>46126.0576316544</v>
      </c>
      <c r="C299" s="187" t="n">
        <v>46126.0665321174</v>
      </c>
      <c r="D299" s="188" t="s">
        <v>649</v>
      </c>
      <c r="E299" s="188" t="s">
        <v>650</v>
      </c>
      <c r="F299" s="188" t="s">
        <v>650</v>
      </c>
      <c r="G299" s="188" t="s">
        <v>651</v>
      </c>
      <c r="H299" s="187" t="n">
        <v>46118</v>
      </c>
      <c r="I299" s="188" t="s">
        <v>113</v>
      </c>
      <c r="J299" s="188" t="s">
        <v>108</v>
      </c>
      <c r="K299" s="188" t="s">
        <v>245</v>
      </c>
      <c r="L299" s="188" t="s">
        <v>491</v>
      </c>
      <c r="M299" s="188" t="s">
        <v>652</v>
      </c>
      <c r="N299" s="188" t="s">
        <v>653</v>
      </c>
      <c r="O299" s="188" t="s">
        <v>172</v>
      </c>
      <c r="P299" s="188" t="s">
        <v>211</v>
      </c>
      <c r="Q299" s="188" t="s">
        <v>145</v>
      </c>
      <c r="R299" s="188" t="s">
        <v>21</v>
      </c>
      <c r="S299" s="188" t="s">
        <v>152</v>
      </c>
      <c r="T299" s="188" t="s">
        <v>352</v>
      </c>
      <c r="V299" s="188" t="s">
        <v>167</v>
      </c>
      <c r="W299" s="188" t="s">
        <v>124</v>
      </c>
      <c r="X299" s="188" t="s">
        <v>374</v>
      </c>
      <c r="Y299" s="188" t="s">
        <v>1035</v>
      </c>
      <c r="Z299" s="0" t="n">
        <v>2</v>
      </c>
      <c r="AA299" s="188" t="s">
        <v>1125</v>
      </c>
    </row>
    <row r="300" customFormat="false" ht="15" hidden="false" customHeight="true" outlineLevel="0" collapsed="false">
      <c r="A300" s="0" t="n">
        <v>62</v>
      </c>
      <c r="B300" s="187" t="n">
        <v>46126.0576316544</v>
      </c>
      <c r="C300" s="187" t="n">
        <v>46126.0665321174</v>
      </c>
      <c r="D300" s="188" t="s">
        <v>649</v>
      </c>
      <c r="E300" s="188" t="s">
        <v>650</v>
      </c>
      <c r="F300" s="188" t="s">
        <v>650</v>
      </c>
      <c r="G300" s="188" t="s">
        <v>651</v>
      </c>
      <c r="H300" s="187" t="n">
        <v>46118</v>
      </c>
      <c r="I300" s="188" t="s">
        <v>113</v>
      </c>
      <c r="J300" s="188" t="s">
        <v>108</v>
      </c>
      <c r="K300" s="188" t="s">
        <v>245</v>
      </c>
      <c r="L300" s="188" t="s">
        <v>491</v>
      </c>
      <c r="M300" s="188" t="s">
        <v>652</v>
      </c>
      <c r="N300" s="188" t="s">
        <v>653</v>
      </c>
      <c r="O300" s="188" t="s">
        <v>172</v>
      </c>
      <c r="P300" s="188" t="s">
        <v>211</v>
      </c>
      <c r="Q300" s="188" t="s">
        <v>145</v>
      </c>
      <c r="R300" s="188" t="s">
        <v>21</v>
      </c>
      <c r="S300" s="188" t="s">
        <v>152</v>
      </c>
      <c r="T300" s="188" t="s">
        <v>352</v>
      </c>
      <c r="V300" s="188" t="s">
        <v>167</v>
      </c>
      <c r="W300" s="188" t="s">
        <v>124</v>
      </c>
      <c r="X300" s="188" t="s">
        <v>374</v>
      </c>
      <c r="Y300" s="188" t="s">
        <v>1035</v>
      </c>
      <c r="Z300" s="0" t="n">
        <v>3</v>
      </c>
      <c r="AA300" s="188" t="s">
        <v>1127</v>
      </c>
    </row>
    <row r="301" customFormat="false" ht="15" hidden="false" customHeight="true" outlineLevel="0" collapsed="false">
      <c r="A301" s="0" t="n">
        <v>62</v>
      </c>
      <c r="B301" s="187" t="n">
        <v>46126.0576316544</v>
      </c>
      <c r="C301" s="187" t="n">
        <v>46126.0665321174</v>
      </c>
      <c r="D301" s="188" t="s">
        <v>649</v>
      </c>
      <c r="E301" s="188" t="s">
        <v>650</v>
      </c>
      <c r="F301" s="188" t="s">
        <v>650</v>
      </c>
      <c r="G301" s="188" t="s">
        <v>651</v>
      </c>
      <c r="H301" s="187" t="n">
        <v>46118</v>
      </c>
      <c r="I301" s="188" t="s">
        <v>113</v>
      </c>
      <c r="J301" s="188" t="s">
        <v>108</v>
      </c>
      <c r="K301" s="188" t="s">
        <v>245</v>
      </c>
      <c r="L301" s="188" t="s">
        <v>491</v>
      </c>
      <c r="M301" s="188" t="s">
        <v>652</v>
      </c>
      <c r="N301" s="188" t="s">
        <v>653</v>
      </c>
      <c r="O301" s="188" t="s">
        <v>172</v>
      </c>
      <c r="P301" s="188" t="s">
        <v>211</v>
      </c>
      <c r="Q301" s="188" t="s">
        <v>145</v>
      </c>
      <c r="R301" s="188" t="s">
        <v>21</v>
      </c>
      <c r="S301" s="188" t="s">
        <v>152</v>
      </c>
      <c r="T301" s="188" t="s">
        <v>352</v>
      </c>
      <c r="V301" s="188" t="s">
        <v>167</v>
      </c>
      <c r="W301" s="188" t="s">
        <v>124</v>
      </c>
      <c r="X301" s="188" t="s">
        <v>374</v>
      </c>
      <c r="Y301" s="188" t="s">
        <v>1037</v>
      </c>
      <c r="Z301" s="0" t="n">
        <v>1</v>
      </c>
      <c r="AA301" s="188" t="s">
        <v>1186</v>
      </c>
    </row>
    <row r="302" customFormat="false" ht="15" hidden="false" customHeight="true" outlineLevel="0" collapsed="false">
      <c r="A302" s="0" t="n">
        <v>62</v>
      </c>
      <c r="B302" s="187" t="n">
        <v>46126.0576316544</v>
      </c>
      <c r="C302" s="187" t="n">
        <v>46126.0665321174</v>
      </c>
      <c r="D302" s="188" t="s">
        <v>649</v>
      </c>
      <c r="E302" s="188" t="s">
        <v>650</v>
      </c>
      <c r="F302" s="188" t="s">
        <v>650</v>
      </c>
      <c r="G302" s="188" t="s">
        <v>651</v>
      </c>
      <c r="H302" s="187" t="n">
        <v>46118</v>
      </c>
      <c r="I302" s="188" t="s">
        <v>113</v>
      </c>
      <c r="J302" s="188" t="s">
        <v>108</v>
      </c>
      <c r="K302" s="188" t="s">
        <v>245</v>
      </c>
      <c r="L302" s="188" t="s">
        <v>491</v>
      </c>
      <c r="M302" s="188" t="s">
        <v>652</v>
      </c>
      <c r="N302" s="188" t="s">
        <v>653</v>
      </c>
      <c r="O302" s="188" t="s">
        <v>172</v>
      </c>
      <c r="P302" s="188" t="s">
        <v>211</v>
      </c>
      <c r="Q302" s="188" t="s">
        <v>145</v>
      </c>
      <c r="R302" s="188" t="s">
        <v>21</v>
      </c>
      <c r="S302" s="188" t="s">
        <v>152</v>
      </c>
      <c r="T302" s="188" t="s">
        <v>352</v>
      </c>
      <c r="V302" s="188" t="s">
        <v>167</v>
      </c>
      <c r="W302" s="188" t="s">
        <v>124</v>
      </c>
      <c r="X302" s="188" t="s">
        <v>374</v>
      </c>
      <c r="Y302" s="188" t="s">
        <v>1040</v>
      </c>
      <c r="Z302" s="0" t="n">
        <v>1</v>
      </c>
      <c r="AA302" s="188" t="s">
        <v>1129</v>
      </c>
    </row>
    <row r="303" customFormat="false" ht="15" hidden="false" customHeight="true" outlineLevel="0" collapsed="false">
      <c r="A303" s="0" t="n">
        <v>62</v>
      </c>
      <c r="B303" s="187" t="n">
        <v>46126.0576316544</v>
      </c>
      <c r="C303" s="187" t="n">
        <v>46126.0665321174</v>
      </c>
      <c r="D303" s="188" t="s">
        <v>649</v>
      </c>
      <c r="E303" s="188" t="s">
        <v>650</v>
      </c>
      <c r="F303" s="188" t="s">
        <v>650</v>
      </c>
      <c r="G303" s="188" t="s">
        <v>651</v>
      </c>
      <c r="H303" s="187" t="n">
        <v>46118</v>
      </c>
      <c r="I303" s="188" t="s">
        <v>113</v>
      </c>
      <c r="J303" s="188" t="s">
        <v>108</v>
      </c>
      <c r="K303" s="188" t="s">
        <v>245</v>
      </c>
      <c r="L303" s="188" t="s">
        <v>491</v>
      </c>
      <c r="M303" s="188" t="s">
        <v>652</v>
      </c>
      <c r="N303" s="188" t="s">
        <v>653</v>
      </c>
      <c r="O303" s="188" t="s">
        <v>172</v>
      </c>
      <c r="P303" s="188" t="s">
        <v>211</v>
      </c>
      <c r="Q303" s="188" t="s">
        <v>145</v>
      </c>
      <c r="R303" s="188" t="s">
        <v>21</v>
      </c>
      <c r="S303" s="188" t="s">
        <v>152</v>
      </c>
      <c r="T303" s="188" t="s">
        <v>352</v>
      </c>
      <c r="V303" s="188" t="s">
        <v>167</v>
      </c>
      <c r="W303" s="188" t="s">
        <v>124</v>
      </c>
      <c r="X303" s="188" t="s">
        <v>374</v>
      </c>
      <c r="Y303" s="188" t="s">
        <v>1040</v>
      </c>
      <c r="Z303" s="0" t="n">
        <v>2</v>
      </c>
      <c r="AA303" s="188" t="s">
        <v>1130</v>
      </c>
    </row>
    <row r="304" customFormat="false" ht="15" hidden="false" customHeight="true" outlineLevel="0" collapsed="false">
      <c r="A304" s="0" t="n">
        <v>63</v>
      </c>
      <c r="B304" s="187" t="n">
        <v>46149.5799676932</v>
      </c>
      <c r="C304" s="187" t="n">
        <v>46149.5925487118</v>
      </c>
      <c r="D304" s="188" t="s">
        <v>656</v>
      </c>
      <c r="E304" s="188" t="s">
        <v>657</v>
      </c>
      <c r="F304" s="188" t="s">
        <v>657</v>
      </c>
      <c r="G304" s="188" t="s">
        <v>658</v>
      </c>
      <c r="H304" s="187" t="n">
        <v>46145</v>
      </c>
      <c r="I304" s="188" t="s">
        <v>336</v>
      </c>
      <c r="J304" s="188" t="s">
        <v>108</v>
      </c>
      <c r="K304" s="188" t="s">
        <v>245</v>
      </c>
      <c r="L304" s="188" t="s">
        <v>389</v>
      </c>
      <c r="M304" s="188" t="s">
        <v>391</v>
      </c>
      <c r="N304" s="188" t="s">
        <v>440</v>
      </c>
      <c r="O304" s="188" t="s">
        <v>107</v>
      </c>
      <c r="P304" s="188" t="s">
        <v>111</v>
      </c>
      <c r="Q304" s="188" t="s">
        <v>112</v>
      </c>
      <c r="R304" s="188" t="s">
        <v>22</v>
      </c>
      <c r="S304" s="188" t="s">
        <v>320</v>
      </c>
      <c r="T304" s="188" t="s">
        <v>121</v>
      </c>
      <c r="U304" s="188" t="s">
        <v>122</v>
      </c>
      <c r="V304" s="188" t="s">
        <v>167</v>
      </c>
      <c r="W304" s="188" t="s">
        <v>139</v>
      </c>
      <c r="X304" s="188" t="s">
        <v>148</v>
      </c>
      <c r="Y304" s="188" t="s">
        <v>1035</v>
      </c>
      <c r="Z304" s="0" t="n">
        <v>1</v>
      </c>
      <c r="AA304" s="188" t="s">
        <v>1047</v>
      </c>
    </row>
    <row r="305" customFormat="false" ht="15" hidden="false" customHeight="true" outlineLevel="0" collapsed="false">
      <c r="A305" s="0" t="n">
        <v>63</v>
      </c>
      <c r="B305" s="187" t="n">
        <v>46149.5799676932</v>
      </c>
      <c r="C305" s="187" t="n">
        <v>46149.5925487118</v>
      </c>
      <c r="D305" s="188" t="s">
        <v>656</v>
      </c>
      <c r="E305" s="188" t="s">
        <v>657</v>
      </c>
      <c r="F305" s="188" t="s">
        <v>657</v>
      </c>
      <c r="G305" s="188" t="s">
        <v>658</v>
      </c>
      <c r="H305" s="187" t="n">
        <v>46145</v>
      </c>
      <c r="I305" s="188" t="s">
        <v>336</v>
      </c>
      <c r="J305" s="188" t="s">
        <v>108</v>
      </c>
      <c r="K305" s="188" t="s">
        <v>245</v>
      </c>
      <c r="L305" s="188" t="s">
        <v>389</v>
      </c>
      <c r="M305" s="188" t="s">
        <v>391</v>
      </c>
      <c r="N305" s="188" t="s">
        <v>440</v>
      </c>
      <c r="O305" s="188" t="s">
        <v>107</v>
      </c>
      <c r="P305" s="188" t="s">
        <v>111</v>
      </c>
      <c r="Q305" s="188" t="s">
        <v>112</v>
      </c>
      <c r="R305" s="188" t="s">
        <v>22</v>
      </c>
      <c r="S305" s="188" t="s">
        <v>320</v>
      </c>
      <c r="T305" s="188" t="s">
        <v>121</v>
      </c>
      <c r="U305" s="188" t="s">
        <v>122</v>
      </c>
      <c r="V305" s="188" t="s">
        <v>167</v>
      </c>
      <c r="W305" s="188" t="s">
        <v>139</v>
      </c>
      <c r="X305" s="188" t="s">
        <v>148</v>
      </c>
      <c r="Y305" s="188" t="s">
        <v>1035</v>
      </c>
      <c r="Z305" s="0" t="n">
        <v>2</v>
      </c>
      <c r="AA305" s="188" t="s">
        <v>1063</v>
      </c>
    </row>
    <row r="306" customFormat="false" ht="15" hidden="false" customHeight="true" outlineLevel="0" collapsed="false">
      <c r="A306" s="0" t="n">
        <v>63</v>
      </c>
      <c r="B306" s="187" t="n">
        <v>46149.5799676932</v>
      </c>
      <c r="C306" s="187" t="n">
        <v>46149.5925487118</v>
      </c>
      <c r="D306" s="188" t="s">
        <v>656</v>
      </c>
      <c r="E306" s="188" t="s">
        <v>657</v>
      </c>
      <c r="F306" s="188" t="s">
        <v>657</v>
      </c>
      <c r="G306" s="188" t="s">
        <v>658</v>
      </c>
      <c r="H306" s="187" t="n">
        <v>46145</v>
      </c>
      <c r="I306" s="188" t="s">
        <v>336</v>
      </c>
      <c r="J306" s="188" t="s">
        <v>108</v>
      </c>
      <c r="K306" s="188" t="s">
        <v>245</v>
      </c>
      <c r="L306" s="188" t="s">
        <v>389</v>
      </c>
      <c r="M306" s="188" t="s">
        <v>391</v>
      </c>
      <c r="N306" s="188" t="s">
        <v>440</v>
      </c>
      <c r="O306" s="188" t="s">
        <v>107</v>
      </c>
      <c r="P306" s="188" t="s">
        <v>111</v>
      </c>
      <c r="Q306" s="188" t="s">
        <v>112</v>
      </c>
      <c r="R306" s="188" t="s">
        <v>22</v>
      </c>
      <c r="S306" s="188" t="s">
        <v>320</v>
      </c>
      <c r="T306" s="188" t="s">
        <v>121</v>
      </c>
      <c r="U306" s="188" t="s">
        <v>122</v>
      </c>
      <c r="V306" s="188" t="s">
        <v>167</v>
      </c>
      <c r="W306" s="188" t="s">
        <v>139</v>
      </c>
      <c r="X306" s="188" t="s">
        <v>148</v>
      </c>
      <c r="Y306" s="188" t="s">
        <v>1035</v>
      </c>
      <c r="Z306" s="0" t="n">
        <v>3</v>
      </c>
      <c r="AA306" s="188" t="s">
        <v>1158</v>
      </c>
    </row>
    <row r="307" customFormat="false" ht="15" hidden="false" customHeight="true" outlineLevel="0" collapsed="false">
      <c r="A307" s="0" t="n">
        <v>63</v>
      </c>
      <c r="B307" s="187" t="n">
        <v>46149.5799676932</v>
      </c>
      <c r="C307" s="187" t="n">
        <v>46149.5925487118</v>
      </c>
      <c r="D307" s="188" t="s">
        <v>656</v>
      </c>
      <c r="E307" s="188" t="s">
        <v>657</v>
      </c>
      <c r="F307" s="188" t="s">
        <v>657</v>
      </c>
      <c r="G307" s="188" t="s">
        <v>658</v>
      </c>
      <c r="H307" s="187" t="n">
        <v>46145</v>
      </c>
      <c r="I307" s="188" t="s">
        <v>336</v>
      </c>
      <c r="J307" s="188" t="s">
        <v>108</v>
      </c>
      <c r="K307" s="188" t="s">
        <v>245</v>
      </c>
      <c r="L307" s="188" t="s">
        <v>389</v>
      </c>
      <c r="M307" s="188" t="s">
        <v>391</v>
      </c>
      <c r="N307" s="188" t="s">
        <v>440</v>
      </c>
      <c r="O307" s="188" t="s">
        <v>107</v>
      </c>
      <c r="P307" s="188" t="s">
        <v>111</v>
      </c>
      <c r="Q307" s="188" t="s">
        <v>112</v>
      </c>
      <c r="R307" s="188" t="s">
        <v>22</v>
      </c>
      <c r="S307" s="188" t="s">
        <v>320</v>
      </c>
      <c r="T307" s="188" t="s">
        <v>121</v>
      </c>
      <c r="U307" s="188" t="s">
        <v>122</v>
      </c>
      <c r="V307" s="188" t="s">
        <v>167</v>
      </c>
      <c r="W307" s="188" t="s">
        <v>139</v>
      </c>
      <c r="X307" s="188" t="s">
        <v>148</v>
      </c>
      <c r="Y307" s="188" t="s">
        <v>1037</v>
      </c>
      <c r="Z307" s="0" t="n">
        <v>1</v>
      </c>
      <c r="AA307" s="188" t="s">
        <v>1048</v>
      </c>
    </row>
    <row r="308" customFormat="false" ht="15" hidden="false" customHeight="true" outlineLevel="0" collapsed="false">
      <c r="A308" s="0" t="n">
        <v>63</v>
      </c>
      <c r="B308" s="187" t="n">
        <v>46149.5799676932</v>
      </c>
      <c r="C308" s="187" t="n">
        <v>46149.5925487118</v>
      </c>
      <c r="D308" s="188" t="s">
        <v>656</v>
      </c>
      <c r="E308" s="188" t="s">
        <v>657</v>
      </c>
      <c r="F308" s="188" t="s">
        <v>657</v>
      </c>
      <c r="G308" s="188" t="s">
        <v>658</v>
      </c>
      <c r="H308" s="187" t="n">
        <v>46145</v>
      </c>
      <c r="I308" s="188" t="s">
        <v>336</v>
      </c>
      <c r="J308" s="188" t="s">
        <v>108</v>
      </c>
      <c r="K308" s="188" t="s">
        <v>245</v>
      </c>
      <c r="L308" s="188" t="s">
        <v>389</v>
      </c>
      <c r="M308" s="188" t="s">
        <v>391</v>
      </c>
      <c r="N308" s="188" t="s">
        <v>440</v>
      </c>
      <c r="O308" s="188" t="s">
        <v>107</v>
      </c>
      <c r="P308" s="188" t="s">
        <v>111</v>
      </c>
      <c r="Q308" s="188" t="s">
        <v>112</v>
      </c>
      <c r="R308" s="188" t="s">
        <v>22</v>
      </c>
      <c r="S308" s="188" t="s">
        <v>320</v>
      </c>
      <c r="T308" s="188" t="s">
        <v>121</v>
      </c>
      <c r="U308" s="188" t="s">
        <v>122</v>
      </c>
      <c r="V308" s="188" t="s">
        <v>167</v>
      </c>
      <c r="W308" s="188" t="s">
        <v>139</v>
      </c>
      <c r="X308" s="188" t="s">
        <v>148</v>
      </c>
      <c r="Y308" s="188" t="s">
        <v>1040</v>
      </c>
      <c r="Z308" s="0" t="n">
        <v>1</v>
      </c>
      <c r="AA308" s="188" t="s">
        <v>1065</v>
      </c>
    </row>
    <row r="309" customFormat="false" ht="15" hidden="false" customHeight="true" outlineLevel="0" collapsed="false">
      <c r="A309" s="0" t="n">
        <v>63</v>
      </c>
      <c r="B309" s="187" t="n">
        <v>46149.5799676932</v>
      </c>
      <c r="C309" s="187" t="n">
        <v>46149.5925487118</v>
      </c>
      <c r="D309" s="188" t="s">
        <v>656</v>
      </c>
      <c r="E309" s="188" t="s">
        <v>657</v>
      </c>
      <c r="F309" s="188" t="s">
        <v>657</v>
      </c>
      <c r="G309" s="188" t="s">
        <v>658</v>
      </c>
      <c r="H309" s="187" t="n">
        <v>46145</v>
      </c>
      <c r="I309" s="188" t="s">
        <v>336</v>
      </c>
      <c r="J309" s="188" t="s">
        <v>108</v>
      </c>
      <c r="K309" s="188" t="s">
        <v>245</v>
      </c>
      <c r="L309" s="188" t="s">
        <v>389</v>
      </c>
      <c r="M309" s="188" t="s">
        <v>391</v>
      </c>
      <c r="N309" s="188" t="s">
        <v>440</v>
      </c>
      <c r="O309" s="188" t="s">
        <v>107</v>
      </c>
      <c r="P309" s="188" t="s">
        <v>111</v>
      </c>
      <c r="Q309" s="188" t="s">
        <v>112</v>
      </c>
      <c r="R309" s="188" t="s">
        <v>22</v>
      </c>
      <c r="S309" s="188" t="s">
        <v>320</v>
      </c>
      <c r="T309" s="188" t="s">
        <v>121</v>
      </c>
      <c r="U309" s="188" t="s">
        <v>122</v>
      </c>
      <c r="V309" s="188" t="s">
        <v>167</v>
      </c>
      <c r="W309" s="188" t="s">
        <v>139</v>
      </c>
      <c r="X309" s="188" t="s">
        <v>148</v>
      </c>
      <c r="Y309" s="188" t="s">
        <v>1040</v>
      </c>
      <c r="Z309" s="0" t="n">
        <v>2</v>
      </c>
      <c r="AA309" s="188" t="s">
        <v>1160</v>
      </c>
    </row>
    <row r="310" customFormat="false" ht="15" hidden="false" customHeight="true" outlineLevel="0" collapsed="false">
      <c r="A310" s="0" t="n">
        <v>64</v>
      </c>
      <c r="B310" s="187" t="n">
        <v>46094.6911097966</v>
      </c>
      <c r="C310" s="187" t="n">
        <v>46094.6950334077</v>
      </c>
      <c r="D310" s="188" t="s">
        <v>662</v>
      </c>
      <c r="E310" s="188" t="s">
        <v>663</v>
      </c>
      <c r="F310" s="188" t="s">
        <v>663</v>
      </c>
      <c r="G310" s="188" t="s">
        <v>664</v>
      </c>
      <c r="H310" s="187" t="n">
        <v>46074</v>
      </c>
      <c r="I310" s="188" t="s">
        <v>113</v>
      </c>
      <c r="J310" s="188" t="s">
        <v>108</v>
      </c>
      <c r="K310" s="188" t="s">
        <v>196</v>
      </c>
      <c r="L310" s="188" t="s">
        <v>346</v>
      </c>
      <c r="M310" s="188" t="s">
        <v>160</v>
      </c>
      <c r="N310" s="188" t="s">
        <v>665</v>
      </c>
      <c r="O310" s="188" t="s">
        <v>244</v>
      </c>
      <c r="P310" s="188" t="s">
        <v>111</v>
      </c>
      <c r="Q310" s="188" t="s">
        <v>112</v>
      </c>
      <c r="R310" s="188" t="s">
        <v>22</v>
      </c>
      <c r="S310" s="188" t="s">
        <v>152</v>
      </c>
      <c r="T310" s="188" t="s">
        <v>180</v>
      </c>
      <c r="V310" s="188" t="s">
        <v>123</v>
      </c>
      <c r="W310" s="188" t="s">
        <v>124</v>
      </c>
      <c r="X310" s="188" t="s">
        <v>298</v>
      </c>
      <c r="Y310" s="188" t="s">
        <v>1035</v>
      </c>
      <c r="Z310" s="0" t="n">
        <v>1</v>
      </c>
      <c r="AA310" s="188" t="s">
        <v>1179</v>
      </c>
    </row>
    <row r="311" customFormat="false" ht="15" hidden="false" customHeight="true" outlineLevel="0" collapsed="false">
      <c r="A311" s="0" t="n">
        <v>64</v>
      </c>
      <c r="B311" s="187" t="n">
        <v>46094.6911097966</v>
      </c>
      <c r="C311" s="187" t="n">
        <v>46094.6950334077</v>
      </c>
      <c r="D311" s="188" t="s">
        <v>662</v>
      </c>
      <c r="E311" s="188" t="s">
        <v>663</v>
      </c>
      <c r="F311" s="188" t="s">
        <v>663</v>
      </c>
      <c r="G311" s="188" t="s">
        <v>664</v>
      </c>
      <c r="H311" s="187" t="n">
        <v>46074</v>
      </c>
      <c r="I311" s="188" t="s">
        <v>113</v>
      </c>
      <c r="J311" s="188" t="s">
        <v>108</v>
      </c>
      <c r="K311" s="188" t="s">
        <v>196</v>
      </c>
      <c r="L311" s="188" t="s">
        <v>346</v>
      </c>
      <c r="M311" s="188" t="s">
        <v>160</v>
      </c>
      <c r="N311" s="188" t="s">
        <v>665</v>
      </c>
      <c r="O311" s="188" t="s">
        <v>244</v>
      </c>
      <c r="P311" s="188" t="s">
        <v>111</v>
      </c>
      <c r="Q311" s="188" t="s">
        <v>112</v>
      </c>
      <c r="R311" s="188" t="s">
        <v>22</v>
      </c>
      <c r="S311" s="188" t="s">
        <v>152</v>
      </c>
      <c r="T311" s="188" t="s">
        <v>180</v>
      </c>
      <c r="V311" s="188" t="s">
        <v>123</v>
      </c>
      <c r="W311" s="188" t="s">
        <v>124</v>
      </c>
      <c r="X311" s="188" t="s">
        <v>298</v>
      </c>
      <c r="Y311" s="188" t="s">
        <v>1037</v>
      </c>
      <c r="Z311" s="0" t="n">
        <v>1</v>
      </c>
      <c r="AA311" s="188" t="s">
        <v>1168</v>
      </c>
    </row>
    <row r="312" customFormat="false" ht="15" hidden="false" customHeight="true" outlineLevel="0" collapsed="false">
      <c r="A312" s="0" t="n">
        <v>64</v>
      </c>
      <c r="B312" s="187" t="n">
        <v>46094.6911097966</v>
      </c>
      <c r="C312" s="187" t="n">
        <v>46094.6950334077</v>
      </c>
      <c r="D312" s="188" t="s">
        <v>662</v>
      </c>
      <c r="E312" s="188" t="s">
        <v>663</v>
      </c>
      <c r="F312" s="188" t="s">
        <v>663</v>
      </c>
      <c r="G312" s="188" t="s">
        <v>664</v>
      </c>
      <c r="H312" s="187" t="n">
        <v>46074</v>
      </c>
      <c r="I312" s="188" t="s">
        <v>113</v>
      </c>
      <c r="J312" s="188" t="s">
        <v>108</v>
      </c>
      <c r="K312" s="188" t="s">
        <v>196</v>
      </c>
      <c r="L312" s="188" t="s">
        <v>346</v>
      </c>
      <c r="M312" s="188" t="s">
        <v>160</v>
      </c>
      <c r="N312" s="188" t="s">
        <v>665</v>
      </c>
      <c r="O312" s="188" t="s">
        <v>244</v>
      </c>
      <c r="P312" s="188" t="s">
        <v>111</v>
      </c>
      <c r="Q312" s="188" t="s">
        <v>112</v>
      </c>
      <c r="R312" s="188" t="s">
        <v>22</v>
      </c>
      <c r="S312" s="188" t="s">
        <v>152</v>
      </c>
      <c r="T312" s="188" t="s">
        <v>180</v>
      </c>
      <c r="V312" s="188" t="s">
        <v>123</v>
      </c>
      <c r="W312" s="188" t="s">
        <v>124</v>
      </c>
      <c r="X312" s="188" t="s">
        <v>298</v>
      </c>
      <c r="Y312" s="188" t="s">
        <v>1037</v>
      </c>
      <c r="Z312" s="0" t="n">
        <v>2</v>
      </c>
      <c r="AA312" s="188" t="s">
        <v>1097</v>
      </c>
    </row>
    <row r="313" customFormat="false" ht="15" hidden="false" customHeight="true" outlineLevel="0" collapsed="false">
      <c r="A313" s="0" t="n">
        <v>64</v>
      </c>
      <c r="B313" s="187" t="n">
        <v>46094.6911097966</v>
      </c>
      <c r="C313" s="187" t="n">
        <v>46094.6950334077</v>
      </c>
      <c r="D313" s="188" t="s">
        <v>662</v>
      </c>
      <c r="E313" s="188" t="s">
        <v>663</v>
      </c>
      <c r="F313" s="188" t="s">
        <v>663</v>
      </c>
      <c r="G313" s="188" t="s">
        <v>664</v>
      </c>
      <c r="H313" s="187" t="n">
        <v>46074</v>
      </c>
      <c r="I313" s="188" t="s">
        <v>113</v>
      </c>
      <c r="J313" s="188" t="s">
        <v>108</v>
      </c>
      <c r="K313" s="188" t="s">
        <v>196</v>
      </c>
      <c r="L313" s="188" t="s">
        <v>346</v>
      </c>
      <c r="M313" s="188" t="s">
        <v>160</v>
      </c>
      <c r="N313" s="188" t="s">
        <v>665</v>
      </c>
      <c r="O313" s="188" t="s">
        <v>244</v>
      </c>
      <c r="P313" s="188" t="s">
        <v>111</v>
      </c>
      <c r="Q313" s="188" t="s">
        <v>112</v>
      </c>
      <c r="R313" s="188" t="s">
        <v>22</v>
      </c>
      <c r="S313" s="188" t="s">
        <v>152</v>
      </c>
      <c r="T313" s="188" t="s">
        <v>180</v>
      </c>
      <c r="V313" s="188" t="s">
        <v>123</v>
      </c>
      <c r="W313" s="188" t="s">
        <v>124</v>
      </c>
      <c r="X313" s="188" t="s">
        <v>298</v>
      </c>
      <c r="Y313" s="188" t="s">
        <v>1040</v>
      </c>
      <c r="Z313" s="0" t="n">
        <v>1</v>
      </c>
      <c r="AA313" s="188" t="s">
        <v>1187</v>
      </c>
    </row>
    <row r="314" customFormat="false" ht="15" hidden="false" customHeight="true" outlineLevel="0" collapsed="false">
      <c r="A314" s="0" t="n">
        <v>65</v>
      </c>
      <c r="B314" s="187" t="n">
        <v>46169.099835762</v>
      </c>
      <c r="C314" s="187" t="n">
        <v>46169.1071042806</v>
      </c>
      <c r="D314" s="188" t="s">
        <v>669</v>
      </c>
      <c r="E314" s="188" t="s">
        <v>670</v>
      </c>
      <c r="F314" s="188" t="s">
        <v>670</v>
      </c>
      <c r="G314" s="188" t="s">
        <v>671</v>
      </c>
      <c r="H314" s="187" t="n">
        <v>46162</v>
      </c>
      <c r="I314" s="188" t="s">
        <v>113</v>
      </c>
      <c r="J314" s="188" t="s">
        <v>108</v>
      </c>
      <c r="K314" s="188" t="s">
        <v>173</v>
      </c>
      <c r="L314" s="188" t="s">
        <v>346</v>
      </c>
      <c r="M314" s="188" t="s">
        <v>566</v>
      </c>
      <c r="N314" s="188" t="s">
        <v>672</v>
      </c>
      <c r="O314" s="188" t="s">
        <v>172</v>
      </c>
      <c r="P314" s="188" t="s">
        <v>111</v>
      </c>
      <c r="Q314" s="188" t="s">
        <v>145</v>
      </c>
      <c r="R314" s="188" t="s">
        <v>22</v>
      </c>
      <c r="S314" s="188" t="s">
        <v>227</v>
      </c>
      <c r="T314" s="188" t="s">
        <v>121</v>
      </c>
      <c r="U314" s="188" t="s">
        <v>122</v>
      </c>
      <c r="V314" s="188" t="s">
        <v>123</v>
      </c>
      <c r="W314" s="188" t="s">
        <v>124</v>
      </c>
      <c r="X314" s="188" t="s">
        <v>339</v>
      </c>
      <c r="Y314" s="188" t="s">
        <v>1035</v>
      </c>
      <c r="Z314" s="0" t="n">
        <v>1</v>
      </c>
      <c r="AA314" s="188" t="s">
        <v>1140</v>
      </c>
    </row>
    <row r="315" customFormat="false" ht="15" hidden="false" customHeight="true" outlineLevel="0" collapsed="false">
      <c r="A315" s="0" t="n">
        <v>65</v>
      </c>
      <c r="B315" s="187" t="n">
        <v>46169.099835762</v>
      </c>
      <c r="C315" s="187" t="n">
        <v>46169.1071042806</v>
      </c>
      <c r="D315" s="188" t="s">
        <v>669</v>
      </c>
      <c r="E315" s="188" t="s">
        <v>670</v>
      </c>
      <c r="F315" s="188" t="s">
        <v>670</v>
      </c>
      <c r="G315" s="188" t="s">
        <v>671</v>
      </c>
      <c r="H315" s="187" t="n">
        <v>46162</v>
      </c>
      <c r="I315" s="188" t="s">
        <v>113</v>
      </c>
      <c r="J315" s="188" t="s">
        <v>108</v>
      </c>
      <c r="K315" s="188" t="s">
        <v>173</v>
      </c>
      <c r="L315" s="188" t="s">
        <v>346</v>
      </c>
      <c r="M315" s="188" t="s">
        <v>566</v>
      </c>
      <c r="N315" s="188" t="s">
        <v>672</v>
      </c>
      <c r="O315" s="188" t="s">
        <v>172</v>
      </c>
      <c r="P315" s="188" t="s">
        <v>111</v>
      </c>
      <c r="Q315" s="188" t="s">
        <v>145</v>
      </c>
      <c r="R315" s="188" t="s">
        <v>22</v>
      </c>
      <c r="S315" s="188" t="s">
        <v>227</v>
      </c>
      <c r="T315" s="188" t="s">
        <v>121</v>
      </c>
      <c r="U315" s="188" t="s">
        <v>122</v>
      </c>
      <c r="V315" s="188" t="s">
        <v>123</v>
      </c>
      <c r="W315" s="188" t="s">
        <v>124</v>
      </c>
      <c r="X315" s="188" t="s">
        <v>339</v>
      </c>
      <c r="Y315" s="188" t="s">
        <v>1035</v>
      </c>
      <c r="Z315" s="0" t="n">
        <v>2</v>
      </c>
      <c r="AA315" s="188" t="s">
        <v>1141</v>
      </c>
    </row>
    <row r="316" customFormat="false" ht="15" hidden="false" customHeight="true" outlineLevel="0" collapsed="false">
      <c r="A316" s="0" t="n">
        <v>65</v>
      </c>
      <c r="B316" s="187" t="n">
        <v>46169.099835762</v>
      </c>
      <c r="C316" s="187" t="n">
        <v>46169.1071042806</v>
      </c>
      <c r="D316" s="188" t="s">
        <v>669</v>
      </c>
      <c r="E316" s="188" t="s">
        <v>670</v>
      </c>
      <c r="F316" s="188" t="s">
        <v>670</v>
      </c>
      <c r="G316" s="188" t="s">
        <v>671</v>
      </c>
      <c r="H316" s="187" t="n">
        <v>46162</v>
      </c>
      <c r="I316" s="188" t="s">
        <v>113</v>
      </c>
      <c r="J316" s="188" t="s">
        <v>108</v>
      </c>
      <c r="K316" s="188" t="s">
        <v>173</v>
      </c>
      <c r="L316" s="188" t="s">
        <v>346</v>
      </c>
      <c r="M316" s="188" t="s">
        <v>566</v>
      </c>
      <c r="N316" s="188" t="s">
        <v>672</v>
      </c>
      <c r="O316" s="188" t="s">
        <v>172</v>
      </c>
      <c r="P316" s="188" t="s">
        <v>111</v>
      </c>
      <c r="Q316" s="188" t="s">
        <v>145</v>
      </c>
      <c r="R316" s="188" t="s">
        <v>22</v>
      </c>
      <c r="S316" s="188" t="s">
        <v>227</v>
      </c>
      <c r="T316" s="188" t="s">
        <v>121</v>
      </c>
      <c r="U316" s="188" t="s">
        <v>122</v>
      </c>
      <c r="V316" s="188" t="s">
        <v>123</v>
      </c>
      <c r="W316" s="188" t="s">
        <v>124</v>
      </c>
      <c r="X316" s="188" t="s">
        <v>339</v>
      </c>
      <c r="Y316" s="188" t="s">
        <v>1035</v>
      </c>
      <c r="Z316" s="0" t="n">
        <v>3</v>
      </c>
      <c r="AA316" s="188" t="s">
        <v>1188</v>
      </c>
    </row>
    <row r="317" customFormat="false" ht="15" hidden="false" customHeight="true" outlineLevel="0" collapsed="false">
      <c r="A317" s="0" t="n">
        <v>65</v>
      </c>
      <c r="B317" s="187" t="n">
        <v>46169.099835762</v>
      </c>
      <c r="C317" s="187" t="n">
        <v>46169.1071042806</v>
      </c>
      <c r="D317" s="188" t="s">
        <v>669</v>
      </c>
      <c r="E317" s="188" t="s">
        <v>670</v>
      </c>
      <c r="F317" s="188" t="s">
        <v>670</v>
      </c>
      <c r="G317" s="188" t="s">
        <v>671</v>
      </c>
      <c r="H317" s="187" t="n">
        <v>46162</v>
      </c>
      <c r="I317" s="188" t="s">
        <v>113</v>
      </c>
      <c r="J317" s="188" t="s">
        <v>108</v>
      </c>
      <c r="K317" s="188" t="s">
        <v>173</v>
      </c>
      <c r="L317" s="188" t="s">
        <v>346</v>
      </c>
      <c r="M317" s="188" t="s">
        <v>566</v>
      </c>
      <c r="N317" s="188" t="s">
        <v>672</v>
      </c>
      <c r="O317" s="188" t="s">
        <v>172</v>
      </c>
      <c r="P317" s="188" t="s">
        <v>111</v>
      </c>
      <c r="Q317" s="188" t="s">
        <v>145</v>
      </c>
      <c r="R317" s="188" t="s">
        <v>22</v>
      </c>
      <c r="S317" s="188" t="s">
        <v>227</v>
      </c>
      <c r="T317" s="188" t="s">
        <v>121</v>
      </c>
      <c r="U317" s="188" t="s">
        <v>122</v>
      </c>
      <c r="V317" s="188" t="s">
        <v>123</v>
      </c>
      <c r="W317" s="188" t="s">
        <v>124</v>
      </c>
      <c r="X317" s="188" t="s">
        <v>339</v>
      </c>
      <c r="Y317" s="188" t="s">
        <v>1037</v>
      </c>
      <c r="Z317" s="0" t="n">
        <v>1</v>
      </c>
      <c r="AA317" s="188" t="s">
        <v>122</v>
      </c>
    </row>
    <row r="318" customFormat="false" ht="15" hidden="false" customHeight="true" outlineLevel="0" collapsed="false">
      <c r="A318" s="0" t="n">
        <v>65</v>
      </c>
      <c r="B318" s="187" t="n">
        <v>46169.099835762</v>
      </c>
      <c r="C318" s="187" t="n">
        <v>46169.1071042806</v>
      </c>
      <c r="D318" s="188" t="s">
        <v>669</v>
      </c>
      <c r="E318" s="188" t="s">
        <v>670</v>
      </c>
      <c r="F318" s="188" t="s">
        <v>670</v>
      </c>
      <c r="G318" s="188" t="s">
        <v>671</v>
      </c>
      <c r="H318" s="187" t="n">
        <v>46162</v>
      </c>
      <c r="I318" s="188" t="s">
        <v>113</v>
      </c>
      <c r="J318" s="188" t="s">
        <v>108</v>
      </c>
      <c r="K318" s="188" t="s">
        <v>173</v>
      </c>
      <c r="L318" s="188" t="s">
        <v>346</v>
      </c>
      <c r="M318" s="188" t="s">
        <v>566</v>
      </c>
      <c r="N318" s="188" t="s">
        <v>672</v>
      </c>
      <c r="O318" s="188" t="s">
        <v>172</v>
      </c>
      <c r="P318" s="188" t="s">
        <v>111</v>
      </c>
      <c r="Q318" s="188" t="s">
        <v>145</v>
      </c>
      <c r="R318" s="188" t="s">
        <v>22</v>
      </c>
      <c r="S318" s="188" t="s">
        <v>227</v>
      </c>
      <c r="T318" s="188" t="s">
        <v>121</v>
      </c>
      <c r="U318" s="188" t="s">
        <v>122</v>
      </c>
      <c r="V318" s="188" t="s">
        <v>123</v>
      </c>
      <c r="W318" s="188" t="s">
        <v>124</v>
      </c>
      <c r="X318" s="188" t="s">
        <v>339</v>
      </c>
      <c r="Y318" s="188" t="s">
        <v>1037</v>
      </c>
      <c r="Z318" s="0" t="n">
        <v>2</v>
      </c>
      <c r="AA318" s="188" t="s">
        <v>1114</v>
      </c>
    </row>
    <row r="319" customFormat="false" ht="15" hidden="false" customHeight="true" outlineLevel="0" collapsed="false">
      <c r="A319" s="0" t="n">
        <v>65</v>
      </c>
      <c r="B319" s="187" t="n">
        <v>46169.099835762</v>
      </c>
      <c r="C319" s="187" t="n">
        <v>46169.1071042806</v>
      </c>
      <c r="D319" s="188" t="s">
        <v>669</v>
      </c>
      <c r="E319" s="188" t="s">
        <v>670</v>
      </c>
      <c r="F319" s="188" t="s">
        <v>670</v>
      </c>
      <c r="G319" s="188" t="s">
        <v>671</v>
      </c>
      <c r="H319" s="187" t="n">
        <v>46162</v>
      </c>
      <c r="I319" s="188" t="s">
        <v>113</v>
      </c>
      <c r="J319" s="188" t="s">
        <v>108</v>
      </c>
      <c r="K319" s="188" t="s">
        <v>173</v>
      </c>
      <c r="L319" s="188" t="s">
        <v>346</v>
      </c>
      <c r="M319" s="188" t="s">
        <v>566</v>
      </c>
      <c r="N319" s="188" t="s">
        <v>672</v>
      </c>
      <c r="O319" s="188" t="s">
        <v>172</v>
      </c>
      <c r="P319" s="188" t="s">
        <v>111</v>
      </c>
      <c r="Q319" s="188" t="s">
        <v>145</v>
      </c>
      <c r="R319" s="188" t="s">
        <v>22</v>
      </c>
      <c r="S319" s="188" t="s">
        <v>227</v>
      </c>
      <c r="T319" s="188" t="s">
        <v>121</v>
      </c>
      <c r="U319" s="188" t="s">
        <v>122</v>
      </c>
      <c r="V319" s="188" t="s">
        <v>123</v>
      </c>
      <c r="W319" s="188" t="s">
        <v>124</v>
      </c>
      <c r="X319" s="188" t="s">
        <v>339</v>
      </c>
      <c r="Y319" s="188" t="s">
        <v>1040</v>
      </c>
      <c r="Z319" s="0" t="n">
        <v>1</v>
      </c>
      <c r="AA319" s="188" t="s">
        <v>1189</v>
      </c>
    </row>
    <row r="320" customFormat="false" ht="15" hidden="false" customHeight="true" outlineLevel="0" collapsed="false">
      <c r="A320" s="0" t="n">
        <v>66</v>
      </c>
      <c r="B320" s="187" t="n">
        <v>46047.543879711</v>
      </c>
      <c r="C320" s="187" t="n">
        <v>46047.5633241555</v>
      </c>
      <c r="D320" s="188" t="s">
        <v>676</v>
      </c>
      <c r="E320" s="188" t="s">
        <v>677</v>
      </c>
      <c r="F320" s="188" t="s">
        <v>677</v>
      </c>
      <c r="G320" s="188" t="s">
        <v>678</v>
      </c>
      <c r="H320" s="187" t="n">
        <v>46028</v>
      </c>
      <c r="I320" s="188" t="s">
        <v>132</v>
      </c>
      <c r="J320" s="188" t="s">
        <v>108</v>
      </c>
      <c r="K320" s="188" t="s">
        <v>257</v>
      </c>
      <c r="L320" s="188" t="s">
        <v>110</v>
      </c>
      <c r="M320" s="188" t="s">
        <v>439</v>
      </c>
      <c r="N320" s="188" t="s">
        <v>115</v>
      </c>
      <c r="O320" s="188" t="s">
        <v>157</v>
      </c>
      <c r="P320" s="188" t="s">
        <v>211</v>
      </c>
      <c r="Q320" s="188" t="s">
        <v>112</v>
      </c>
      <c r="R320" s="188" t="s">
        <v>22</v>
      </c>
      <c r="S320" s="188" t="s">
        <v>120</v>
      </c>
      <c r="T320" s="188" t="s">
        <v>121</v>
      </c>
      <c r="U320" s="188" t="s">
        <v>682</v>
      </c>
      <c r="V320" s="188" t="s">
        <v>167</v>
      </c>
      <c r="W320" s="188" t="s">
        <v>124</v>
      </c>
      <c r="X320" s="188" t="s">
        <v>116</v>
      </c>
      <c r="Y320" s="188" t="s">
        <v>1035</v>
      </c>
      <c r="Z320" s="0" t="n">
        <v>1</v>
      </c>
      <c r="AA320" s="188" t="s">
        <v>1078</v>
      </c>
    </row>
    <row r="321" customFormat="false" ht="15" hidden="false" customHeight="true" outlineLevel="0" collapsed="false">
      <c r="A321" s="0" t="n">
        <v>66</v>
      </c>
      <c r="B321" s="187" t="n">
        <v>46047.543879711</v>
      </c>
      <c r="C321" s="187" t="n">
        <v>46047.5633241555</v>
      </c>
      <c r="D321" s="188" t="s">
        <v>676</v>
      </c>
      <c r="E321" s="188" t="s">
        <v>677</v>
      </c>
      <c r="F321" s="188" t="s">
        <v>677</v>
      </c>
      <c r="G321" s="188" t="s">
        <v>678</v>
      </c>
      <c r="H321" s="187" t="n">
        <v>46028</v>
      </c>
      <c r="I321" s="188" t="s">
        <v>132</v>
      </c>
      <c r="J321" s="188" t="s">
        <v>108</v>
      </c>
      <c r="K321" s="188" t="s">
        <v>257</v>
      </c>
      <c r="L321" s="188" t="s">
        <v>110</v>
      </c>
      <c r="M321" s="188" t="s">
        <v>439</v>
      </c>
      <c r="N321" s="188" t="s">
        <v>115</v>
      </c>
      <c r="O321" s="188" t="s">
        <v>157</v>
      </c>
      <c r="P321" s="188" t="s">
        <v>211</v>
      </c>
      <c r="Q321" s="188" t="s">
        <v>112</v>
      </c>
      <c r="R321" s="188" t="s">
        <v>22</v>
      </c>
      <c r="S321" s="188" t="s">
        <v>120</v>
      </c>
      <c r="T321" s="188" t="s">
        <v>121</v>
      </c>
      <c r="U321" s="188" t="s">
        <v>682</v>
      </c>
      <c r="V321" s="188" t="s">
        <v>167</v>
      </c>
      <c r="W321" s="188" t="s">
        <v>124</v>
      </c>
      <c r="X321" s="188" t="s">
        <v>116</v>
      </c>
      <c r="Y321" s="188" t="s">
        <v>1037</v>
      </c>
      <c r="Z321" s="0" t="n">
        <v>1</v>
      </c>
      <c r="AA321" s="188" t="s">
        <v>1183</v>
      </c>
    </row>
    <row r="322" customFormat="false" ht="15" hidden="false" customHeight="true" outlineLevel="0" collapsed="false">
      <c r="A322" s="0" t="n">
        <v>66</v>
      </c>
      <c r="B322" s="187" t="n">
        <v>46047.543879711</v>
      </c>
      <c r="C322" s="187" t="n">
        <v>46047.5633241555</v>
      </c>
      <c r="D322" s="188" t="s">
        <v>676</v>
      </c>
      <c r="E322" s="188" t="s">
        <v>677</v>
      </c>
      <c r="F322" s="188" t="s">
        <v>677</v>
      </c>
      <c r="G322" s="188" t="s">
        <v>678</v>
      </c>
      <c r="H322" s="187" t="n">
        <v>46028</v>
      </c>
      <c r="I322" s="188" t="s">
        <v>132</v>
      </c>
      <c r="J322" s="188" t="s">
        <v>108</v>
      </c>
      <c r="K322" s="188" t="s">
        <v>257</v>
      </c>
      <c r="L322" s="188" t="s">
        <v>110</v>
      </c>
      <c r="M322" s="188" t="s">
        <v>439</v>
      </c>
      <c r="N322" s="188" t="s">
        <v>115</v>
      </c>
      <c r="O322" s="188" t="s">
        <v>157</v>
      </c>
      <c r="P322" s="188" t="s">
        <v>211</v>
      </c>
      <c r="Q322" s="188" t="s">
        <v>112</v>
      </c>
      <c r="R322" s="188" t="s">
        <v>22</v>
      </c>
      <c r="S322" s="188" t="s">
        <v>120</v>
      </c>
      <c r="T322" s="188" t="s">
        <v>121</v>
      </c>
      <c r="U322" s="188" t="s">
        <v>682</v>
      </c>
      <c r="V322" s="188" t="s">
        <v>167</v>
      </c>
      <c r="W322" s="188" t="s">
        <v>124</v>
      </c>
      <c r="X322" s="188" t="s">
        <v>116</v>
      </c>
      <c r="Y322" s="188" t="s">
        <v>1037</v>
      </c>
      <c r="Z322" s="0" t="n">
        <v>2</v>
      </c>
      <c r="AA322" s="188" t="s">
        <v>1039</v>
      </c>
    </row>
    <row r="323" customFormat="false" ht="15" hidden="false" customHeight="true" outlineLevel="0" collapsed="false">
      <c r="A323" s="0" t="n">
        <v>66</v>
      </c>
      <c r="B323" s="187" t="n">
        <v>46047.543879711</v>
      </c>
      <c r="C323" s="187" t="n">
        <v>46047.5633241555</v>
      </c>
      <c r="D323" s="188" t="s">
        <v>676</v>
      </c>
      <c r="E323" s="188" t="s">
        <v>677</v>
      </c>
      <c r="F323" s="188" t="s">
        <v>677</v>
      </c>
      <c r="G323" s="188" t="s">
        <v>678</v>
      </c>
      <c r="H323" s="187" t="n">
        <v>46028</v>
      </c>
      <c r="I323" s="188" t="s">
        <v>132</v>
      </c>
      <c r="J323" s="188" t="s">
        <v>108</v>
      </c>
      <c r="K323" s="188" t="s">
        <v>257</v>
      </c>
      <c r="L323" s="188" t="s">
        <v>110</v>
      </c>
      <c r="M323" s="188" t="s">
        <v>439</v>
      </c>
      <c r="N323" s="188" t="s">
        <v>115</v>
      </c>
      <c r="O323" s="188" t="s">
        <v>157</v>
      </c>
      <c r="P323" s="188" t="s">
        <v>211</v>
      </c>
      <c r="Q323" s="188" t="s">
        <v>112</v>
      </c>
      <c r="R323" s="188" t="s">
        <v>22</v>
      </c>
      <c r="S323" s="188" t="s">
        <v>120</v>
      </c>
      <c r="T323" s="188" t="s">
        <v>121</v>
      </c>
      <c r="U323" s="188" t="s">
        <v>682</v>
      </c>
      <c r="V323" s="188" t="s">
        <v>167</v>
      </c>
      <c r="W323" s="188" t="s">
        <v>124</v>
      </c>
      <c r="X323" s="188" t="s">
        <v>116</v>
      </c>
      <c r="Y323" s="188" t="s">
        <v>1040</v>
      </c>
      <c r="Z323" s="0" t="n">
        <v>1</v>
      </c>
      <c r="AA323" s="188" t="s">
        <v>1041</v>
      </c>
    </row>
    <row r="324" customFormat="false" ht="15" hidden="false" customHeight="true" outlineLevel="0" collapsed="false">
      <c r="A324" s="0" t="n">
        <v>67</v>
      </c>
      <c r="B324" s="187" t="n">
        <v>46140.1300164461</v>
      </c>
      <c r="C324" s="187" t="n">
        <v>46140.1423544091</v>
      </c>
      <c r="D324" s="188" t="s">
        <v>683</v>
      </c>
      <c r="E324" s="188" t="s">
        <v>684</v>
      </c>
      <c r="F324" s="188" t="s">
        <v>684</v>
      </c>
      <c r="G324" s="188" t="s">
        <v>685</v>
      </c>
      <c r="H324" s="187" t="n">
        <v>46140</v>
      </c>
      <c r="I324" s="188" t="s">
        <v>113</v>
      </c>
      <c r="J324" s="188" t="s">
        <v>295</v>
      </c>
      <c r="K324" s="188" t="s">
        <v>462</v>
      </c>
      <c r="L324" s="188" t="s">
        <v>197</v>
      </c>
      <c r="M324" s="188" t="s">
        <v>686</v>
      </c>
      <c r="N324" s="188" t="s">
        <v>407</v>
      </c>
      <c r="O324" s="188" t="s">
        <v>172</v>
      </c>
      <c r="P324" s="188" t="s">
        <v>111</v>
      </c>
      <c r="Q324" s="188" t="s">
        <v>145</v>
      </c>
      <c r="R324" s="188" t="s">
        <v>25</v>
      </c>
      <c r="S324" s="188" t="s">
        <v>152</v>
      </c>
      <c r="T324" s="188" t="s">
        <v>228</v>
      </c>
      <c r="V324" s="188" t="s">
        <v>167</v>
      </c>
      <c r="W324" s="188" t="s">
        <v>168</v>
      </c>
      <c r="X324" s="188" t="s">
        <v>687</v>
      </c>
      <c r="Y324" s="188" t="s">
        <v>1035</v>
      </c>
      <c r="Z324" s="0" t="n">
        <v>1</v>
      </c>
      <c r="AA324" s="188" t="s">
        <v>1190</v>
      </c>
    </row>
    <row r="325" customFormat="false" ht="15" hidden="false" customHeight="true" outlineLevel="0" collapsed="false">
      <c r="A325" s="0" t="n">
        <v>67</v>
      </c>
      <c r="B325" s="187" t="n">
        <v>46140.1300164461</v>
      </c>
      <c r="C325" s="187" t="n">
        <v>46140.1423544091</v>
      </c>
      <c r="D325" s="188" t="s">
        <v>683</v>
      </c>
      <c r="E325" s="188" t="s">
        <v>684</v>
      </c>
      <c r="F325" s="188" t="s">
        <v>684</v>
      </c>
      <c r="G325" s="188" t="s">
        <v>685</v>
      </c>
      <c r="H325" s="187" t="n">
        <v>46140</v>
      </c>
      <c r="I325" s="188" t="s">
        <v>113</v>
      </c>
      <c r="J325" s="188" t="s">
        <v>295</v>
      </c>
      <c r="K325" s="188" t="s">
        <v>462</v>
      </c>
      <c r="L325" s="188" t="s">
        <v>197</v>
      </c>
      <c r="M325" s="188" t="s">
        <v>686</v>
      </c>
      <c r="N325" s="188" t="s">
        <v>407</v>
      </c>
      <c r="O325" s="188" t="s">
        <v>172</v>
      </c>
      <c r="P325" s="188" t="s">
        <v>111</v>
      </c>
      <c r="Q325" s="188" t="s">
        <v>145</v>
      </c>
      <c r="R325" s="188" t="s">
        <v>25</v>
      </c>
      <c r="S325" s="188" t="s">
        <v>152</v>
      </c>
      <c r="T325" s="188" t="s">
        <v>228</v>
      </c>
      <c r="V325" s="188" t="s">
        <v>167</v>
      </c>
      <c r="W325" s="188" t="s">
        <v>168</v>
      </c>
      <c r="X325" s="188" t="s">
        <v>687</v>
      </c>
      <c r="Y325" s="188" t="s">
        <v>1037</v>
      </c>
      <c r="Z325" s="0" t="n">
        <v>1</v>
      </c>
      <c r="AA325" s="188" t="s">
        <v>1191</v>
      </c>
    </row>
    <row r="326" customFormat="false" ht="15" hidden="false" customHeight="true" outlineLevel="0" collapsed="false">
      <c r="A326" s="0" t="n">
        <v>67</v>
      </c>
      <c r="B326" s="187" t="n">
        <v>46140.1300164461</v>
      </c>
      <c r="C326" s="187" t="n">
        <v>46140.1423544091</v>
      </c>
      <c r="D326" s="188" t="s">
        <v>683</v>
      </c>
      <c r="E326" s="188" t="s">
        <v>684</v>
      </c>
      <c r="F326" s="188" t="s">
        <v>684</v>
      </c>
      <c r="G326" s="188" t="s">
        <v>685</v>
      </c>
      <c r="H326" s="187" t="n">
        <v>46140</v>
      </c>
      <c r="I326" s="188" t="s">
        <v>113</v>
      </c>
      <c r="J326" s="188" t="s">
        <v>295</v>
      </c>
      <c r="K326" s="188" t="s">
        <v>462</v>
      </c>
      <c r="L326" s="188" t="s">
        <v>197</v>
      </c>
      <c r="M326" s="188" t="s">
        <v>686</v>
      </c>
      <c r="N326" s="188" t="s">
        <v>407</v>
      </c>
      <c r="O326" s="188" t="s">
        <v>172</v>
      </c>
      <c r="P326" s="188" t="s">
        <v>111</v>
      </c>
      <c r="Q326" s="188" t="s">
        <v>145</v>
      </c>
      <c r="R326" s="188" t="s">
        <v>25</v>
      </c>
      <c r="S326" s="188" t="s">
        <v>152</v>
      </c>
      <c r="T326" s="188" t="s">
        <v>228</v>
      </c>
      <c r="V326" s="188" t="s">
        <v>167</v>
      </c>
      <c r="W326" s="188" t="s">
        <v>168</v>
      </c>
      <c r="X326" s="188" t="s">
        <v>687</v>
      </c>
      <c r="Y326" s="188" t="s">
        <v>1037</v>
      </c>
      <c r="Z326" s="0" t="n">
        <v>2</v>
      </c>
      <c r="AA326" s="188" t="s">
        <v>1192</v>
      </c>
    </row>
    <row r="327" customFormat="false" ht="15" hidden="false" customHeight="true" outlineLevel="0" collapsed="false">
      <c r="A327" s="0" t="n">
        <v>67</v>
      </c>
      <c r="B327" s="187" t="n">
        <v>46140.1300164461</v>
      </c>
      <c r="C327" s="187" t="n">
        <v>46140.1423544091</v>
      </c>
      <c r="D327" s="188" t="s">
        <v>683</v>
      </c>
      <c r="E327" s="188" t="s">
        <v>684</v>
      </c>
      <c r="F327" s="188" t="s">
        <v>684</v>
      </c>
      <c r="G327" s="188" t="s">
        <v>685</v>
      </c>
      <c r="H327" s="187" t="n">
        <v>46140</v>
      </c>
      <c r="I327" s="188" t="s">
        <v>113</v>
      </c>
      <c r="J327" s="188" t="s">
        <v>295</v>
      </c>
      <c r="K327" s="188" t="s">
        <v>462</v>
      </c>
      <c r="L327" s="188" t="s">
        <v>197</v>
      </c>
      <c r="M327" s="188" t="s">
        <v>686</v>
      </c>
      <c r="N327" s="188" t="s">
        <v>407</v>
      </c>
      <c r="O327" s="188" t="s">
        <v>172</v>
      </c>
      <c r="P327" s="188" t="s">
        <v>111</v>
      </c>
      <c r="Q327" s="188" t="s">
        <v>145</v>
      </c>
      <c r="R327" s="188" t="s">
        <v>25</v>
      </c>
      <c r="S327" s="188" t="s">
        <v>152</v>
      </c>
      <c r="T327" s="188" t="s">
        <v>228</v>
      </c>
      <c r="V327" s="188" t="s">
        <v>167</v>
      </c>
      <c r="W327" s="188" t="s">
        <v>168</v>
      </c>
      <c r="X327" s="188" t="s">
        <v>687</v>
      </c>
      <c r="Y327" s="188" t="s">
        <v>1040</v>
      </c>
      <c r="Z327" s="0" t="n">
        <v>1</v>
      </c>
      <c r="AA327" s="188" t="s">
        <v>1193</v>
      </c>
    </row>
    <row r="328" customFormat="false" ht="15" hidden="false" customHeight="true" outlineLevel="0" collapsed="false">
      <c r="A328" s="0" t="n">
        <v>67</v>
      </c>
      <c r="B328" s="187" t="n">
        <v>46140.1300164461</v>
      </c>
      <c r="C328" s="187" t="n">
        <v>46140.1423544091</v>
      </c>
      <c r="D328" s="188" t="s">
        <v>683</v>
      </c>
      <c r="E328" s="188" t="s">
        <v>684</v>
      </c>
      <c r="F328" s="188" t="s">
        <v>684</v>
      </c>
      <c r="G328" s="188" t="s">
        <v>685</v>
      </c>
      <c r="H328" s="187" t="n">
        <v>46140</v>
      </c>
      <c r="I328" s="188" t="s">
        <v>113</v>
      </c>
      <c r="J328" s="188" t="s">
        <v>295</v>
      </c>
      <c r="K328" s="188" t="s">
        <v>462</v>
      </c>
      <c r="L328" s="188" t="s">
        <v>197</v>
      </c>
      <c r="M328" s="188" t="s">
        <v>686</v>
      </c>
      <c r="N328" s="188" t="s">
        <v>407</v>
      </c>
      <c r="O328" s="188" t="s">
        <v>172</v>
      </c>
      <c r="P328" s="188" t="s">
        <v>111</v>
      </c>
      <c r="Q328" s="188" t="s">
        <v>145</v>
      </c>
      <c r="R328" s="188" t="s">
        <v>25</v>
      </c>
      <c r="S328" s="188" t="s">
        <v>152</v>
      </c>
      <c r="T328" s="188" t="s">
        <v>228</v>
      </c>
      <c r="V328" s="188" t="s">
        <v>167</v>
      </c>
      <c r="W328" s="188" t="s">
        <v>168</v>
      </c>
      <c r="X328" s="188" t="s">
        <v>687</v>
      </c>
      <c r="Y328" s="188" t="s">
        <v>1040</v>
      </c>
      <c r="Z328" s="0" t="n">
        <v>2</v>
      </c>
      <c r="AA328" s="188" t="s">
        <v>1194</v>
      </c>
    </row>
    <row r="329" customFormat="false" ht="15" hidden="false" customHeight="true" outlineLevel="0" collapsed="false">
      <c r="A329" s="0" t="n">
        <v>68</v>
      </c>
      <c r="B329" s="187" t="n">
        <v>46041.4449735634</v>
      </c>
      <c r="C329" s="187" t="n">
        <v>46041.4590939337</v>
      </c>
      <c r="D329" s="188" t="s">
        <v>691</v>
      </c>
      <c r="E329" s="188" t="s">
        <v>692</v>
      </c>
      <c r="F329" s="188" t="s">
        <v>692</v>
      </c>
      <c r="G329" s="188" t="s">
        <v>693</v>
      </c>
      <c r="H329" s="187" t="n">
        <v>46034</v>
      </c>
      <c r="I329" s="188" t="s">
        <v>113</v>
      </c>
      <c r="J329" s="188" t="s">
        <v>295</v>
      </c>
      <c r="K329" s="188" t="s">
        <v>196</v>
      </c>
      <c r="L329" s="188" t="s">
        <v>159</v>
      </c>
      <c r="M329" s="188" t="s">
        <v>694</v>
      </c>
      <c r="N329" s="188" t="s">
        <v>234</v>
      </c>
      <c r="O329" s="188" t="s">
        <v>157</v>
      </c>
      <c r="P329" s="188" t="s">
        <v>111</v>
      </c>
      <c r="Q329" s="188" t="s">
        <v>145</v>
      </c>
      <c r="R329" s="188" t="s">
        <v>22</v>
      </c>
      <c r="S329" s="188" t="s">
        <v>152</v>
      </c>
      <c r="T329" s="188" t="s">
        <v>121</v>
      </c>
      <c r="U329" s="188" t="s">
        <v>122</v>
      </c>
      <c r="V329" s="188" t="s">
        <v>123</v>
      </c>
      <c r="W329" s="188" t="s">
        <v>124</v>
      </c>
      <c r="X329" s="188" t="s">
        <v>148</v>
      </c>
      <c r="Y329" s="188" t="s">
        <v>1035</v>
      </c>
      <c r="Z329" s="0" t="n">
        <v>1</v>
      </c>
      <c r="AA329" s="188" t="s">
        <v>1093</v>
      </c>
    </row>
    <row r="330" customFormat="false" ht="15" hidden="false" customHeight="true" outlineLevel="0" collapsed="false">
      <c r="A330" s="0" t="n">
        <v>68</v>
      </c>
      <c r="B330" s="187" t="n">
        <v>46041.4449735634</v>
      </c>
      <c r="C330" s="187" t="n">
        <v>46041.4590939337</v>
      </c>
      <c r="D330" s="188" t="s">
        <v>691</v>
      </c>
      <c r="E330" s="188" t="s">
        <v>692</v>
      </c>
      <c r="F330" s="188" t="s">
        <v>692</v>
      </c>
      <c r="G330" s="188" t="s">
        <v>693</v>
      </c>
      <c r="H330" s="187" t="n">
        <v>46034</v>
      </c>
      <c r="I330" s="188" t="s">
        <v>113</v>
      </c>
      <c r="J330" s="188" t="s">
        <v>295</v>
      </c>
      <c r="K330" s="188" t="s">
        <v>196</v>
      </c>
      <c r="L330" s="188" t="s">
        <v>159</v>
      </c>
      <c r="M330" s="188" t="s">
        <v>694</v>
      </c>
      <c r="N330" s="188" t="s">
        <v>234</v>
      </c>
      <c r="O330" s="188" t="s">
        <v>157</v>
      </c>
      <c r="P330" s="188" t="s">
        <v>111</v>
      </c>
      <c r="Q330" s="188" t="s">
        <v>145</v>
      </c>
      <c r="R330" s="188" t="s">
        <v>22</v>
      </c>
      <c r="S330" s="188" t="s">
        <v>152</v>
      </c>
      <c r="T330" s="188" t="s">
        <v>121</v>
      </c>
      <c r="U330" s="188" t="s">
        <v>122</v>
      </c>
      <c r="V330" s="188" t="s">
        <v>123</v>
      </c>
      <c r="W330" s="188" t="s">
        <v>124</v>
      </c>
      <c r="X330" s="188" t="s">
        <v>148</v>
      </c>
      <c r="Y330" s="188" t="s">
        <v>1037</v>
      </c>
      <c r="Z330" s="0" t="n">
        <v>1</v>
      </c>
      <c r="AA330" s="188" t="s">
        <v>1048</v>
      </c>
    </row>
    <row r="331" customFormat="false" ht="15" hidden="false" customHeight="true" outlineLevel="0" collapsed="false">
      <c r="A331" s="0" t="n">
        <v>68</v>
      </c>
      <c r="B331" s="187" t="n">
        <v>46041.4449735634</v>
      </c>
      <c r="C331" s="187" t="n">
        <v>46041.4590939337</v>
      </c>
      <c r="D331" s="188" t="s">
        <v>691</v>
      </c>
      <c r="E331" s="188" t="s">
        <v>692</v>
      </c>
      <c r="F331" s="188" t="s">
        <v>692</v>
      </c>
      <c r="G331" s="188" t="s">
        <v>693</v>
      </c>
      <c r="H331" s="187" t="n">
        <v>46034</v>
      </c>
      <c r="I331" s="188" t="s">
        <v>113</v>
      </c>
      <c r="J331" s="188" t="s">
        <v>295</v>
      </c>
      <c r="K331" s="188" t="s">
        <v>196</v>
      </c>
      <c r="L331" s="188" t="s">
        <v>159</v>
      </c>
      <c r="M331" s="188" t="s">
        <v>694</v>
      </c>
      <c r="N331" s="188" t="s">
        <v>234</v>
      </c>
      <c r="O331" s="188" t="s">
        <v>157</v>
      </c>
      <c r="P331" s="188" t="s">
        <v>111</v>
      </c>
      <c r="Q331" s="188" t="s">
        <v>145</v>
      </c>
      <c r="R331" s="188" t="s">
        <v>22</v>
      </c>
      <c r="S331" s="188" t="s">
        <v>152</v>
      </c>
      <c r="T331" s="188" t="s">
        <v>121</v>
      </c>
      <c r="U331" s="188" t="s">
        <v>122</v>
      </c>
      <c r="V331" s="188" t="s">
        <v>123</v>
      </c>
      <c r="W331" s="188" t="s">
        <v>124</v>
      </c>
      <c r="X331" s="188" t="s">
        <v>148</v>
      </c>
      <c r="Y331" s="188" t="s">
        <v>1040</v>
      </c>
      <c r="Z331" s="0" t="n">
        <v>1</v>
      </c>
      <c r="AA331" s="188" t="s">
        <v>1160</v>
      </c>
    </row>
    <row r="332" customFormat="false" ht="15" hidden="false" customHeight="true" outlineLevel="0" collapsed="false">
      <c r="A332" s="0" t="n">
        <v>69</v>
      </c>
      <c r="B332" s="187" t="n">
        <v>46072.1535401481</v>
      </c>
      <c r="C332" s="187" t="n">
        <v>46072.1733202407</v>
      </c>
      <c r="D332" s="188" t="s">
        <v>697</v>
      </c>
      <c r="E332" s="188" t="s">
        <v>698</v>
      </c>
      <c r="F332" s="188" t="s">
        <v>699</v>
      </c>
      <c r="G332" s="188" t="s">
        <v>700</v>
      </c>
      <c r="H332" s="187" t="n">
        <v>46063</v>
      </c>
      <c r="I332" s="188" t="s">
        <v>113</v>
      </c>
      <c r="J332" s="188" t="s">
        <v>128</v>
      </c>
      <c r="K332" s="188" t="s">
        <v>257</v>
      </c>
      <c r="L332" s="188" t="s">
        <v>184</v>
      </c>
      <c r="M332" s="188" t="s">
        <v>114</v>
      </c>
      <c r="N332" s="188" t="s">
        <v>701</v>
      </c>
      <c r="O332" s="188" t="s">
        <v>107</v>
      </c>
      <c r="P332" s="188" t="s">
        <v>111</v>
      </c>
      <c r="Q332" s="188" t="s">
        <v>112</v>
      </c>
      <c r="R332" s="188" t="s">
        <v>22</v>
      </c>
      <c r="S332" s="188" t="s">
        <v>152</v>
      </c>
      <c r="T332" s="188" t="s">
        <v>121</v>
      </c>
      <c r="V332" s="188" t="s">
        <v>192</v>
      </c>
      <c r="W332" s="188" t="s">
        <v>124</v>
      </c>
      <c r="X332" s="188" t="s">
        <v>135</v>
      </c>
      <c r="Y332" s="188" t="s">
        <v>1035</v>
      </c>
      <c r="Z332" s="0" t="n">
        <v>1</v>
      </c>
      <c r="AA332" s="188" t="s">
        <v>1173</v>
      </c>
    </row>
    <row r="333" customFormat="false" ht="15" hidden="false" customHeight="true" outlineLevel="0" collapsed="false">
      <c r="A333" s="0" t="n">
        <v>69</v>
      </c>
      <c r="B333" s="187" t="n">
        <v>46072.1535401481</v>
      </c>
      <c r="C333" s="187" t="n">
        <v>46072.1733202407</v>
      </c>
      <c r="D333" s="188" t="s">
        <v>697</v>
      </c>
      <c r="E333" s="188" t="s">
        <v>698</v>
      </c>
      <c r="F333" s="188" t="s">
        <v>699</v>
      </c>
      <c r="G333" s="188" t="s">
        <v>700</v>
      </c>
      <c r="H333" s="187" t="n">
        <v>46063</v>
      </c>
      <c r="I333" s="188" t="s">
        <v>113</v>
      </c>
      <c r="J333" s="188" t="s">
        <v>128</v>
      </c>
      <c r="K333" s="188" t="s">
        <v>257</v>
      </c>
      <c r="L333" s="188" t="s">
        <v>184</v>
      </c>
      <c r="M333" s="188" t="s">
        <v>114</v>
      </c>
      <c r="N333" s="188" t="s">
        <v>701</v>
      </c>
      <c r="O333" s="188" t="s">
        <v>107</v>
      </c>
      <c r="P333" s="188" t="s">
        <v>111</v>
      </c>
      <c r="Q333" s="188" t="s">
        <v>112</v>
      </c>
      <c r="R333" s="188" t="s">
        <v>22</v>
      </c>
      <c r="S333" s="188" t="s">
        <v>152</v>
      </c>
      <c r="T333" s="188" t="s">
        <v>121</v>
      </c>
      <c r="V333" s="188" t="s">
        <v>192</v>
      </c>
      <c r="W333" s="188" t="s">
        <v>124</v>
      </c>
      <c r="X333" s="188" t="s">
        <v>135</v>
      </c>
      <c r="Y333" s="188" t="s">
        <v>1035</v>
      </c>
      <c r="Z333" s="0" t="n">
        <v>2</v>
      </c>
      <c r="AA333" s="188" t="s">
        <v>1042</v>
      </c>
    </row>
    <row r="334" customFormat="false" ht="15" hidden="false" customHeight="true" outlineLevel="0" collapsed="false">
      <c r="A334" s="0" t="n">
        <v>69</v>
      </c>
      <c r="B334" s="187" t="n">
        <v>46072.1535401481</v>
      </c>
      <c r="C334" s="187" t="n">
        <v>46072.1733202407</v>
      </c>
      <c r="D334" s="188" t="s">
        <v>697</v>
      </c>
      <c r="E334" s="188" t="s">
        <v>698</v>
      </c>
      <c r="F334" s="188" t="s">
        <v>699</v>
      </c>
      <c r="G334" s="188" t="s">
        <v>700</v>
      </c>
      <c r="H334" s="187" t="n">
        <v>46063</v>
      </c>
      <c r="I334" s="188" t="s">
        <v>113</v>
      </c>
      <c r="J334" s="188" t="s">
        <v>128</v>
      </c>
      <c r="K334" s="188" t="s">
        <v>257</v>
      </c>
      <c r="L334" s="188" t="s">
        <v>184</v>
      </c>
      <c r="M334" s="188" t="s">
        <v>114</v>
      </c>
      <c r="N334" s="188" t="s">
        <v>701</v>
      </c>
      <c r="O334" s="188" t="s">
        <v>107</v>
      </c>
      <c r="P334" s="188" t="s">
        <v>111</v>
      </c>
      <c r="Q334" s="188" t="s">
        <v>112</v>
      </c>
      <c r="R334" s="188" t="s">
        <v>22</v>
      </c>
      <c r="S334" s="188" t="s">
        <v>152</v>
      </c>
      <c r="T334" s="188" t="s">
        <v>121</v>
      </c>
      <c r="V334" s="188" t="s">
        <v>192</v>
      </c>
      <c r="W334" s="188" t="s">
        <v>124</v>
      </c>
      <c r="X334" s="188" t="s">
        <v>135</v>
      </c>
      <c r="Y334" s="188" t="s">
        <v>1035</v>
      </c>
      <c r="Z334" s="0" t="n">
        <v>3</v>
      </c>
      <c r="AA334" s="188" t="s">
        <v>1155</v>
      </c>
    </row>
    <row r="335" customFormat="false" ht="15" hidden="false" customHeight="true" outlineLevel="0" collapsed="false">
      <c r="A335" s="0" t="n">
        <v>69</v>
      </c>
      <c r="B335" s="187" t="n">
        <v>46072.1535401481</v>
      </c>
      <c r="C335" s="187" t="n">
        <v>46072.1733202407</v>
      </c>
      <c r="D335" s="188" t="s">
        <v>697</v>
      </c>
      <c r="E335" s="188" t="s">
        <v>698</v>
      </c>
      <c r="F335" s="188" t="s">
        <v>699</v>
      </c>
      <c r="G335" s="188" t="s">
        <v>700</v>
      </c>
      <c r="H335" s="187" t="n">
        <v>46063</v>
      </c>
      <c r="I335" s="188" t="s">
        <v>113</v>
      </c>
      <c r="J335" s="188" t="s">
        <v>128</v>
      </c>
      <c r="K335" s="188" t="s">
        <v>257</v>
      </c>
      <c r="L335" s="188" t="s">
        <v>184</v>
      </c>
      <c r="M335" s="188" t="s">
        <v>114</v>
      </c>
      <c r="N335" s="188" t="s">
        <v>701</v>
      </c>
      <c r="O335" s="188" t="s">
        <v>107</v>
      </c>
      <c r="P335" s="188" t="s">
        <v>111</v>
      </c>
      <c r="Q335" s="188" t="s">
        <v>112</v>
      </c>
      <c r="R335" s="188" t="s">
        <v>22</v>
      </c>
      <c r="S335" s="188" t="s">
        <v>152</v>
      </c>
      <c r="T335" s="188" t="s">
        <v>121</v>
      </c>
      <c r="V335" s="188" t="s">
        <v>192</v>
      </c>
      <c r="W335" s="188" t="s">
        <v>124</v>
      </c>
      <c r="X335" s="188" t="s">
        <v>135</v>
      </c>
      <c r="Y335" s="188" t="s">
        <v>1037</v>
      </c>
      <c r="Z335" s="0" t="n">
        <v>1</v>
      </c>
      <c r="AA335" s="188" t="s">
        <v>1195</v>
      </c>
    </row>
    <row r="336" customFormat="false" ht="15" hidden="false" customHeight="true" outlineLevel="0" collapsed="false">
      <c r="A336" s="0" t="n">
        <v>69</v>
      </c>
      <c r="B336" s="187" t="n">
        <v>46072.1535401481</v>
      </c>
      <c r="C336" s="187" t="n">
        <v>46072.1733202407</v>
      </c>
      <c r="D336" s="188" t="s">
        <v>697</v>
      </c>
      <c r="E336" s="188" t="s">
        <v>698</v>
      </c>
      <c r="F336" s="188" t="s">
        <v>699</v>
      </c>
      <c r="G336" s="188" t="s">
        <v>700</v>
      </c>
      <c r="H336" s="187" t="n">
        <v>46063</v>
      </c>
      <c r="I336" s="188" t="s">
        <v>113</v>
      </c>
      <c r="J336" s="188" t="s">
        <v>128</v>
      </c>
      <c r="K336" s="188" t="s">
        <v>257</v>
      </c>
      <c r="L336" s="188" t="s">
        <v>184</v>
      </c>
      <c r="M336" s="188" t="s">
        <v>114</v>
      </c>
      <c r="N336" s="188" t="s">
        <v>701</v>
      </c>
      <c r="O336" s="188" t="s">
        <v>107</v>
      </c>
      <c r="P336" s="188" t="s">
        <v>111</v>
      </c>
      <c r="Q336" s="188" t="s">
        <v>112</v>
      </c>
      <c r="R336" s="188" t="s">
        <v>22</v>
      </c>
      <c r="S336" s="188" t="s">
        <v>152</v>
      </c>
      <c r="T336" s="188" t="s">
        <v>121</v>
      </c>
      <c r="V336" s="188" t="s">
        <v>192</v>
      </c>
      <c r="W336" s="188" t="s">
        <v>124</v>
      </c>
      <c r="X336" s="188" t="s">
        <v>135</v>
      </c>
      <c r="Y336" s="188" t="s">
        <v>1037</v>
      </c>
      <c r="Z336" s="0" t="n">
        <v>2</v>
      </c>
      <c r="AA336" s="188" t="s">
        <v>1164</v>
      </c>
    </row>
    <row r="337" customFormat="false" ht="15" hidden="false" customHeight="true" outlineLevel="0" collapsed="false">
      <c r="A337" s="0" t="n">
        <v>69</v>
      </c>
      <c r="B337" s="187" t="n">
        <v>46072.1535401481</v>
      </c>
      <c r="C337" s="187" t="n">
        <v>46072.1733202407</v>
      </c>
      <c r="D337" s="188" t="s">
        <v>697</v>
      </c>
      <c r="E337" s="188" t="s">
        <v>698</v>
      </c>
      <c r="F337" s="188" t="s">
        <v>699</v>
      </c>
      <c r="G337" s="188" t="s">
        <v>700</v>
      </c>
      <c r="H337" s="187" t="n">
        <v>46063</v>
      </c>
      <c r="I337" s="188" t="s">
        <v>113</v>
      </c>
      <c r="J337" s="188" t="s">
        <v>128</v>
      </c>
      <c r="K337" s="188" t="s">
        <v>257</v>
      </c>
      <c r="L337" s="188" t="s">
        <v>184</v>
      </c>
      <c r="M337" s="188" t="s">
        <v>114</v>
      </c>
      <c r="N337" s="188" t="s">
        <v>701</v>
      </c>
      <c r="O337" s="188" t="s">
        <v>107</v>
      </c>
      <c r="P337" s="188" t="s">
        <v>111</v>
      </c>
      <c r="Q337" s="188" t="s">
        <v>112</v>
      </c>
      <c r="R337" s="188" t="s">
        <v>22</v>
      </c>
      <c r="S337" s="188" t="s">
        <v>152</v>
      </c>
      <c r="T337" s="188" t="s">
        <v>121</v>
      </c>
      <c r="V337" s="188" t="s">
        <v>192</v>
      </c>
      <c r="W337" s="188" t="s">
        <v>124</v>
      </c>
      <c r="X337" s="188" t="s">
        <v>135</v>
      </c>
      <c r="Y337" s="188" t="s">
        <v>1040</v>
      </c>
      <c r="Z337" s="0" t="n">
        <v>1</v>
      </c>
      <c r="AA337" s="188" t="s">
        <v>1184</v>
      </c>
    </row>
    <row r="338" customFormat="false" ht="15" hidden="false" customHeight="true" outlineLevel="0" collapsed="false">
      <c r="A338" s="0" t="n">
        <v>69</v>
      </c>
      <c r="B338" s="187" t="n">
        <v>46072.1535401481</v>
      </c>
      <c r="C338" s="187" t="n">
        <v>46072.1733202407</v>
      </c>
      <c r="D338" s="188" t="s">
        <v>697</v>
      </c>
      <c r="E338" s="188" t="s">
        <v>698</v>
      </c>
      <c r="F338" s="188" t="s">
        <v>699</v>
      </c>
      <c r="G338" s="188" t="s">
        <v>700</v>
      </c>
      <c r="H338" s="187" t="n">
        <v>46063</v>
      </c>
      <c r="I338" s="188" t="s">
        <v>113</v>
      </c>
      <c r="J338" s="188" t="s">
        <v>128</v>
      </c>
      <c r="K338" s="188" t="s">
        <v>257</v>
      </c>
      <c r="L338" s="188" t="s">
        <v>184</v>
      </c>
      <c r="M338" s="188" t="s">
        <v>114</v>
      </c>
      <c r="N338" s="188" t="s">
        <v>701</v>
      </c>
      <c r="O338" s="188" t="s">
        <v>107</v>
      </c>
      <c r="P338" s="188" t="s">
        <v>111</v>
      </c>
      <c r="Q338" s="188" t="s">
        <v>112</v>
      </c>
      <c r="R338" s="188" t="s">
        <v>22</v>
      </c>
      <c r="S338" s="188" t="s">
        <v>152</v>
      </c>
      <c r="T338" s="188" t="s">
        <v>121</v>
      </c>
      <c r="V338" s="188" t="s">
        <v>192</v>
      </c>
      <c r="W338" s="188" t="s">
        <v>124</v>
      </c>
      <c r="X338" s="188" t="s">
        <v>135</v>
      </c>
      <c r="Y338" s="188" t="s">
        <v>1040</v>
      </c>
      <c r="Z338" s="0" t="n">
        <v>2</v>
      </c>
      <c r="AA338" s="188" t="s">
        <v>1124</v>
      </c>
    </row>
    <row r="339" customFormat="false" ht="15" hidden="false" customHeight="true" outlineLevel="0" collapsed="false">
      <c r="A339" s="0" t="n">
        <v>70</v>
      </c>
      <c r="B339" s="187" t="n">
        <v>46191.6182020445</v>
      </c>
      <c r="C339" s="187" t="n">
        <v>46191.6386881556</v>
      </c>
      <c r="D339" s="188" t="s">
        <v>705</v>
      </c>
      <c r="E339" s="188" t="s">
        <v>706</v>
      </c>
      <c r="F339" s="188" t="s">
        <v>706</v>
      </c>
      <c r="G339" s="188" t="s">
        <v>707</v>
      </c>
      <c r="H339" s="187" t="n">
        <v>46174</v>
      </c>
      <c r="I339" s="188" t="s">
        <v>113</v>
      </c>
      <c r="J339" s="188" t="s">
        <v>108</v>
      </c>
      <c r="K339" s="188" t="s">
        <v>245</v>
      </c>
      <c r="L339" s="188" t="s">
        <v>184</v>
      </c>
      <c r="M339" s="188" t="s">
        <v>130</v>
      </c>
      <c r="N339" s="188" t="s">
        <v>227</v>
      </c>
      <c r="O339" s="188" t="s">
        <v>172</v>
      </c>
      <c r="P339" s="188" t="s">
        <v>111</v>
      </c>
      <c r="Q339" s="188" t="s">
        <v>112</v>
      </c>
      <c r="R339" s="188" t="s">
        <v>21</v>
      </c>
      <c r="S339" s="188" t="s">
        <v>120</v>
      </c>
      <c r="T339" s="188" t="s">
        <v>180</v>
      </c>
      <c r="U339" s="188" t="s">
        <v>191</v>
      </c>
      <c r="V339" s="188" t="s">
        <v>192</v>
      </c>
      <c r="W339" s="188" t="s">
        <v>168</v>
      </c>
      <c r="X339" s="188" t="s">
        <v>187</v>
      </c>
      <c r="Y339" s="188" t="s">
        <v>1035</v>
      </c>
      <c r="Z339" s="0" t="n">
        <v>1</v>
      </c>
      <c r="AA339" s="188" t="s">
        <v>1060</v>
      </c>
    </row>
    <row r="340" customFormat="false" ht="15" hidden="false" customHeight="true" outlineLevel="0" collapsed="false">
      <c r="A340" s="0" t="n">
        <v>70</v>
      </c>
      <c r="B340" s="187" t="n">
        <v>46191.6182020445</v>
      </c>
      <c r="C340" s="187" t="n">
        <v>46191.6386881556</v>
      </c>
      <c r="D340" s="188" t="s">
        <v>705</v>
      </c>
      <c r="E340" s="188" t="s">
        <v>706</v>
      </c>
      <c r="F340" s="188" t="s">
        <v>706</v>
      </c>
      <c r="G340" s="188" t="s">
        <v>707</v>
      </c>
      <c r="H340" s="187" t="n">
        <v>46174</v>
      </c>
      <c r="I340" s="188" t="s">
        <v>113</v>
      </c>
      <c r="J340" s="188" t="s">
        <v>108</v>
      </c>
      <c r="K340" s="188" t="s">
        <v>245</v>
      </c>
      <c r="L340" s="188" t="s">
        <v>184</v>
      </c>
      <c r="M340" s="188" t="s">
        <v>130</v>
      </c>
      <c r="N340" s="188" t="s">
        <v>227</v>
      </c>
      <c r="O340" s="188" t="s">
        <v>172</v>
      </c>
      <c r="P340" s="188" t="s">
        <v>111</v>
      </c>
      <c r="Q340" s="188" t="s">
        <v>112</v>
      </c>
      <c r="R340" s="188" t="s">
        <v>21</v>
      </c>
      <c r="S340" s="188" t="s">
        <v>120</v>
      </c>
      <c r="T340" s="188" t="s">
        <v>180</v>
      </c>
      <c r="U340" s="188" t="s">
        <v>191</v>
      </c>
      <c r="V340" s="188" t="s">
        <v>192</v>
      </c>
      <c r="W340" s="188" t="s">
        <v>168</v>
      </c>
      <c r="X340" s="188" t="s">
        <v>187</v>
      </c>
      <c r="Y340" s="188" t="s">
        <v>1037</v>
      </c>
      <c r="Z340" s="0" t="n">
        <v>1</v>
      </c>
      <c r="AA340" s="188" t="s">
        <v>1139</v>
      </c>
    </row>
    <row r="341" customFormat="false" ht="15" hidden="false" customHeight="true" outlineLevel="0" collapsed="false">
      <c r="A341" s="0" t="n">
        <v>70</v>
      </c>
      <c r="B341" s="187" t="n">
        <v>46191.6182020445</v>
      </c>
      <c r="C341" s="187" t="n">
        <v>46191.6386881556</v>
      </c>
      <c r="D341" s="188" t="s">
        <v>705</v>
      </c>
      <c r="E341" s="188" t="s">
        <v>706</v>
      </c>
      <c r="F341" s="188" t="s">
        <v>706</v>
      </c>
      <c r="G341" s="188" t="s">
        <v>707</v>
      </c>
      <c r="H341" s="187" t="n">
        <v>46174</v>
      </c>
      <c r="I341" s="188" t="s">
        <v>113</v>
      </c>
      <c r="J341" s="188" t="s">
        <v>108</v>
      </c>
      <c r="K341" s="188" t="s">
        <v>245</v>
      </c>
      <c r="L341" s="188" t="s">
        <v>184</v>
      </c>
      <c r="M341" s="188" t="s">
        <v>130</v>
      </c>
      <c r="N341" s="188" t="s">
        <v>227</v>
      </c>
      <c r="O341" s="188" t="s">
        <v>172</v>
      </c>
      <c r="P341" s="188" t="s">
        <v>111</v>
      </c>
      <c r="Q341" s="188" t="s">
        <v>112</v>
      </c>
      <c r="R341" s="188" t="s">
        <v>21</v>
      </c>
      <c r="S341" s="188" t="s">
        <v>120</v>
      </c>
      <c r="T341" s="188" t="s">
        <v>180</v>
      </c>
      <c r="U341" s="188" t="s">
        <v>191</v>
      </c>
      <c r="V341" s="188" t="s">
        <v>192</v>
      </c>
      <c r="W341" s="188" t="s">
        <v>168</v>
      </c>
      <c r="X341" s="188" t="s">
        <v>187</v>
      </c>
      <c r="Y341" s="188" t="s">
        <v>1037</v>
      </c>
      <c r="Z341" s="0" t="n">
        <v>2</v>
      </c>
      <c r="AA341" s="188" t="s">
        <v>1061</v>
      </c>
    </row>
    <row r="342" customFormat="false" ht="15" hidden="false" customHeight="true" outlineLevel="0" collapsed="false">
      <c r="A342" s="0" t="n">
        <v>70</v>
      </c>
      <c r="B342" s="187" t="n">
        <v>46191.6182020445</v>
      </c>
      <c r="C342" s="187" t="n">
        <v>46191.6386881556</v>
      </c>
      <c r="D342" s="188" t="s">
        <v>705</v>
      </c>
      <c r="E342" s="188" t="s">
        <v>706</v>
      </c>
      <c r="F342" s="188" t="s">
        <v>706</v>
      </c>
      <c r="G342" s="188" t="s">
        <v>707</v>
      </c>
      <c r="H342" s="187" t="n">
        <v>46174</v>
      </c>
      <c r="I342" s="188" t="s">
        <v>113</v>
      </c>
      <c r="J342" s="188" t="s">
        <v>108</v>
      </c>
      <c r="K342" s="188" t="s">
        <v>245</v>
      </c>
      <c r="L342" s="188" t="s">
        <v>184</v>
      </c>
      <c r="M342" s="188" t="s">
        <v>130</v>
      </c>
      <c r="N342" s="188" t="s">
        <v>227</v>
      </c>
      <c r="O342" s="188" t="s">
        <v>172</v>
      </c>
      <c r="P342" s="188" t="s">
        <v>111</v>
      </c>
      <c r="Q342" s="188" t="s">
        <v>112</v>
      </c>
      <c r="R342" s="188" t="s">
        <v>21</v>
      </c>
      <c r="S342" s="188" t="s">
        <v>120</v>
      </c>
      <c r="T342" s="188" t="s">
        <v>180</v>
      </c>
      <c r="U342" s="188" t="s">
        <v>191</v>
      </c>
      <c r="V342" s="188" t="s">
        <v>192</v>
      </c>
      <c r="W342" s="188" t="s">
        <v>168</v>
      </c>
      <c r="X342" s="188" t="s">
        <v>187</v>
      </c>
      <c r="Y342" s="188" t="s">
        <v>1040</v>
      </c>
      <c r="Z342" s="0" t="n">
        <v>1</v>
      </c>
      <c r="AA342" s="188" t="s">
        <v>1062</v>
      </c>
    </row>
    <row r="343" customFormat="false" ht="15" hidden="false" customHeight="true" outlineLevel="0" collapsed="false">
      <c r="A343" s="0" t="n">
        <v>71</v>
      </c>
      <c r="B343" s="187" t="n">
        <v>46066.5472786575</v>
      </c>
      <c r="C343" s="187" t="n">
        <v>46066.5531698612</v>
      </c>
      <c r="D343" s="188" t="s">
        <v>709</v>
      </c>
      <c r="E343" s="188" t="s">
        <v>710</v>
      </c>
      <c r="F343" s="188" t="s">
        <v>711</v>
      </c>
      <c r="G343" s="188" t="s">
        <v>712</v>
      </c>
      <c r="H343" s="187" t="n">
        <v>46051</v>
      </c>
      <c r="I343" s="188" t="s">
        <v>113</v>
      </c>
      <c r="J343" s="188" t="s">
        <v>295</v>
      </c>
      <c r="K343" s="188" t="s">
        <v>245</v>
      </c>
      <c r="L343" s="188" t="s">
        <v>184</v>
      </c>
      <c r="M343" s="188" t="s">
        <v>578</v>
      </c>
      <c r="N343" s="188" t="s">
        <v>714</v>
      </c>
      <c r="O343" s="188" t="s">
        <v>713</v>
      </c>
      <c r="P343" s="188" t="s">
        <v>111</v>
      </c>
      <c r="Q343" s="188" t="s">
        <v>145</v>
      </c>
      <c r="R343" s="188" t="s">
        <v>22</v>
      </c>
      <c r="S343" s="188" t="s">
        <v>152</v>
      </c>
      <c r="T343" s="188" t="s">
        <v>121</v>
      </c>
      <c r="U343" s="131" t="s">
        <v>641</v>
      </c>
      <c r="V343" s="188" t="s">
        <v>123</v>
      </c>
      <c r="W343" s="188" t="s">
        <v>124</v>
      </c>
      <c r="X343" s="188" t="s">
        <v>715</v>
      </c>
      <c r="Y343" s="188" t="s">
        <v>1035</v>
      </c>
      <c r="Z343" s="0" t="n">
        <v>1</v>
      </c>
      <c r="AA343" s="188" t="s">
        <v>1196</v>
      </c>
    </row>
    <row r="344" customFormat="false" ht="15" hidden="false" customHeight="true" outlineLevel="0" collapsed="false">
      <c r="A344" s="0" t="n">
        <v>71</v>
      </c>
      <c r="B344" s="187" t="n">
        <v>46066.5472786575</v>
      </c>
      <c r="C344" s="187" t="n">
        <v>46066.5531698612</v>
      </c>
      <c r="D344" s="188" t="s">
        <v>709</v>
      </c>
      <c r="E344" s="188" t="s">
        <v>710</v>
      </c>
      <c r="F344" s="188" t="s">
        <v>711</v>
      </c>
      <c r="G344" s="188" t="s">
        <v>712</v>
      </c>
      <c r="H344" s="187" t="n">
        <v>46051</v>
      </c>
      <c r="I344" s="188" t="s">
        <v>113</v>
      </c>
      <c r="J344" s="188" t="s">
        <v>295</v>
      </c>
      <c r="K344" s="188" t="s">
        <v>245</v>
      </c>
      <c r="L344" s="188" t="s">
        <v>184</v>
      </c>
      <c r="M344" s="188" t="s">
        <v>578</v>
      </c>
      <c r="N344" s="188" t="s">
        <v>714</v>
      </c>
      <c r="O344" s="188" t="s">
        <v>713</v>
      </c>
      <c r="P344" s="188" t="s">
        <v>111</v>
      </c>
      <c r="Q344" s="188" t="s">
        <v>145</v>
      </c>
      <c r="R344" s="188" t="s">
        <v>22</v>
      </c>
      <c r="S344" s="188" t="s">
        <v>152</v>
      </c>
      <c r="T344" s="188" t="s">
        <v>121</v>
      </c>
      <c r="U344" s="131" t="s">
        <v>641</v>
      </c>
      <c r="V344" s="188" t="s">
        <v>123</v>
      </c>
      <c r="W344" s="188" t="s">
        <v>124</v>
      </c>
      <c r="X344" s="188" t="s">
        <v>715</v>
      </c>
      <c r="Y344" s="188" t="s">
        <v>1035</v>
      </c>
      <c r="Z344" s="0" t="n">
        <v>2</v>
      </c>
      <c r="AA344" s="188" t="s">
        <v>1197</v>
      </c>
    </row>
    <row r="345" customFormat="false" ht="15" hidden="false" customHeight="true" outlineLevel="0" collapsed="false">
      <c r="A345" s="0" t="n">
        <v>71</v>
      </c>
      <c r="B345" s="187" t="n">
        <v>46066.5472786575</v>
      </c>
      <c r="C345" s="187" t="n">
        <v>46066.5531698612</v>
      </c>
      <c r="D345" s="188" t="s">
        <v>709</v>
      </c>
      <c r="E345" s="188" t="s">
        <v>710</v>
      </c>
      <c r="F345" s="188" t="s">
        <v>711</v>
      </c>
      <c r="G345" s="188" t="s">
        <v>712</v>
      </c>
      <c r="H345" s="187" t="n">
        <v>46051</v>
      </c>
      <c r="I345" s="188" t="s">
        <v>113</v>
      </c>
      <c r="J345" s="188" t="s">
        <v>295</v>
      </c>
      <c r="K345" s="188" t="s">
        <v>245</v>
      </c>
      <c r="L345" s="188" t="s">
        <v>184</v>
      </c>
      <c r="M345" s="188" t="s">
        <v>578</v>
      </c>
      <c r="N345" s="188" t="s">
        <v>714</v>
      </c>
      <c r="O345" s="188" t="s">
        <v>713</v>
      </c>
      <c r="P345" s="188" t="s">
        <v>111</v>
      </c>
      <c r="Q345" s="188" t="s">
        <v>145</v>
      </c>
      <c r="R345" s="188" t="s">
        <v>22</v>
      </c>
      <c r="S345" s="188" t="s">
        <v>152</v>
      </c>
      <c r="T345" s="188" t="s">
        <v>121</v>
      </c>
      <c r="U345" s="131" t="s">
        <v>641</v>
      </c>
      <c r="V345" s="188" t="s">
        <v>123</v>
      </c>
      <c r="W345" s="188" t="s">
        <v>124</v>
      </c>
      <c r="X345" s="188" t="s">
        <v>715</v>
      </c>
      <c r="Y345" s="188" t="s">
        <v>1037</v>
      </c>
      <c r="Z345" s="0" t="n">
        <v>1</v>
      </c>
      <c r="AA345" s="188" t="s">
        <v>1198</v>
      </c>
    </row>
    <row r="346" customFormat="false" ht="15" hidden="false" customHeight="true" outlineLevel="0" collapsed="false">
      <c r="A346" s="0" t="n">
        <v>71</v>
      </c>
      <c r="B346" s="187" t="n">
        <v>46066.5472786575</v>
      </c>
      <c r="C346" s="187" t="n">
        <v>46066.5531698612</v>
      </c>
      <c r="D346" s="188" t="s">
        <v>709</v>
      </c>
      <c r="E346" s="188" t="s">
        <v>710</v>
      </c>
      <c r="F346" s="188" t="s">
        <v>711</v>
      </c>
      <c r="G346" s="188" t="s">
        <v>712</v>
      </c>
      <c r="H346" s="187" t="n">
        <v>46051</v>
      </c>
      <c r="I346" s="188" t="s">
        <v>113</v>
      </c>
      <c r="J346" s="188" t="s">
        <v>295</v>
      </c>
      <c r="K346" s="188" t="s">
        <v>245</v>
      </c>
      <c r="L346" s="188" t="s">
        <v>184</v>
      </c>
      <c r="M346" s="188" t="s">
        <v>578</v>
      </c>
      <c r="N346" s="188" t="s">
        <v>714</v>
      </c>
      <c r="O346" s="188" t="s">
        <v>713</v>
      </c>
      <c r="P346" s="188" t="s">
        <v>111</v>
      </c>
      <c r="Q346" s="188" t="s">
        <v>145</v>
      </c>
      <c r="R346" s="188" t="s">
        <v>22</v>
      </c>
      <c r="S346" s="188" t="s">
        <v>152</v>
      </c>
      <c r="T346" s="188" t="s">
        <v>121</v>
      </c>
      <c r="U346" s="131" t="s">
        <v>641</v>
      </c>
      <c r="V346" s="188" t="s">
        <v>123</v>
      </c>
      <c r="W346" s="188" t="s">
        <v>124</v>
      </c>
      <c r="X346" s="188" t="s">
        <v>715</v>
      </c>
      <c r="Y346" s="188" t="s">
        <v>1037</v>
      </c>
      <c r="Z346" s="0" t="n">
        <v>2</v>
      </c>
      <c r="AA346" s="188" t="s">
        <v>1199</v>
      </c>
    </row>
    <row r="347" customFormat="false" ht="15" hidden="false" customHeight="true" outlineLevel="0" collapsed="false">
      <c r="A347" s="0" t="n">
        <v>71</v>
      </c>
      <c r="B347" s="187" t="n">
        <v>46066.5472786575</v>
      </c>
      <c r="C347" s="187" t="n">
        <v>46066.5531698612</v>
      </c>
      <c r="D347" s="188" t="s">
        <v>709</v>
      </c>
      <c r="E347" s="188" t="s">
        <v>710</v>
      </c>
      <c r="F347" s="188" t="s">
        <v>711</v>
      </c>
      <c r="G347" s="188" t="s">
        <v>712</v>
      </c>
      <c r="H347" s="187" t="n">
        <v>46051</v>
      </c>
      <c r="I347" s="188" t="s">
        <v>113</v>
      </c>
      <c r="J347" s="188" t="s">
        <v>295</v>
      </c>
      <c r="K347" s="188" t="s">
        <v>245</v>
      </c>
      <c r="L347" s="188" t="s">
        <v>184</v>
      </c>
      <c r="M347" s="188" t="s">
        <v>578</v>
      </c>
      <c r="N347" s="188" t="s">
        <v>714</v>
      </c>
      <c r="O347" s="188" t="s">
        <v>713</v>
      </c>
      <c r="P347" s="188" t="s">
        <v>111</v>
      </c>
      <c r="Q347" s="188" t="s">
        <v>145</v>
      </c>
      <c r="R347" s="188" t="s">
        <v>22</v>
      </c>
      <c r="S347" s="188" t="s">
        <v>152</v>
      </c>
      <c r="T347" s="188" t="s">
        <v>121</v>
      </c>
      <c r="U347" s="131" t="s">
        <v>641</v>
      </c>
      <c r="V347" s="188" t="s">
        <v>123</v>
      </c>
      <c r="W347" s="188" t="s">
        <v>124</v>
      </c>
      <c r="X347" s="188" t="s">
        <v>715</v>
      </c>
      <c r="Y347" s="188" t="s">
        <v>1040</v>
      </c>
      <c r="Z347" s="0" t="n">
        <v>1</v>
      </c>
      <c r="AA347" s="188" t="s">
        <v>1200</v>
      </c>
    </row>
    <row r="348" customFormat="false" ht="15" hidden="false" customHeight="true" outlineLevel="0" collapsed="false">
      <c r="A348" s="0" t="n">
        <v>71</v>
      </c>
      <c r="B348" s="187" t="n">
        <v>46066.5472786575</v>
      </c>
      <c r="C348" s="187" t="n">
        <v>46066.5531698612</v>
      </c>
      <c r="D348" s="188" t="s">
        <v>709</v>
      </c>
      <c r="E348" s="188" t="s">
        <v>710</v>
      </c>
      <c r="F348" s="188" t="s">
        <v>711</v>
      </c>
      <c r="G348" s="188" t="s">
        <v>712</v>
      </c>
      <c r="H348" s="187" t="n">
        <v>46051</v>
      </c>
      <c r="I348" s="188" t="s">
        <v>113</v>
      </c>
      <c r="J348" s="188" t="s">
        <v>295</v>
      </c>
      <c r="K348" s="188" t="s">
        <v>245</v>
      </c>
      <c r="L348" s="188" t="s">
        <v>184</v>
      </c>
      <c r="M348" s="188" t="s">
        <v>578</v>
      </c>
      <c r="N348" s="188" t="s">
        <v>714</v>
      </c>
      <c r="O348" s="188" t="s">
        <v>713</v>
      </c>
      <c r="P348" s="188" t="s">
        <v>111</v>
      </c>
      <c r="Q348" s="188" t="s">
        <v>145</v>
      </c>
      <c r="R348" s="188" t="s">
        <v>22</v>
      </c>
      <c r="S348" s="188" t="s">
        <v>152</v>
      </c>
      <c r="T348" s="188" t="s">
        <v>121</v>
      </c>
      <c r="U348" s="131" t="s">
        <v>641</v>
      </c>
      <c r="V348" s="188" t="s">
        <v>123</v>
      </c>
      <c r="W348" s="188" t="s">
        <v>124</v>
      </c>
      <c r="X348" s="188" t="s">
        <v>715</v>
      </c>
      <c r="Y348" s="188" t="s">
        <v>1040</v>
      </c>
      <c r="Z348" s="0" t="n">
        <v>2</v>
      </c>
      <c r="AA348" s="188" t="s">
        <v>1201</v>
      </c>
    </row>
    <row r="349" customFormat="false" ht="15" hidden="false" customHeight="true" outlineLevel="0" collapsed="false">
      <c r="A349" s="0" t="n">
        <v>72</v>
      </c>
      <c r="B349" s="187" t="n">
        <v>46103.6318855788</v>
      </c>
      <c r="C349" s="187" t="n">
        <v>46103.6379156714</v>
      </c>
      <c r="D349" s="188" t="s">
        <v>719</v>
      </c>
      <c r="E349" s="188" t="s">
        <v>720</v>
      </c>
      <c r="F349" s="188" t="s">
        <v>720</v>
      </c>
      <c r="G349" s="188" t="s">
        <v>721</v>
      </c>
      <c r="H349" s="187" t="n">
        <v>46085</v>
      </c>
      <c r="I349" s="188" t="s">
        <v>325</v>
      </c>
      <c r="J349" s="188" t="s">
        <v>108</v>
      </c>
      <c r="K349" s="188" t="s">
        <v>257</v>
      </c>
      <c r="L349" s="188" t="s">
        <v>346</v>
      </c>
      <c r="M349" s="188" t="s">
        <v>357</v>
      </c>
      <c r="N349" s="188" t="s">
        <v>398</v>
      </c>
      <c r="O349" s="188" t="s">
        <v>157</v>
      </c>
      <c r="P349" s="188" t="s">
        <v>111</v>
      </c>
      <c r="Q349" s="188" t="s">
        <v>112</v>
      </c>
      <c r="R349" s="188" t="s">
        <v>22</v>
      </c>
      <c r="S349" s="188" t="s">
        <v>227</v>
      </c>
      <c r="T349" s="188" t="s">
        <v>180</v>
      </c>
      <c r="U349" s="188" t="s">
        <v>725</v>
      </c>
      <c r="V349" s="188" t="s">
        <v>123</v>
      </c>
      <c r="W349" s="188" t="s">
        <v>124</v>
      </c>
      <c r="X349" s="188" t="s">
        <v>271</v>
      </c>
      <c r="Y349" s="188" t="s">
        <v>1035</v>
      </c>
      <c r="Z349" s="0" t="n">
        <v>1</v>
      </c>
      <c r="AA349" s="188" t="s">
        <v>1202</v>
      </c>
    </row>
    <row r="350" customFormat="false" ht="15" hidden="false" customHeight="true" outlineLevel="0" collapsed="false">
      <c r="A350" s="0" t="n">
        <v>72</v>
      </c>
      <c r="B350" s="187" t="n">
        <v>46103.6318855788</v>
      </c>
      <c r="C350" s="187" t="n">
        <v>46103.6379156714</v>
      </c>
      <c r="D350" s="188" t="s">
        <v>719</v>
      </c>
      <c r="E350" s="188" t="s">
        <v>720</v>
      </c>
      <c r="F350" s="188" t="s">
        <v>720</v>
      </c>
      <c r="G350" s="188" t="s">
        <v>721</v>
      </c>
      <c r="H350" s="187" t="n">
        <v>46085</v>
      </c>
      <c r="I350" s="188" t="s">
        <v>325</v>
      </c>
      <c r="J350" s="188" t="s">
        <v>108</v>
      </c>
      <c r="K350" s="188" t="s">
        <v>257</v>
      </c>
      <c r="L350" s="188" t="s">
        <v>346</v>
      </c>
      <c r="M350" s="188" t="s">
        <v>357</v>
      </c>
      <c r="N350" s="188" t="s">
        <v>398</v>
      </c>
      <c r="O350" s="188" t="s">
        <v>157</v>
      </c>
      <c r="P350" s="188" t="s">
        <v>111</v>
      </c>
      <c r="Q350" s="188" t="s">
        <v>112</v>
      </c>
      <c r="R350" s="188" t="s">
        <v>22</v>
      </c>
      <c r="S350" s="188" t="s">
        <v>227</v>
      </c>
      <c r="T350" s="188" t="s">
        <v>180</v>
      </c>
      <c r="U350" s="188" t="s">
        <v>725</v>
      </c>
      <c r="V350" s="188" t="s">
        <v>123</v>
      </c>
      <c r="W350" s="188" t="s">
        <v>124</v>
      </c>
      <c r="X350" s="188" t="s">
        <v>271</v>
      </c>
      <c r="Y350" s="188" t="s">
        <v>1037</v>
      </c>
      <c r="Z350" s="0" t="n">
        <v>1</v>
      </c>
      <c r="AA350" s="188" t="s">
        <v>1088</v>
      </c>
    </row>
    <row r="351" customFormat="false" ht="15" hidden="false" customHeight="true" outlineLevel="0" collapsed="false">
      <c r="A351" s="0" t="n">
        <v>72</v>
      </c>
      <c r="B351" s="187" t="n">
        <v>46103.6318855788</v>
      </c>
      <c r="C351" s="187" t="n">
        <v>46103.6379156714</v>
      </c>
      <c r="D351" s="188" t="s">
        <v>719</v>
      </c>
      <c r="E351" s="188" t="s">
        <v>720</v>
      </c>
      <c r="F351" s="188" t="s">
        <v>720</v>
      </c>
      <c r="G351" s="188" t="s">
        <v>721</v>
      </c>
      <c r="H351" s="187" t="n">
        <v>46085</v>
      </c>
      <c r="I351" s="188" t="s">
        <v>325</v>
      </c>
      <c r="J351" s="188" t="s">
        <v>108</v>
      </c>
      <c r="K351" s="188" t="s">
        <v>257</v>
      </c>
      <c r="L351" s="188" t="s">
        <v>346</v>
      </c>
      <c r="M351" s="188" t="s">
        <v>357</v>
      </c>
      <c r="N351" s="188" t="s">
        <v>398</v>
      </c>
      <c r="O351" s="188" t="s">
        <v>157</v>
      </c>
      <c r="P351" s="188" t="s">
        <v>111</v>
      </c>
      <c r="Q351" s="188" t="s">
        <v>112</v>
      </c>
      <c r="R351" s="188" t="s">
        <v>22</v>
      </c>
      <c r="S351" s="188" t="s">
        <v>227</v>
      </c>
      <c r="T351" s="188" t="s">
        <v>180</v>
      </c>
      <c r="U351" s="188" t="s">
        <v>725</v>
      </c>
      <c r="V351" s="188" t="s">
        <v>123</v>
      </c>
      <c r="W351" s="188" t="s">
        <v>124</v>
      </c>
      <c r="X351" s="188" t="s">
        <v>271</v>
      </c>
      <c r="Y351" s="188" t="s">
        <v>1037</v>
      </c>
      <c r="Z351" s="0" t="n">
        <v>2</v>
      </c>
      <c r="AA351" s="188" t="s">
        <v>1110</v>
      </c>
    </row>
    <row r="352" customFormat="false" ht="15" hidden="false" customHeight="true" outlineLevel="0" collapsed="false">
      <c r="A352" s="0" t="n">
        <v>72</v>
      </c>
      <c r="B352" s="187" t="n">
        <v>46103.6318855788</v>
      </c>
      <c r="C352" s="187" t="n">
        <v>46103.6379156714</v>
      </c>
      <c r="D352" s="188" t="s">
        <v>719</v>
      </c>
      <c r="E352" s="188" t="s">
        <v>720</v>
      </c>
      <c r="F352" s="188" t="s">
        <v>720</v>
      </c>
      <c r="G352" s="188" t="s">
        <v>721</v>
      </c>
      <c r="H352" s="187" t="n">
        <v>46085</v>
      </c>
      <c r="I352" s="188" t="s">
        <v>325</v>
      </c>
      <c r="J352" s="188" t="s">
        <v>108</v>
      </c>
      <c r="K352" s="188" t="s">
        <v>257</v>
      </c>
      <c r="L352" s="188" t="s">
        <v>346</v>
      </c>
      <c r="M352" s="188" t="s">
        <v>357</v>
      </c>
      <c r="N352" s="188" t="s">
        <v>398</v>
      </c>
      <c r="O352" s="188" t="s">
        <v>157</v>
      </c>
      <c r="P352" s="188" t="s">
        <v>111</v>
      </c>
      <c r="Q352" s="188" t="s">
        <v>112</v>
      </c>
      <c r="R352" s="188" t="s">
        <v>22</v>
      </c>
      <c r="S352" s="188" t="s">
        <v>227</v>
      </c>
      <c r="T352" s="188" t="s">
        <v>180</v>
      </c>
      <c r="U352" s="188" t="s">
        <v>725</v>
      </c>
      <c r="V352" s="188" t="s">
        <v>123</v>
      </c>
      <c r="W352" s="188" t="s">
        <v>124</v>
      </c>
      <c r="X352" s="188" t="s">
        <v>271</v>
      </c>
      <c r="Y352" s="188" t="s">
        <v>1040</v>
      </c>
      <c r="Z352" s="0" t="n">
        <v>1</v>
      </c>
      <c r="AA352" s="188" t="s">
        <v>1089</v>
      </c>
    </row>
    <row r="353" customFormat="false" ht="15" hidden="false" customHeight="true" outlineLevel="0" collapsed="false">
      <c r="A353" s="0" t="n">
        <v>73</v>
      </c>
      <c r="B353" s="187" t="n">
        <v>46070.2364033067</v>
      </c>
      <c r="C353" s="187" t="n">
        <v>46070.2485908067</v>
      </c>
      <c r="D353" s="188" t="s">
        <v>726</v>
      </c>
      <c r="E353" s="188" t="s">
        <v>727</v>
      </c>
      <c r="F353" s="188" t="s">
        <v>728</v>
      </c>
      <c r="G353" s="188" t="s">
        <v>729</v>
      </c>
      <c r="H353" s="187" t="n">
        <v>46050</v>
      </c>
      <c r="I353" s="188" t="s">
        <v>113</v>
      </c>
      <c r="J353" s="188" t="s">
        <v>108</v>
      </c>
      <c r="K353" s="188" t="s">
        <v>196</v>
      </c>
      <c r="L353" s="188" t="s">
        <v>246</v>
      </c>
      <c r="M353" s="188" t="s">
        <v>144</v>
      </c>
      <c r="N353" s="188" t="s">
        <v>389</v>
      </c>
      <c r="O353" s="188" t="s">
        <v>244</v>
      </c>
      <c r="P353" s="188" t="s">
        <v>111</v>
      </c>
      <c r="Q353" s="188" t="s">
        <v>112</v>
      </c>
      <c r="R353" s="188" t="s">
        <v>22</v>
      </c>
      <c r="S353" s="188" t="s">
        <v>152</v>
      </c>
      <c r="T353" s="188" t="s">
        <v>121</v>
      </c>
      <c r="U353" s="188" t="s">
        <v>122</v>
      </c>
      <c r="V353" s="188" t="s">
        <v>123</v>
      </c>
      <c r="W353" s="188" t="s">
        <v>124</v>
      </c>
      <c r="X353" s="188" t="s">
        <v>715</v>
      </c>
      <c r="Y353" s="188" t="s">
        <v>1035</v>
      </c>
      <c r="Z353" s="0" t="n">
        <v>1</v>
      </c>
      <c r="AA353" s="188" t="s">
        <v>1196</v>
      </c>
    </row>
    <row r="354" customFormat="false" ht="15" hidden="false" customHeight="true" outlineLevel="0" collapsed="false">
      <c r="A354" s="0" t="n">
        <v>73</v>
      </c>
      <c r="B354" s="187" t="n">
        <v>46070.2364033067</v>
      </c>
      <c r="C354" s="187" t="n">
        <v>46070.2485908067</v>
      </c>
      <c r="D354" s="188" t="s">
        <v>726</v>
      </c>
      <c r="E354" s="188" t="s">
        <v>727</v>
      </c>
      <c r="F354" s="188" t="s">
        <v>728</v>
      </c>
      <c r="G354" s="188" t="s">
        <v>729</v>
      </c>
      <c r="H354" s="187" t="n">
        <v>46050</v>
      </c>
      <c r="I354" s="188" t="s">
        <v>113</v>
      </c>
      <c r="J354" s="188" t="s">
        <v>108</v>
      </c>
      <c r="K354" s="188" t="s">
        <v>196</v>
      </c>
      <c r="L354" s="188" t="s">
        <v>246</v>
      </c>
      <c r="M354" s="188" t="s">
        <v>144</v>
      </c>
      <c r="N354" s="188" t="s">
        <v>389</v>
      </c>
      <c r="O354" s="188" t="s">
        <v>244</v>
      </c>
      <c r="P354" s="188" t="s">
        <v>111</v>
      </c>
      <c r="Q354" s="188" t="s">
        <v>112</v>
      </c>
      <c r="R354" s="188" t="s">
        <v>22</v>
      </c>
      <c r="S354" s="188" t="s">
        <v>152</v>
      </c>
      <c r="T354" s="188" t="s">
        <v>121</v>
      </c>
      <c r="U354" s="188" t="s">
        <v>122</v>
      </c>
      <c r="V354" s="188" t="s">
        <v>123</v>
      </c>
      <c r="W354" s="188" t="s">
        <v>124</v>
      </c>
      <c r="X354" s="188" t="s">
        <v>715</v>
      </c>
      <c r="Y354" s="188" t="s">
        <v>1037</v>
      </c>
      <c r="Z354" s="0" t="n">
        <v>1</v>
      </c>
      <c r="AA354" s="188" t="s">
        <v>1203</v>
      </c>
    </row>
    <row r="355" customFormat="false" ht="15" hidden="false" customHeight="true" outlineLevel="0" collapsed="false">
      <c r="A355" s="0" t="n">
        <v>73</v>
      </c>
      <c r="B355" s="187" t="n">
        <v>46070.2364033067</v>
      </c>
      <c r="C355" s="187" t="n">
        <v>46070.2485908067</v>
      </c>
      <c r="D355" s="188" t="s">
        <v>726</v>
      </c>
      <c r="E355" s="188" t="s">
        <v>727</v>
      </c>
      <c r="F355" s="188" t="s">
        <v>728</v>
      </c>
      <c r="G355" s="188" t="s">
        <v>729</v>
      </c>
      <c r="H355" s="187" t="n">
        <v>46050</v>
      </c>
      <c r="I355" s="188" t="s">
        <v>113</v>
      </c>
      <c r="J355" s="188" t="s">
        <v>108</v>
      </c>
      <c r="K355" s="188" t="s">
        <v>196</v>
      </c>
      <c r="L355" s="188" t="s">
        <v>246</v>
      </c>
      <c r="M355" s="188" t="s">
        <v>144</v>
      </c>
      <c r="N355" s="188" t="s">
        <v>389</v>
      </c>
      <c r="O355" s="188" t="s">
        <v>244</v>
      </c>
      <c r="P355" s="188" t="s">
        <v>111</v>
      </c>
      <c r="Q355" s="188" t="s">
        <v>112</v>
      </c>
      <c r="R355" s="188" t="s">
        <v>22</v>
      </c>
      <c r="S355" s="188" t="s">
        <v>152</v>
      </c>
      <c r="T355" s="188" t="s">
        <v>121</v>
      </c>
      <c r="U355" s="188" t="s">
        <v>122</v>
      </c>
      <c r="V355" s="188" t="s">
        <v>123</v>
      </c>
      <c r="W355" s="188" t="s">
        <v>124</v>
      </c>
      <c r="X355" s="188" t="s">
        <v>715</v>
      </c>
      <c r="Y355" s="188" t="s">
        <v>1037</v>
      </c>
      <c r="Z355" s="0" t="n">
        <v>2</v>
      </c>
      <c r="AA355" s="188" t="s">
        <v>1198</v>
      </c>
    </row>
    <row r="356" customFormat="false" ht="15" hidden="false" customHeight="true" outlineLevel="0" collapsed="false">
      <c r="A356" s="0" t="n">
        <v>73</v>
      </c>
      <c r="B356" s="187" t="n">
        <v>46070.2364033067</v>
      </c>
      <c r="C356" s="187" t="n">
        <v>46070.2485908067</v>
      </c>
      <c r="D356" s="188" t="s">
        <v>726</v>
      </c>
      <c r="E356" s="188" t="s">
        <v>727</v>
      </c>
      <c r="F356" s="188" t="s">
        <v>728</v>
      </c>
      <c r="G356" s="188" t="s">
        <v>729</v>
      </c>
      <c r="H356" s="187" t="n">
        <v>46050</v>
      </c>
      <c r="I356" s="188" t="s">
        <v>113</v>
      </c>
      <c r="J356" s="188" t="s">
        <v>108</v>
      </c>
      <c r="K356" s="188" t="s">
        <v>196</v>
      </c>
      <c r="L356" s="188" t="s">
        <v>246</v>
      </c>
      <c r="M356" s="188" t="s">
        <v>144</v>
      </c>
      <c r="N356" s="188" t="s">
        <v>389</v>
      </c>
      <c r="O356" s="188" t="s">
        <v>244</v>
      </c>
      <c r="P356" s="188" t="s">
        <v>111</v>
      </c>
      <c r="Q356" s="188" t="s">
        <v>112</v>
      </c>
      <c r="R356" s="188" t="s">
        <v>22</v>
      </c>
      <c r="S356" s="188" t="s">
        <v>152</v>
      </c>
      <c r="T356" s="188" t="s">
        <v>121</v>
      </c>
      <c r="U356" s="188" t="s">
        <v>122</v>
      </c>
      <c r="V356" s="188" t="s">
        <v>123</v>
      </c>
      <c r="W356" s="188" t="s">
        <v>124</v>
      </c>
      <c r="X356" s="188" t="s">
        <v>715</v>
      </c>
      <c r="Y356" s="188" t="s">
        <v>1040</v>
      </c>
      <c r="Z356" s="0" t="n">
        <v>1</v>
      </c>
      <c r="AA356" s="188" t="s">
        <v>1204</v>
      </c>
    </row>
    <row r="357" customFormat="false" ht="15" hidden="false" customHeight="true" outlineLevel="0" collapsed="false">
      <c r="A357" s="0" t="n">
        <v>74</v>
      </c>
      <c r="B357" s="187" t="n">
        <v>46154.2796268857</v>
      </c>
      <c r="C357" s="187" t="n">
        <v>46154.2975319782</v>
      </c>
      <c r="D357" s="188" t="s">
        <v>733</v>
      </c>
      <c r="E357" s="188" t="s">
        <v>734</v>
      </c>
      <c r="F357" s="188" t="s">
        <v>734</v>
      </c>
      <c r="G357" s="188" t="s">
        <v>735</v>
      </c>
      <c r="H357" s="187" t="n">
        <v>46152</v>
      </c>
      <c r="I357" s="188" t="s">
        <v>113</v>
      </c>
      <c r="J357" s="188" t="s">
        <v>128</v>
      </c>
      <c r="K357" s="188" t="s">
        <v>462</v>
      </c>
      <c r="L357" s="188" t="s">
        <v>210</v>
      </c>
      <c r="M357" s="188" t="s">
        <v>736</v>
      </c>
      <c r="N357" s="188" t="s">
        <v>306</v>
      </c>
      <c r="O357" s="188" t="s">
        <v>244</v>
      </c>
      <c r="P357" s="188" t="s">
        <v>111</v>
      </c>
      <c r="Q357" s="188" t="s">
        <v>112</v>
      </c>
      <c r="R357" s="188" t="s">
        <v>22</v>
      </c>
      <c r="S357" s="188" t="s">
        <v>152</v>
      </c>
      <c r="T357" s="188" t="s">
        <v>264</v>
      </c>
      <c r="U357" s="188" t="s">
        <v>562</v>
      </c>
      <c r="V357" s="188" t="s">
        <v>123</v>
      </c>
      <c r="W357" s="188" t="s">
        <v>139</v>
      </c>
      <c r="X357" s="188" t="s">
        <v>381</v>
      </c>
      <c r="Y357" s="188" t="s">
        <v>1035</v>
      </c>
      <c r="Z357" s="0" t="n">
        <v>1</v>
      </c>
      <c r="AA357" s="188" t="s">
        <v>1152</v>
      </c>
    </row>
    <row r="358" customFormat="false" ht="15" hidden="false" customHeight="true" outlineLevel="0" collapsed="false">
      <c r="A358" s="0" t="n">
        <v>74</v>
      </c>
      <c r="B358" s="187" t="n">
        <v>46154.2796268857</v>
      </c>
      <c r="C358" s="187" t="n">
        <v>46154.2975319782</v>
      </c>
      <c r="D358" s="188" t="s">
        <v>733</v>
      </c>
      <c r="E358" s="188" t="s">
        <v>734</v>
      </c>
      <c r="F358" s="188" t="s">
        <v>734</v>
      </c>
      <c r="G358" s="188" t="s">
        <v>735</v>
      </c>
      <c r="H358" s="187" t="n">
        <v>46152</v>
      </c>
      <c r="I358" s="188" t="s">
        <v>113</v>
      </c>
      <c r="J358" s="188" t="s">
        <v>128</v>
      </c>
      <c r="K358" s="188" t="s">
        <v>462</v>
      </c>
      <c r="L358" s="188" t="s">
        <v>210</v>
      </c>
      <c r="M358" s="188" t="s">
        <v>736</v>
      </c>
      <c r="N358" s="188" t="s">
        <v>306</v>
      </c>
      <c r="O358" s="188" t="s">
        <v>244</v>
      </c>
      <c r="P358" s="188" t="s">
        <v>111</v>
      </c>
      <c r="Q358" s="188" t="s">
        <v>112</v>
      </c>
      <c r="R358" s="188" t="s">
        <v>22</v>
      </c>
      <c r="S358" s="188" t="s">
        <v>152</v>
      </c>
      <c r="T358" s="188" t="s">
        <v>264</v>
      </c>
      <c r="U358" s="188" t="s">
        <v>562</v>
      </c>
      <c r="V358" s="188" t="s">
        <v>123</v>
      </c>
      <c r="W358" s="188" t="s">
        <v>139</v>
      </c>
      <c r="X358" s="188" t="s">
        <v>381</v>
      </c>
      <c r="Y358" s="188" t="s">
        <v>1035</v>
      </c>
      <c r="Z358" s="0" t="n">
        <v>2</v>
      </c>
      <c r="AA358" s="188" t="s">
        <v>1205</v>
      </c>
    </row>
    <row r="359" customFormat="false" ht="15" hidden="false" customHeight="true" outlineLevel="0" collapsed="false">
      <c r="A359" s="0" t="n">
        <v>74</v>
      </c>
      <c r="B359" s="187" t="n">
        <v>46154.2796268857</v>
      </c>
      <c r="C359" s="187" t="n">
        <v>46154.2975319782</v>
      </c>
      <c r="D359" s="188" t="s">
        <v>733</v>
      </c>
      <c r="E359" s="188" t="s">
        <v>734</v>
      </c>
      <c r="F359" s="188" t="s">
        <v>734</v>
      </c>
      <c r="G359" s="188" t="s">
        <v>735</v>
      </c>
      <c r="H359" s="187" t="n">
        <v>46152</v>
      </c>
      <c r="I359" s="188" t="s">
        <v>113</v>
      </c>
      <c r="J359" s="188" t="s">
        <v>128</v>
      </c>
      <c r="K359" s="188" t="s">
        <v>462</v>
      </c>
      <c r="L359" s="188" t="s">
        <v>210</v>
      </c>
      <c r="M359" s="188" t="s">
        <v>736</v>
      </c>
      <c r="N359" s="188" t="s">
        <v>306</v>
      </c>
      <c r="O359" s="188" t="s">
        <v>244</v>
      </c>
      <c r="P359" s="188" t="s">
        <v>111</v>
      </c>
      <c r="Q359" s="188" t="s">
        <v>112</v>
      </c>
      <c r="R359" s="188" t="s">
        <v>22</v>
      </c>
      <c r="S359" s="188" t="s">
        <v>152</v>
      </c>
      <c r="T359" s="188" t="s">
        <v>264</v>
      </c>
      <c r="U359" s="188" t="s">
        <v>562</v>
      </c>
      <c r="V359" s="188" t="s">
        <v>123</v>
      </c>
      <c r="W359" s="188" t="s">
        <v>139</v>
      </c>
      <c r="X359" s="188" t="s">
        <v>381</v>
      </c>
      <c r="Y359" s="188" t="s">
        <v>1037</v>
      </c>
      <c r="Z359" s="0" t="n">
        <v>1</v>
      </c>
      <c r="AA359" s="188" t="s">
        <v>1132</v>
      </c>
    </row>
    <row r="360" customFormat="false" ht="15" hidden="false" customHeight="true" outlineLevel="0" collapsed="false">
      <c r="A360" s="0" t="n">
        <v>74</v>
      </c>
      <c r="B360" s="187" t="n">
        <v>46154.2796268857</v>
      </c>
      <c r="C360" s="187" t="n">
        <v>46154.2975319782</v>
      </c>
      <c r="D360" s="188" t="s">
        <v>733</v>
      </c>
      <c r="E360" s="188" t="s">
        <v>734</v>
      </c>
      <c r="F360" s="188" t="s">
        <v>734</v>
      </c>
      <c r="G360" s="188" t="s">
        <v>735</v>
      </c>
      <c r="H360" s="187" t="n">
        <v>46152</v>
      </c>
      <c r="I360" s="188" t="s">
        <v>113</v>
      </c>
      <c r="J360" s="188" t="s">
        <v>128</v>
      </c>
      <c r="K360" s="188" t="s">
        <v>462</v>
      </c>
      <c r="L360" s="188" t="s">
        <v>210</v>
      </c>
      <c r="M360" s="188" t="s">
        <v>736</v>
      </c>
      <c r="N360" s="188" t="s">
        <v>306</v>
      </c>
      <c r="O360" s="188" t="s">
        <v>244</v>
      </c>
      <c r="P360" s="188" t="s">
        <v>111</v>
      </c>
      <c r="Q360" s="188" t="s">
        <v>112</v>
      </c>
      <c r="R360" s="188" t="s">
        <v>22</v>
      </c>
      <c r="S360" s="188" t="s">
        <v>152</v>
      </c>
      <c r="T360" s="188" t="s">
        <v>264</v>
      </c>
      <c r="U360" s="188" t="s">
        <v>562</v>
      </c>
      <c r="V360" s="188" t="s">
        <v>123</v>
      </c>
      <c r="W360" s="188" t="s">
        <v>139</v>
      </c>
      <c r="X360" s="188" t="s">
        <v>381</v>
      </c>
      <c r="Y360" s="188" t="s">
        <v>1040</v>
      </c>
      <c r="Z360" s="0" t="n">
        <v>1</v>
      </c>
      <c r="AA360" s="188" t="s">
        <v>1206</v>
      </c>
    </row>
    <row r="361" customFormat="false" ht="15" hidden="false" customHeight="true" outlineLevel="0" collapsed="false">
      <c r="A361" s="0" t="n">
        <v>75</v>
      </c>
      <c r="B361" s="187" t="n">
        <v>46191.5720693497</v>
      </c>
      <c r="C361" s="187" t="n">
        <v>46191.5890485164</v>
      </c>
      <c r="D361" s="188" t="s">
        <v>739</v>
      </c>
      <c r="E361" s="188" t="s">
        <v>740</v>
      </c>
      <c r="F361" s="188" t="s">
        <v>740</v>
      </c>
      <c r="G361" s="188" t="s">
        <v>741</v>
      </c>
      <c r="H361" s="187" t="n">
        <v>46181</v>
      </c>
      <c r="I361" s="188" t="s">
        <v>113</v>
      </c>
      <c r="J361" s="188" t="s">
        <v>108</v>
      </c>
      <c r="K361" s="188" t="s">
        <v>742</v>
      </c>
      <c r="L361" s="188" t="s">
        <v>210</v>
      </c>
      <c r="M361" s="188" t="s">
        <v>133</v>
      </c>
      <c r="N361" s="188" t="s">
        <v>743</v>
      </c>
      <c r="O361" s="188" t="s">
        <v>107</v>
      </c>
      <c r="P361" s="188" t="s">
        <v>211</v>
      </c>
      <c r="Q361" s="188" t="s">
        <v>112</v>
      </c>
      <c r="R361" s="188" t="s">
        <v>22</v>
      </c>
      <c r="S361" s="188" t="s">
        <v>152</v>
      </c>
      <c r="T361" s="188" t="s">
        <v>496</v>
      </c>
      <c r="U361" s="188" t="s">
        <v>122</v>
      </c>
      <c r="V361" s="188" t="s">
        <v>167</v>
      </c>
      <c r="W361" s="188" t="s">
        <v>124</v>
      </c>
      <c r="X361" s="188" t="s">
        <v>116</v>
      </c>
      <c r="Y361" s="188" t="s">
        <v>1035</v>
      </c>
      <c r="Z361" s="0" t="n">
        <v>1</v>
      </c>
      <c r="AA361" s="188" t="s">
        <v>1066</v>
      </c>
    </row>
    <row r="362" customFormat="false" ht="15" hidden="false" customHeight="true" outlineLevel="0" collapsed="false">
      <c r="A362" s="0" t="n">
        <v>75</v>
      </c>
      <c r="B362" s="187" t="n">
        <v>46191.5720693497</v>
      </c>
      <c r="C362" s="187" t="n">
        <v>46191.5890485164</v>
      </c>
      <c r="D362" s="188" t="s">
        <v>739</v>
      </c>
      <c r="E362" s="188" t="s">
        <v>740</v>
      </c>
      <c r="F362" s="188" t="s">
        <v>740</v>
      </c>
      <c r="G362" s="188" t="s">
        <v>741</v>
      </c>
      <c r="H362" s="187" t="n">
        <v>46181</v>
      </c>
      <c r="I362" s="188" t="s">
        <v>113</v>
      </c>
      <c r="J362" s="188" t="s">
        <v>108</v>
      </c>
      <c r="K362" s="188" t="s">
        <v>742</v>
      </c>
      <c r="L362" s="188" t="s">
        <v>210</v>
      </c>
      <c r="M362" s="188" t="s">
        <v>133</v>
      </c>
      <c r="N362" s="188" t="s">
        <v>743</v>
      </c>
      <c r="O362" s="188" t="s">
        <v>107</v>
      </c>
      <c r="P362" s="188" t="s">
        <v>211</v>
      </c>
      <c r="Q362" s="188" t="s">
        <v>112</v>
      </c>
      <c r="R362" s="188" t="s">
        <v>22</v>
      </c>
      <c r="S362" s="188" t="s">
        <v>152</v>
      </c>
      <c r="T362" s="188" t="s">
        <v>496</v>
      </c>
      <c r="U362" s="188" t="s">
        <v>122</v>
      </c>
      <c r="V362" s="188" t="s">
        <v>167</v>
      </c>
      <c r="W362" s="188" t="s">
        <v>124</v>
      </c>
      <c r="X362" s="188" t="s">
        <v>116</v>
      </c>
      <c r="Y362" s="188" t="s">
        <v>1035</v>
      </c>
      <c r="Z362" s="0" t="n">
        <v>2</v>
      </c>
      <c r="AA362" s="188" t="s">
        <v>1078</v>
      </c>
    </row>
    <row r="363" customFormat="false" ht="15" hidden="false" customHeight="true" outlineLevel="0" collapsed="false">
      <c r="A363" s="0" t="n">
        <v>75</v>
      </c>
      <c r="B363" s="187" t="n">
        <v>46191.5720693497</v>
      </c>
      <c r="C363" s="187" t="n">
        <v>46191.5890485164</v>
      </c>
      <c r="D363" s="188" t="s">
        <v>739</v>
      </c>
      <c r="E363" s="188" t="s">
        <v>740</v>
      </c>
      <c r="F363" s="188" t="s">
        <v>740</v>
      </c>
      <c r="G363" s="188" t="s">
        <v>741</v>
      </c>
      <c r="H363" s="187" t="n">
        <v>46181</v>
      </c>
      <c r="I363" s="188" t="s">
        <v>113</v>
      </c>
      <c r="J363" s="188" t="s">
        <v>108</v>
      </c>
      <c r="K363" s="188" t="s">
        <v>742</v>
      </c>
      <c r="L363" s="188" t="s">
        <v>210</v>
      </c>
      <c r="M363" s="188" t="s">
        <v>133</v>
      </c>
      <c r="N363" s="188" t="s">
        <v>743</v>
      </c>
      <c r="O363" s="188" t="s">
        <v>107</v>
      </c>
      <c r="P363" s="188" t="s">
        <v>211</v>
      </c>
      <c r="Q363" s="188" t="s">
        <v>112</v>
      </c>
      <c r="R363" s="188" t="s">
        <v>22</v>
      </c>
      <c r="S363" s="188" t="s">
        <v>152</v>
      </c>
      <c r="T363" s="188" t="s">
        <v>496</v>
      </c>
      <c r="U363" s="188" t="s">
        <v>122</v>
      </c>
      <c r="V363" s="188" t="s">
        <v>167</v>
      </c>
      <c r="W363" s="188" t="s">
        <v>124</v>
      </c>
      <c r="X363" s="188" t="s">
        <v>116</v>
      </c>
      <c r="Y363" s="188" t="s">
        <v>1037</v>
      </c>
      <c r="Z363" s="0" t="n">
        <v>1</v>
      </c>
      <c r="AA363" s="188" t="s">
        <v>1183</v>
      </c>
    </row>
    <row r="364" customFormat="false" ht="15" hidden="false" customHeight="true" outlineLevel="0" collapsed="false">
      <c r="A364" s="0" t="n">
        <v>75</v>
      </c>
      <c r="B364" s="187" t="n">
        <v>46191.5720693497</v>
      </c>
      <c r="C364" s="187" t="n">
        <v>46191.5890485164</v>
      </c>
      <c r="D364" s="188" t="s">
        <v>739</v>
      </c>
      <c r="E364" s="188" t="s">
        <v>740</v>
      </c>
      <c r="F364" s="188" t="s">
        <v>740</v>
      </c>
      <c r="G364" s="188" t="s">
        <v>741</v>
      </c>
      <c r="H364" s="187" t="n">
        <v>46181</v>
      </c>
      <c r="I364" s="188" t="s">
        <v>113</v>
      </c>
      <c r="J364" s="188" t="s">
        <v>108</v>
      </c>
      <c r="K364" s="188" t="s">
        <v>742</v>
      </c>
      <c r="L364" s="188" t="s">
        <v>210</v>
      </c>
      <c r="M364" s="188" t="s">
        <v>133</v>
      </c>
      <c r="N364" s="188" t="s">
        <v>743</v>
      </c>
      <c r="O364" s="188" t="s">
        <v>107</v>
      </c>
      <c r="P364" s="188" t="s">
        <v>211</v>
      </c>
      <c r="Q364" s="188" t="s">
        <v>112</v>
      </c>
      <c r="R364" s="188" t="s">
        <v>22</v>
      </c>
      <c r="S364" s="188" t="s">
        <v>152</v>
      </c>
      <c r="T364" s="188" t="s">
        <v>496</v>
      </c>
      <c r="U364" s="188" t="s">
        <v>122</v>
      </c>
      <c r="V364" s="188" t="s">
        <v>167</v>
      </c>
      <c r="W364" s="188" t="s">
        <v>124</v>
      </c>
      <c r="X364" s="188" t="s">
        <v>116</v>
      </c>
      <c r="Y364" s="188" t="s">
        <v>1040</v>
      </c>
      <c r="Z364" s="0" t="n">
        <v>1</v>
      </c>
      <c r="AA364" s="188" t="s">
        <v>122</v>
      </c>
    </row>
    <row r="365" customFormat="false" ht="15" hidden="false" customHeight="true" outlineLevel="0" collapsed="false">
      <c r="A365" s="0" t="n">
        <v>75</v>
      </c>
      <c r="B365" s="187" t="n">
        <v>46191.5720693497</v>
      </c>
      <c r="C365" s="187" t="n">
        <v>46191.5890485164</v>
      </c>
      <c r="D365" s="188" t="s">
        <v>739</v>
      </c>
      <c r="E365" s="188" t="s">
        <v>740</v>
      </c>
      <c r="F365" s="188" t="s">
        <v>740</v>
      </c>
      <c r="G365" s="188" t="s">
        <v>741</v>
      </c>
      <c r="H365" s="187" t="n">
        <v>46181</v>
      </c>
      <c r="I365" s="188" t="s">
        <v>113</v>
      </c>
      <c r="J365" s="188" t="s">
        <v>108</v>
      </c>
      <c r="K365" s="188" t="s">
        <v>742</v>
      </c>
      <c r="L365" s="188" t="s">
        <v>210</v>
      </c>
      <c r="M365" s="188" t="s">
        <v>133</v>
      </c>
      <c r="N365" s="188" t="s">
        <v>743</v>
      </c>
      <c r="O365" s="188" t="s">
        <v>107</v>
      </c>
      <c r="P365" s="188" t="s">
        <v>211</v>
      </c>
      <c r="Q365" s="188" t="s">
        <v>112</v>
      </c>
      <c r="R365" s="188" t="s">
        <v>22</v>
      </c>
      <c r="S365" s="188" t="s">
        <v>152</v>
      </c>
      <c r="T365" s="188" t="s">
        <v>496</v>
      </c>
      <c r="U365" s="188" t="s">
        <v>122</v>
      </c>
      <c r="V365" s="188" t="s">
        <v>167</v>
      </c>
      <c r="W365" s="188" t="s">
        <v>124</v>
      </c>
      <c r="X365" s="188" t="s">
        <v>116</v>
      </c>
      <c r="Y365" s="188" t="s">
        <v>1040</v>
      </c>
      <c r="Z365" s="0" t="n">
        <v>2</v>
      </c>
      <c r="AA365" s="188" t="s">
        <v>1112</v>
      </c>
    </row>
    <row r="366" customFormat="false" ht="15" hidden="false" customHeight="true" outlineLevel="0" collapsed="false">
      <c r="A366" s="0" t="n">
        <v>76</v>
      </c>
      <c r="B366" s="187" t="n">
        <v>46094.2518443169</v>
      </c>
      <c r="C366" s="187" t="n">
        <v>46094.2639045021</v>
      </c>
      <c r="D366" s="188" t="s">
        <v>747</v>
      </c>
      <c r="E366" s="188" t="s">
        <v>748</v>
      </c>
      <c r="F366" s="188" t="s">
        <v>748</v>
      </c>
      <c r="G366" s="188" t="s">
        <v>749</v>
      </c>
      <c r="H366" s="187" t="n">
        <v>46077</v>
      </c>
      <c r="I366" s="188" t="s">
        <v>113</v>
      </c>
      <c r="J366" s="188" t="s">
        <v>108</v>
      </c>
      <c r="K366" s="188" t="s">
        <v>245</v>
      </c>
      <c r="L366" s="188" t="s">
        <v>110</v>
      </c>
      <c r="M366" s="188" t="s">
        <v>365</v>
      </c>
      <c r="N366" s="188" t="s">
        <v>560</v>
      </c>
      <c r="O366" s="188" t="s">
        <v>750</v>
      </c>
      <c r="P366" s="188" t="s">
        <v>111</v>
      </c>
      <c r="Q366" s="188" t="s">
        <v>112</v>
      </c>
      <c r="R366" s="188" t="s">
        <v>22</v>
      </c>
      <c r="S366" s="188" t="s">
        <v>227</v>
      </c>
      <c r="T366" s="188" t="s">
        <v>121</v>
      </c>
      <c r="U366" s="188" t="s">
        <v>291</v>
      </c>
      <c r="V366" s="188" t="s">
        <v>123</v>
      </c>
      <c r="W366" s="188" t="s">
        <v>124</v>
      </c>
      <c r="X366" s="188" t="s">
        <v>339</v>
      </c>
      <c r="Y366" s="188" t="s">
        <v>1035</v>
      </c>
      <c r="Z366" s="0" t="n">
        <v>1</v>
      </c>
      <c r="AA366" s="188" t="s">
        <v>1113</v>
      </c>
    </row>
    <row r="367" customFormat="false" ht="15" hidden="false" customHeight="true" outlineLevel="0" collapsed="false">
      <c r="A367" s="0" t="n">
        <v>76</v>
      </c>
      <c r="B367" s="187" t="n">
        <v>46094.2518443169</v>
      </c>
      <c r="C367" s="187" t="n">
        <v>46094.2639045021</v>
      </c>
      <c r="D367" s="188" t="s">
        <v>747</v>
      </c>
      <c r="E367" s="188" t="s">
        <v>748</v>
      </c>
      <c r="F367" s="188" t="s">
        <v>748</v>
      </c>
      <c r="G367" s="188" t="s">
        <v>749</v>
      </c>
      <c r="H367" s="187" t="n">
        <v>46077</v>
      </c>
      <c r="I367" s="188" t="s">
        <v>113</v>
      </c>
      <c r="J367" s="188" t="s">
        <v>108</v>
      </c>
      <c r="K367" s="188" t="s">
        <v>245</v>
      </c>
      <c r="L367" s="188" t="s">
        <v>110</v>
      </c>
      <c r="M367" s="188" t="s">
        <v>365</v>
      </c>
      <c r="N367" s="188" t="s">
        <v>560</v>
      </c>
      <c r="O367" s="188" t="s">
        <v>750</v>
      </c>
      <c r="P367" s="188" t="s">
        <v>111</v>
      </c>
      <c r="Q367" s="188" t="s">
        <v>112</v>
      </c>
      <c r="R367" s="188" t="s">
        <v>22</v>
      </c>
      <c r="S367" s="188" t="s">
        <v>227</v>
      </c>
      <c r="T367" s="188" t="s">
        <v>121</v>
      </c>
      <c r="U367" s="188" t="s">
        <v>291</v>
      </c>
      <c r="V367" s="188" t="s">
        <v>123</v>
      </c>
      <c r="W367" s="188" t="s">
        <v>124</v>
      </c>
      <c r="X367" s="188" t="s">
        <v>339</v>
      </c>
      <c r="Y367" s="188" t="s">
        <v>1035</v>
      </c>
      <c r="Z367" s="0" t="n">
        <v>2</v>
      </c>
      <c r="AA367" s="188" t="s">
        <v>1171</v>
      </c>
    </row>
    <row r="368" customFormat="false" ht="15" hidden="false" customHeight="true" outlineLevel="0" collapsed="false">
      <c r="A368" s="0" t="n">
        <v>76</v>
      </c>
      <c r="B368" s="187" t="n">
        <v>46094.2518443169</v>
      </c>
      <c r="C368" s="187" t="n">
        <v>46094.2639045021</v>
      </c>
      <c r="D368" s="188" t="s">
        <v>747</v>
      </c>
      <c r="E368" s="188" t="s">
        <v>748</v>
      </c>
      <c r="F368" s="188" t="s">
        <v>748</v>
      </c>
      <c r="G368" s="188" t="s">
        <v>749</v>
      </c>
      <c r="H368" s="187" t="n">
        <v>46077</v>
      </c>
      <c r="I368" s="188" t="s">
        <v>113</v>
      </c>
      <c r="J368" s="188" t="s">
        <v>108</v>
      </c>
      <c r="K368" s="188" t="s">
        <v>245</v>
      </c>
      <c r="L368" s="188" t="s">
        <v>110</v>
      </c>
      <c r="M368" s="188" t="s">
        <v>365</v>
      </c>
      <c r="N368" s="188" t="s">
        <v>560</v>
      </c>
      <c r="O368" s="188" t="s">
        <v>750</v>
      </c>
      <c r="P368" s="188" t="s">
        <v>111</v>
      </c>
      <c r="Q368" s="188" t="s">
        <v>112</v>
      </c>
      <c r="R368" s="188" t="s">
        <v>22</v>
      </c>
      <c r="S368" s="188" t="s">
        <v>227</v>
      </c>
      <c r="T368" s="188" t="s">
        <v>121</v>
      </c>
      <c r="U368" s="188" t="s">
        <v>291</v>
      </c>
      <c r="V368" s="188" t="s">
        <v>123</v>
      </c>
      <c r="W368" s="188" t="s">
        <v>124</v>
      </c>
      <c r="X368" s="188" t="s">
        <v>339</v>
      </c>
      <c r="Y368" s="188" t="s">
        <v>1035</v>
      </c>
      <c r="Z368" s="0" t="n">
        <v>3</v>
      </c>
      <c r="AA368" s="188" t="s">
        <v>1170</v>
      </c>
    </row>
    <row r="369" customFormat="false" ht="15" hidden="false" customHeight="true" outlineLevel="0" collapsed="false">
      <c r="A369" s="0" t="n">
        <v>76</v>
      </c>
      <c r="B369" s="187" t="n">
        <v>46094.2518443169</v>
      </c>
      <c r="C369" s="187" t="n">
        <v>46094.2639045021</v>
      </c>
      <c r="D369" s="188" t="s">
        <v>747</v>
      </c>
      <c r="E369" s="188" t="s">
        <v>748</v>
      </c>
      <c r="F369" s="188" t="s">
        <v>748</v>
      </c>
      <c r="G369" s="188" t="s">
        <v>749</v>
      </c>
      <c r="H369" s="187" t="n">
        <v>46077</v>
      </c>
      <c r="I369" s="188" t="s">
        <v>113</v>
      </c>
      <c r="J369" s="188" t="s">
        <v>108</v>
      </c>
      <c r="K369" s="188" t="s">
        <v>245</v>
      </c>
      <c r="L369" s="188" t="s">
        <v>110</v>
      </c>
      <c r="M369" s="188" t="s">
        <v>365</v>
      </c>
      <c r="N369" s="188" t="s">
        <v>560</v>
      </c>
      <c r="O369" s="188" t="s">
        <v>750</v>
      </c>
      <c r="P369" s="188" t="s">
        <v>111</v>
      </c>
      <c r="Q369" s="188" t="s">
        <v>112</v>
      </c>
      <c r="R369" s="188" t="s">
        <v>22</v>
      </c>
      <c r="S369" s="188" t="s">
        <v>227</v>
      </c>
      <c r="T369" s="188" t="s">
        <v>121</v>
      </c>
      <c r="U369" s="188" t="s">
        <v>291</v>
      </c>
      <c r="V369" s="188" t="s">
        <v>123</v>
      </c>
      <c r="W369" s="188" t="s">
        <v>124</v>
      </c>
      <c r="X369" s="188" t="s">
        <v>339</v>
      </c>
      <c r="Y369" s="188" t="s">
        <v>1037</v>
      </c>
      <c r="Z369" s="0" t="n">
        <v>1</v>
      </c>
      <c r="AA369" s="188" t="s">
        <v>122</v>
      </c>
    </row>
    <row r="370" customFormat="false" ht="15" hidden="false" customHeight="true" outlineLevel="0" collapsed="false">
      <c r="A370" s="0" t="n">
        <v>76</v>
      </c>
      <c r="B370" s="187" t="n">
        <v>46094.2518443169</v>
      </c>
      <c r="C370" s="187" t="n">
        <v>46094.2639045021</v>
      </c>
      <c r="D370" s="188" t="s">
        <v>747</v>
      </c>
      <c r="E370" s="188" t="s">
        <v>748</v>
      </c>
      <c r="F370" s="188" t="s">
        <v>748</v>
      </c>
      <c r="G370" s="188" t="s">
        <v>749</v>
      </c>
      <c r="H370" s="187" t="n">
        <v>46077</v>
      </c>
      <c r="I370" s="188" t="s">
        <v>113</v>
      </c>
      <c r="J370" s="188" t="s">
        <v>108</v>
      </c>
      <c r="K370" s="188" t="s">
        <v>245</v>
      </c>
      <c r="L370" s="188" t="s">
        <v>110</v>
      </c>
      <c r="M370" s="188" t="s">
        <v>365</v>
      </c>
      <c r="N370" s="188" t="s">
        <v>560</v>
      </c>
      <c r="O370" s="188" t="s">
        <v>750</v>
      </c>
      <c r="P370" s="188" t="s">
        <v>111</v>
      </c>
      <c r="Q370" s="188" t="s">
        <v>112</v>
      </c>
      <c r="R370" s="188" t="s">
        <v>22</v>
      </c>
      <c r="S370" s="188" t="s">
        <v>227</v>
      </c>
      <c r="T370" s="188" t="s">
        <v>121</v>
      </c>
      <c r="U370" s="188" t="s">
        <v>291</v>
      </c>
      <c r="V370" s="188" t="s">
        <v>123</v>
      </c>
      <c r="W370" s="188" t="s">
        <v>124</v>
      </c>
      <c r="X370" s="188" t="s">
        <v>339</v>
      </c>
      <c r="Y370" s="188" t="s">
        <v>1037</v>
      </c>
      <c r="Z370" s="0" t="n">
        <v>2</v>
      </c>
      <c r="AA370" s="188" t="s">
        <v>1207</v>
      </c>
    </row>
    <row r="371" customFormat="false" ht="15" hidden="false" customHeight="true" outlineLevel="0" collapsed="false">
      <c r="A371" s="0" t="n">
        <v>76</v>
      </c>
      <c r="B371" s="187" t="n">
        <v>46094.2518443169</v>
      </c>
      <c r="C371" s="187" t="n">
        <v>46094.2639045021</v>
      </c>
      <c r="D371" s="188" t="s">
        <v>747</v>
      </c>
      <c r="E371" s="188" t="s">
        <v>748</v>
      </c>
      <c r="F371" s="188" t="s">
        <v>748</v>
      </c>
      <c r="G371" s="188" t="s">
        <v>749</v>
      </c>
      <c r="H371" s="187" t="n">
        <v>46077</v>
      </c>
      <c r="I371" s="188" t="s">
        <v>113</v>
      </c>
      <c r="J371" s="188" t="s">
        <v>108</v>
      </c>
      <c r="K371" s="188" t="s">
        <v>245</v>
      </c>
      <c r="L371" s="188" t="s">
        <v>110</v>
      </c>
      <c r="M371" s="188" t="s">
        <v>365</v>
      </c>
      <c r="N371" s="188" t="s">
        <v>560</v>
      </c>
      <c r="O371" s="188" t="s">
        <v>750</v>
      </c>
      <c r="P371" s="188" t="s">
        <v>111</v>
      </c>
      <c r="Q371" s="188" t="s">
        <v>112</v>
      </c>
      <c r="R371" s="188" t="s">
        <v>22</v>
      </c>
      <c r="S371" s="188" t="s">
        <v>227</v>
      </c>
      <c r="T371" s="188" t="s">
        <v>121</v>
      </c>
      <c r="U371" s="188" t="s">
        <v>291</v>
      </c>
      <c r="V371" s="188" t="s">
        <v>123</v>
      </c>
      <c r="W371" s="188" t="s">
        <v>124</v>
      </c>
      <c r="X371" s="188" t="s">
        <v>339</v>
      </c>
      <c r="Y371" s="188" t="s">
        <v>1040</v>
      </c>
      <c r="Z371" s="0" t="n">
        <v>1</v>
      </c>
      <c r="AA371" s="188" t="s">
        <v>1207</v>
      </c>
    </row>
    <row r="372" customFormat="false" ht="15" hidden="false" customHeight="true" outlineLevel="0" collapsed="false">
      <c r="A372" s="0" t="n">
        <v>77</v>
      </c>
      <c r="B372" s="187" t="n">
        <v>46066.4025681782</v>
      </c>
      <c r="C372" s="187" t="n">
        <v>46066.404570493</v>
      </c>
      <c r="D372" s="188" t="s">
        <v>754</v>
      </c>
      <c r="E372" s="188" t="s">
        <v>755</v>
      </c>
      <c r="F372" s="188" t="s">
        <v>755</v>
      </c>
      <c r="G372" s="188" t="s">
        <v>756</v>
      </c>
      <c r="H372" s="187" t="n">
        <v>46064</v>
      </c>
      <c r="I372" s="188" t="s">
        <v>325</v>
      </c>
      <c r="J372" s="188" t="s">
        <v>295</v>
      </c>
      <c r="K372" s="188" t="s">
        <v>173</v>
      </c>
      <c r="L372" s="188" t="s">
        <v>130</v>
      </c>
      <c r="M372" s="188" t="s">
        <v>757</v>
      </c>
      <c r="N372" s="188" t="s">
        <v>758</v>
      </c>
      <c r="O372" s="188" t="s">
        <v>244</v>
      </c>
      <c r="P372" s="188" t="s">
        <v>111</v>
      </c>
      <c r="Q372" s="188" t="s">
        <v>145</v>
      </c>
      <c r="R372" s="188" t="s">
        <v>22</v>
      </c>
      <c r="S372" s="188" t="s">
        <v>152</v>
      </c>
      <c r="T372" s="188" t="s">
        <v>121</v>
      </c>
      <c r="U372" s="188" t="s">
        <v>122</v>
      </c>
      <c r="V372" s="188" t="s">
        <v>123</v>
      </c>
      <c r="W372" s="188" t="s">
        <v>139</v>
      </c>
      <c r="X372" s="188" t="s">
        <v>298</v>
      </c>
      <c r="Y372" s="188" t="s">
        <v>1035</v>
      </c>
      <c r="Z372" s="0" t="n">
        <v>1</v>
      </c>
      <c r="AA372" s="188" t="s">
        <v>1167</v>
      </c>
    </row>
    <row r="373" customFormat="false" ht="15" hidden="false" customHeight="true" outlineLevel="0" collapsed="false">
      <c r="A373" s="0" t="n">
        <v>77</v>
      </c>
      <c r="B373" s="187" t="n">
        <v>46066.4025681782</v>
      </c>
      <c r="C373" s="187" t="n">
        <v>46066.404570493</v>
      </c>
      <c r="D373" s="188" t="s">
        <v>754</v>
      </c>
      <c r="E373" s="188" t="s">
        <v>755</v>
      </c>
      <c r="F373" s="188" t="s">
        <v>755</v>
      </c>
      <c r="G373" s="188" t="s">
        <v>756</v>
      </c>
      <c r="H373" s="187" t="n">
        <v>46064</v>
      </c>
      <c r="I373" s="188" t="s">
        <v>325</v>
      </c>
      <c r="J373" s="188" t="s">
        <v>295</v>
      </c>
      <c r="K373" s="188" t="s">
        <v>173</v>
      </c>
      <c r="L373" s="188" t="s">
        <v>130</v>
      </c>
      <c r="M373" s="188" t="s">
        <v>757</v>
      </c>
      <c r="N373" s="188" t="s">
        <v>758</v>
      </c>
      <c r="O373" s="188" t="s">
        <v>244</v>
      </c>
      <c r="P373" s="188" t="s">
        <v>111</v>
      </c>
      <c r="Q373" s="188" t="s">
        <v>145</v>
      </c>
      <c r="R373" s="188" t="s">
        <v>22</v>
      </c>
      <c r="S373" s="188" t="s">
        <v>152</v>
      </c>
      <c r="T373" s="188" t="s">
        <v>121</v>
      </c>
      <c r="U373" s="188" t="s">
        <v>122</v>
      </c>
      <c r="V373" s="188" t="s">
        <v>123</v>
      </c>
      <c r="W373" s="188" t="s">
        <v>139</v>
      </c>
      <c r="X373" s="188" t="s">
        <v>298</v>
      </c>
      <c r="Y373" s="188" t="s">
        <v>1035</v>
      </c>
      <c r="Z373" s="0" t="n">
        <v>2</v>
      </c>
      <c r="AA373" s="188" t="s">
        <v>1096</v>
      </c>
    </row>
    <row r="374" customFormat="false" ht="15" hidden="false" customHeight="true" outlineLevel="0" collapsed="false">
      <c r="A374" s="0" t="n">
        <v>77</v>
      </c>
      <c r="B374" s="187" t="n">
        <v>46066.4025681782</v>
      </c>
      <c r="C374" s="187" t="n">
        <v>46066.404570493</v>
      </c>
      <c r="D374" s="188" t="s">
        <v>754</v>
      </c>
      <c r="E374" s="188" t="s">
        <v>755</v>
      </c>
      <c r="F374" s="188" t="s">
        <v>755</v>
      </c>
      <c r="G374" s="188" t="s">
        <v>756</v>
      </c>
      <c r="H374" s="187" t="n">
        <v>46064</v>
      </c>
      <c r="I374" s="188" t="s">
        <v>325</v>
      </c>
      <c r="J374" s="188" t="s">
        <v>295</v>
      </c>
      <c r="K374" s="188" t="s">
        <v>173</v>
      </c>
      <c r="L374" s="188" t="s">
        <v>130</v>
      </c>
      <c r="M374" s="188" t="s">
        <v>757</v>
      </c>
      <c r="N374" s="188" t="s">
        <v>758</v>
      </c>
      <c r="O374" s="188" t="s">
        <v>244</v>
      </c>
      <c r="P374" s="188" t="s">
        <v>111</v>
      </c>
      <c r="Q374" s="188" t="s">
        <v>145</v>
      </c>
      <c r="R374" s="188" t="s">
        <v>22</v>
      </c>
      <c r="S374" s="188" t="s">
        <v>152</v>
      </c>
      <c r="T374" s="188" t="s">
        <v>121</v>
      </c>
      <c r="U374" s="188" t="s">
        <v>122</v>
      </c>
      <c r="V374" s="188" t="s">
        <v>123</v>
      </c>
      <c r="W374" s="188" t="s">
        <v>139</v>
      </c>
      <c r="X374" s="188" t="s">
        <v>298</v>
      </c>
      <c r="Y374" s="188" t="s">
        <v>1035</v>
      </c>
      <c r="Z374" s="0" t="n">
        <v>3</v>
      </c>
      <c r="AA374" s="188" t="s">
        <v>1208</v>
      </c>
    </row>
    <row r="375" customFormat="false" ht="15" hidden="false" customHeight="true" outlineLevel="0" collapsed="false">
      <c r="A375" s="0" t="n">
        <v>77</v>
      </c>
      <c r="B375" s="187" t="n">
        <v>46066.4025681782</v>
      </c>
      <c r="C375" s="187" t="n">
        <v>46066.404570493</v>
      </c>
      <c r="D375" s="188" t="s">
        <v>754</v>
      </c>
      <c r="E375" s="188" t="s">
        <v>755</v>
      </c>
      <c r="F375" s="188" t="s">
        <v>755</v>
      </c>
      <c r="G375" s="188" t="s">
        <v>756</v>
      </c>
      <c r="H375" s="187" t="n">
        <v>46064</v>
      </c>
      <c r="I375" s="188" t="s">
        <v>325</v>
      </c>
      <c r="J375" s="188" t="s">
        <v>295</v>
      </c>
      <c r="K375" s="188" t="s">
        <v>173</v>
      </c>
      <c r="L375" s="188" t="s">
        <v>130</v>
      </c>
      <c r="M375" s="188" t="s">
        <v>757</v>
      </c>
      <c r="N375" s="188" t="s">
        <v>758</v>
      </c>
      <c r="O375" s="188" t="s">
        <v>244</v>
      </c>
      <c r="P375" s="188" t="s">
        <v>111</v>
      </c>
      <c r="Q375" s="188" t="s">
        <v>145</v>
      </c>
      <c r="R375" s="188" t="s">
        <v>22</v>
      </c>
      <c r="S375" s="188" t="s">
        <v>152</v>
      </c>
      <c r="T375" s="188" t="s">
        <v>121</v>
      </c>
      <c r="U375" s="188" t="s">
        <v>122</v>
      </c>
      <c r="V375" s="188" t="s">
        <v>123</v>
      </c>
      <c r="W375" s="188" t="s">
        <v>139</v>
      </c>
      <c r="X375" s="188" t="s">
        <v>298</v>
      </c>
      <c r="Y375" s="188" t="s">
        <v>1037</v>
      </c>
      <c r="Z375" s="0" t="n">
        <v>1</v>
      </c>
      <c r="AA375" s="188" t="s">
        <v>1209</v>
      </c>
    </row>
    <row r="376" customFormat="false" ht="15" hidden="false" customHeight="true" outlineLevel="0" collapsed="false">
      <c r="A376" s="0" t="n">
        <v>77</v>
      </c>
      <c r="B376" s="187" t="n">
        <v>46066.4025681782</v>
      </c>
      <c r="C376" s="187" t="n">
        <v>46066.404570493</v>
      </c>
      <c r="D376" s="188" t="s">
        <v>754</v>
      </c>
      <c r="E376" s="188" t="s">
        <v>755</v>
      </c>
      <c r="F376" s="188" t="s">
        <v>755</v>
      </c>
      <c r="G376" s="188" t="s">
        <v>756</v>
      </c>
      <c r="H376" s="187" t="n">
        <v>46064</v>
      </c>
      <c r="I376" s="188" t="s">
        <v>325</v>
      </c>
      <c r="J376" s="188" t="s">
        <v>295</v>
      </c>
      <c r="K376" s="188" t="s">
        <v>173</v>
      </c>
      <c r="L376" s="188" t="s">
        <v>130</v>
      </c>
      <c r="M376" s="188" t="s">
        <v>757</v>
      </c>
      <c r="N376" s="188" t="s">
        <v>758</v>
      </c>
      <c r="O376" s="188" t="s">
        <v>244</v>
      </c>
      <c r="P376" s="188" t="s">
        <v>111</v>
      </c>
      <c r="Q376" s="188" t="s">
        <v>145</v>
      </c>
      <c r="R376" s="188" t="s">
        <v>22</v>
      </c>
      <c r="S376" s="188" t="s">
        <v>152</v>
      </c>
      <c r="T376" s="188" t="s">
        <v>121</v>
      </c>
      <c r="U376" s="188" t="s">
        <v>122</v>
      </c>
      <c r="V376" s="188" t="s">
        <v>123</v>
      </c>
      <c r="W376" s="188" t="s">
        <v>139</v>
      </c>
      <c r="X376" s="188" t="s">
        <v>298</v>
      </c>
      <c r="Y376" s="188" t="s">
        <v>1037</v>
      </c>
      <c r="Z376" s="0" t="n">
        <v>2</v>
      </c>
      <c r="AA376" s="188" t="s">
        <v>1181</v>
      </c>
    </row>
    <row r="377" customFormat="false" ht="15" hidden="false" customHeight="true" outlineLevel="0" collapsed="false">
      <c r="A377" s="0" t="n">
        <v>77</v>
      </c>
      <c r="B377" s="187" t="n">
        <v>46066.4025681782</v>
      </c>
      <c r="C377" s="187" t="n">
        <v>46066.404570493</v>
      </c>
      <c r="D377" s="188" t="s">
        <v>754</v>
      </c>
      <c r="E377" s="188" t="s">
        <v>755</v>
      </c>
      <c r="F377" s="188" t="s">
        <v>755</v>
      </c>
      <c r="G377" s="188" t="s">
        <v>756</v>
      </c>
      <c r="H377" s="187" t="n">
        <v>46064</v>
      </c>
      <c r="I377" s="188" t="s">
        <v>325</v>
      </c>
      <c r="J377" s="188" t="s">
        <v>295</v>
      </c>
      <c r="K377" s="188" t="s">
        <v>173</v>
      </c>
      <c r="L377" s="188" t="s">
        <v>130</v>
      </c>
      <c r="M377" s="188" t="s">
        <v>757</v>
      </c>
      <c r="N377" s="188" t="s">
        <v>758</v>
      </c>
      <c r="O377" s="188" t="s">
        <v>244</v>
      </c>
      <c r="P377" s="188" t="s">
        <v>111</v>
      </c>
      <c r="Q377" s="188" t="s">
        <v>145</v>
      </c>
      <c r="R377" s="188" t="s">
        <v>22</v>
      </c>
      <c r="S377" s="188" t="s">
        <v>152</v>
      </c>
      <c r="T377" s="188" t="s">
        <v>121</v>
      </c>
      <c r="U377" s="188" t="s">
        <v>122</v>
      </c>
      <c r="V377" s="188" t="s">
        <v>123</v>
      </c>
      <c r="W377" s="188" t="s">
        <v>139</v>
      </c>
      <c r="X377" s="188" t="s">
        <v>298</v>
      </c>
      <c r="Y377" s="188" t="s">
        <v>1040</v>
      </c>
      <c r="Z377" s="0" t="n">
        <v>1</v>
      </c>
      <c r="AA377" s="188" t="s">
        <v>1187</v>
      </c>
    </row>
    <row r="378" customFormat="false" ht="15" hidden="false" customHeight="true" outlineLevel="0" collapsed="false">
      <c r="A378" s="0" t="n">
        <v>77</v>
      </c>
      <c r="B378" s="187" t="n">
        <v>46066.4025681782</v>
      </c>
      <c r="C378" s="187" t="n">
        <v>46066.404570493</v>
      </c>
      <c r="D378" s="188" t="s">
        <v>754</v>
      </c>
      <c r="E378" s="188" t="s">
        <v>755</v>
      </c>
      <c r="F378" s="188" t="s">
        <v>755</v>
      </c>
      <c r="G378" s="188" t="s">
        <v>756</v>
      </c>
      <c r="H378" s="187" t="n">
        <v>46064</v>
      </c>
      <c r="I378" s="188" t="s">
        <v>325</v>
      </c>
      <c r="J378" s="188" t="s">
        <v>295</v>
      </c>
      <c r="K378" s="188" t="s">
        <v>173</v>
      </c>
      <c r="L378" s="188" t="s">
        <v>130</v>
      </c>
      <c r="M378" s="188" t="s">
        <v>757</v>
      </c>
      <c r="N378" s="188" t="s">
        <v>758</v>
      </c>
      <c r="O378" s="188" t="s">
        <v>244</v>
      </c>
      <c r="P378" s="188" t="s">
        <v>111</v>
      </c>
      <c r="Q378" s="188" t="s">
        <v>145</v>
      </c>
      <c r="R378" s="188" t="s">
        <v>22</v>
      </c>
      <c r="S378" s="188" t="s">
        <v>152</v>
      </c>
      <c r="T378" s="188" t="s">
        <v>121</v>
      </c>
      <c r="U378" s="188" t="s">
        <v>122</v>
      </c>
      <c r="V378" s="188" t="s">
        <v>123</v>
      </c>
      <c r="W378" s="188" t="s">
        <v>139</v>
      </c>
      <c r="X378" s="188" t="s">
        <v>298</v>
      </c>
      <c r="Y378" s="188" t="s">
        <v>1040</v>
      </c>
      <c r="Z378" s="0" t="n">
        <v>2</v>
      </c>
      <c r="AA378" s="188" t="s">
        <v>1210</v>
      </c>
    </row>
    <row r="379" customFormat="false" ht="15" hidden="false" customHeight="true" outlineLevel="0" collapsed="false">
      <c r="A379" s="0" t="n">
        <v>78</v>
      </c>
      <c r="B379" s="187" t="n">
        <v>46142.6965558307</v>
      </c>
      <c r="C379" s="187" t="n">
        <v>46142.708789627</v>
      </c>
      <c r="D379" s="188" t="s">
        <v>762</v>
      </c>
      <c r="E379" s="188" t="s">
        <v>763</v>
      </c>
      <c r="F379" s="188" t="s">
        <v>764</v>
      </c>
      <c r="G379" s="188" t="s">
        <v>765</v>
      </c>
      <c r="H379" s="187" t="n">
        <v>46142</v>
      </c>
      <c r="I379" s="188" t="s">
        <v>132</v>
      </c>
      <c r="J379" s="188" t="s">
        <v>108</v>
      </c>
      <c r="K379" s="188" t="s">
        <v>257</v>
      </c>
      <c r="L379" s="188" t="s">
        <v>296</v>
      </c>
      <c r="M379" s="188" t="s">
        <v>269</v>
      </c>
      <c r="N379" s="188" t="s">
        <v>766</v>
      </c>
      <c r="O379" s="188" t="s">
        <v>750</v>
      </c>
      <c r="P379" s="188" t="s">
        <v>111</v>
      </c>
      <c r="Q379" s="188" t="s">
        <v>145</v>
      </c>
      <c r="R379" s="188" t="s">
        <v>22</v>
      </c>
      <c r="S379" s="188" t="s">
        <v>152</v>
      </c>
      <c r="T379" s="188" t="s">
        <v>121</v>
      </c>
      <c r="U379" s="188" t="s">
        <v>770</v>
      </c>
      <c r="V379" s="188" t="s">
        <v>123</v>
      </c>
      <c r="W379" s="188" t="s">
        <v>124</v>
      </c>
      <c r="X379" s="188" t="s">
        <v>176</v>
      </c>
      <c r="Y379" s="188" t="s">
        <v>1035</v>
      </c>
      <c r="Z379" s="0" t="n">
        <v>1</v>
      </c>
      <c r="AA379" s="188" t="s">
        <v>1211</v>
      </c>
    </row>
    <row r="380" customFormat="false" ht="15" hidden="false" customHeight="true" outlineLevel="0" collapsed="false">
      <c r="A380" s="0" t="n">
        <v>78</v>
      </c>
      <c r="B380" s="187" t="n">
        <v>46142.6965558307</v>
      </c>
      <c r="C380" s="187" t="n">
        <v>46142.708789627</v>
      </c>
      <c r="D380" s="188" t="s">
        <v>762</v>
      </c>
      <c r="E380" s="188" t="s">
        <v>763</v>
      </c>
      <c r="F380" s="188" t="s">
        <v>764</v>
      </c>
      <c r="G380" s="188" t="s">
        <v>765</v>
      </c>
      <c r="H380" s="187" t="n">
        <v>46142</v>
      </c>
      <c r="I380" s="188" t="s">
        <v>132</v>
      </c>
      <c r="J380" s="188" t="s">
        <v>108</v>
      </c>
      <c r="K380" s="188" t="s">
        <v>257</v>
      </c>
      <c r="L380" s="188" t="s">
        <v>296</v>
      </c>
      <c r="M380" s="188" t="s">
        <v>269</v>
      </c>
      <c r="N380" s="188" t="s">
        <v>766</v>
      </c>
      <c r="O380" s="188" t="s">
        <v>750</v>
      </c>
      <c r="P380" s="188" t="s">
        <v>111</v>
      </c>
      <c r="Q380" s="188" t="s">
        <v>145</v>
      </c>
      <c r="R380" s="188" t="s">
        <v>22</v>
      </c>
      <c r="S380" s="188" t="s">
        <v>152</v>
      </c>
      <c r="T380" s="188" t="s">
        <v>121</v>
      </c>
      <c r="U380" s="188" t="s">
        <v>770</v>
      </c>
      <c r="V380" s="188" t="s">
        <v>123</v>
      </c>
      <c r="W380" s="188" t="s">
        <v>124</v>
      </c>
      <c r="X380" s="188" t="s">
        <v>176</v>
      </c>
      <c r="Y380" s="188" t="s">
        <v>1035</v>
      </c>
      <c r="Z380" s="0" t="n">
        <v>2</v>
      </c>
      <c r="AA380" s="188" t="s">
        <v>1055</v>
      </c>
    </row>
    <row r="381" customFormat="false" ht="15" hidden="false" customHeight="true" outlineLevel="0" collapsed="false">
      <c r="A381" s="0" t="n">
        <v>78</v>
      </c>
      <c r="B381" s="187" t="n">
        <v>46142.6965558307</v>
      </c>
      <c r="C381" s="187" t="n">
        <v>46142.708789627</v>
      </c>
      <c r="D381" s="188" t="s">
        <v>762</v>
      </c>
      <c r="E381" s="188" t="s">
        <v>763</v>
      </c>
      <c r="F381" s="188" t="s">
        <v>764</v>
      </c>
      <c r="G381" s="188" t="s">
        <v>765</v>
      </c>
      <c r="H381" s="187" t="n">
        <v>46142</v>
      </c>
      <c r="I381" s="188" t="s">
        <v>132</v>
      </c>
      <c r="J381" s="188" t="s">
        <v>108</v>
      </c>
      <c r="K381" s="188" t="s">
        <v>257</v>
      </c>
      <c r="L381" s="188" t="s">
        <v>296</v>
      </c>
      <c r="M381" s="188" t="s">
        <v>269</v>
      </c>
      <c r="N381" s="188" t="s">
        <v>766</v>
      </c>
      <c r="O381" s="188" t="s">
        <v>750</v>
      </c>
      <c r="P381" s="188" t="s">
        <v>111</v>
      </c>
      <c r="Q381" s="188" t="s">
        <v>145</v>
      </c>
      <c r="R381" s="188" t="s">
        <v>22</v>
      </c>
      <c r="S381" s="188" t="s">
        <v>152</v>
      </c>
      <c r="T381" s="188" t="s">
        <v>121</v>
      </c>
      <c r="U381" s="188" t="s">
        <v>770</v>
      </c>
      <c r="V381" s="188" t="s">
        <v>123</v>
      </c>
      <c r="W381" s="188" t="s">
        <v>124</v>
      </c>
      <c r="X381" s="188" t="s">
        <v>176</v>
      </c>
      <c r="Y381" s="188" t="s">
        <v>1037</v>
      </c>
      <c r="Z381" s="0" t="n">
        <v>1</v>
      </c>
      <c r="AA381" s="188" t="s">
        <v>1177</v>
      </c>
    </row>
    <row r="382" customFormat="false" ht="15" hidden="false" customHeight="true" outlineLevel="0" collapsed="false">
      <c r="A382" s="0" t="n">
        <v>78</v>
      </c>
      <c r="B382" s="187" t="n">
        <v>46142.6965558307</v>
      </c>
      <c r="C382" s="187" t="n">
        <v>46142.708789627</v>
      </c>
      <c r="D382" s="188" t="s">
        <v>762</v>
      </c>
      <c r="E382" s="188" t="s">
        <v>763</v>
      </c>
      <c r="F382" s="188" t="s">
        <v>764</v>
      </c>
      <c r="G382" s="188" t="s">
        <v>765</v>
      </c>
      <c r="H382" s="187" t="n">
        <v>46142</v>
      </c>
      <c r="I382" s="188" t="s">
        <v>132</v>
      </c>
      <c r="J382" s="188" t="s">
        <v>108</v>
      </c>
      <c r="K382" s="188" t="s">
        <v>257</v>
      </c>
      <c r="L382" s="188" t="s">
        <v>296</v>
      </c>
      <c r="M382" s="188" t="s">
        <v>269</v>
      </c>
      <c r="N382" s="188" t="s">
        <v>766</v>
      </c>
      <c r="O382" s="188" t="s">
        <v>750</v>
      </c>
      <c r="P382" s="188" t="s">
        <v>111</v>
      </c>
      <c r="Q382" s="188" t="s">
        <v>145</v>
      </c>
      <c r="R382" s="188" t="s">
        <v>22</v>
      </c>
      <c r="S382" s="188" t="s">
        <v>152</v>
      </c>
      <c r="T382" s="188" t="s">
        <v>121</v>
      </c>
      <c r="U382" s="188" t="s">
        <v>770</v>
      </c>
      <c r="V382" s="188" t="s">
        <v>123</v>
      </c>
      <c r="W382" s="188" t="s">
        <v>124</v>
      </c>
      <c r="X382" s="188" t="s">
        <v>176</v>
      </c>
      <c r="Y382" s="188" t="s">
        <v>1037</v>
      </c>
      <c r="Z382" s="0" t="n">
        <v>2</v>
      </c>
      <c r="AA382" s="188" t="s">
        <v>1212</v>
      </c>
    </row>
    <row r="383" customFormat="false" ht="15" hidden="false" customHeight="true" outlineLevel="0" collapsed="false">
      <c r="A383" s="0" t="n">
        <v>78</v>
      </c>
      <c r="B383" s="187" t="n">
        <v>46142.6965558307</v>
      </c>
      <c r="C383" s="187" t="n">
        <v>46142.708789627</v>
      </c>
      <c r="D383" s="188" t="s">
        <v>762</v>
      </c>
      <c r="E383" s="188" t="s">
        <v>763</v>
      </c>
      <c r="F383" s="188" t="s">
        <v>764</v>
      </c>
      <c r="G383" s="188" t="s">
        <v>765</v>
      </c>
      <c r="H383" s="187" t="n">
        <v>46142</v>
      </c>
      <c r="I383" s="188" t="s">
        <v>132</v>
      </c>
      <c r="J383" s="188" t="s">
        <v>108</v>
      </c>
      <c r="K383" s="188" t="s">
        <v>257</v>
      </c>
      <c r="L383" s="188" t="s">
        <v>296</v>
      </c>
      <c r="M383" s="188" t="s">
        <v>269</v>
      </c>
      <c r="N383" s="188" t="s">
        <v>766</v>
      </c>
      <c r="O383" s="188" t="s">
        <v>750</v>
      </c>
      <c r="P383" s="188" t="s">
        <v>111</v>
      </c>
      <c r="Q383" s="188" t="s">
        <v>145</v>
      </c>
      <c r="R383" s="188" t="s">
        <v>22</v>
      </c>
      <c r="S383" s="188" t="s">
        <v>152</v>
      </c>
      <c r="T383" s="188" t="s">
        <v>121</v>
      </c>
      <c r="U383" s="188" t="s">
        <v>770</v>
      </c>
      <c r="V383" s="188" t="s">
        <v>123</v>
      </c>
      <c r="W383" s="188" t="s">
        <v>124</v>
      </c>
      <c r="X383" s="188" t="s">
        <v>176</v>
      </c>
      <c r="Y383" s="188" t="s">
        <v>1040</v>
      </c>
      <c r="Z383" s="0" t="n">
        <v>1</v>
      </c>
      <c r="AA383" s="188" t="s">
        <v>1213</v>
      </c>
    </row>
    <row r="384" customFormat="false" ht="15" hidden="false" customHeight="true" outlineLevel="0" collapsed="false">
      <c r="A384" s="0" t="n">
        <v>78</v>
      </c>
      <c r="B384" s="187" t="n">
        <v>46142.6965558307</v>
      </c>
      <c r="C384" s="187" t="n">
        <v>46142.708789627</v>
      </c>
      <c r="D384" s="188" t="s">
        <v>762</v>
      </c>
      <c r="E384" s="188" t="s">
        <v>763</v>
      </c>
      <c r="F384" s="188" t="s">
        <v>764</v>
      </c>
      <c r="G384" s="188" t="s">
        <v>765</v>
      </c>
      <c r="H384" s="187" t="n">
        <v>46142</v>
      </c>
      <c r="I384" s="188" t="s">
        <v>132</v>
      </c>
      <c r="J384" s="188" t="s">
        <v>108</v>
      </c>
      <c r="K384" s="188" t="s">
        <v>257</v>
      </c>
      <c r="L384" s="188" t="s">
        <v>296</v>
      </c>
      <c r="M384" s="188" t="s">
        <v>269</v>
      </c>
      <c r="N384" s="188" t="s">
        <v>766</v>
      </c>
      <c r="O384" s="188" t="s">
        <v>750</v>
      </c>
      <c r="P384" s="188" t="s">
        <v>111</v>
      </c>
      <c r="Q384" s="188" t="s">
        <v>145</v>
      </c>
      <c r="R384" s="188" t="s">
        <v>22</v>
      </c>
      <c r="S384" s="188" t="s">
        <v>152</v>
      </c>
      <c r="T384" s="188" t="s">
        <v>121</v>
      </c>
      <c r="U384" s="188" t="s">
        <v>770</v>
      </c>
      <c r="V384" s="188" t="s">
        <v>123</v>
      </c>
      <c r="W384" s="188" t="s">
        <v>124</v>
      </c>
      <c r="X384" s="188" t="s">
        <v>176</v>
      </c>
      <c r="Y384" s="188" t="s">
        <v>1040</v>
      </c>
      <c r="Z384" s="0" t="n">
        <v>2</v>
      </c>
      <c r="AA384" s="188" t="s">
        <v>1214</v>
      </c>
    </row>
    <row r="385" customFormat="false" ht="15" hidden="false" customHeight="true" outlineLevel="0" collapsed="false">
      <c r="A385" s="0" t="n">
        <v>79</v>
      </c>
      <c r="B385" s="187" t="n">
        <v>46080.3023221908</v>
      </c>
      <c r="C385" s="187" t="n">
        <v>46080.3167434871</v>
      </c>
      <c r="D385" s="188" t="s">
        <v>771</v>
      </c>
      <c r="E385" s="188" t="s">
        <v>772</v>
      </c>
      <c r="F385" s="188" t="s">
        <v>772</v>
      </c>
      <c r="G385" s="188" t="s">
        <v>773</v>
      </c>
      <c r="H385" s="187" t="n">
        <v>46066</v>
      </c>
      <c r="I385" s="188" t="s">
        <v>113</v>
      </c>
      <c r="J385" s="188" t="s">
        <v>108</v>
      </c>
      <c r="K385" s="188" t="s">
        <v>462</v>
      </c>
      <c r="L385" s="188" t="s">
        <v>159</v>
      </c>
      <c r="M385" s="188" t="s">
        <v>774</v>
      </c>
      <c r="N385" s="188" t="s">
        <v>775</v>
      </c>
      <c r="O385" s="188" t="s">
        <v>750</v>
      </c>
      <c r="P385" s="188" t="s">
        <v>111</v>
      </c>
      <c r="Q385" s="188" t="s">
        <v>112</v>
      </c>
      <c r="R385" s="188" t="s">
        <v>22</v>
      </c>
      <c r="S385" s="188" t="s">
        <v>120</v>
      </c>
      <c r="T385" s="188" t="s">
        <v>121</v>
      </c>
      <c r="U385" s="188" t="s">
        <v>153</v>
      </c>
      <c r="V385" s="188" t="s">
        <v>192</v>
      </c>
      <c r="W385" s="188" t="s">
        <v>139</v>
      </c>
      <c r="X385" s="188" t="s">
        <v>339</v>
      </c>
      <c r="Y385" s="188" t="s">
        <v>1035</v>
      </c>
      <c r="Z385" s="0" t="n">
        <v>1</v>
      </c>
      <c r="AA385" s="188" t="s">
        <v>1188</v>
      </c>
    </row>
    <row r="386" customFormat="false" ht="15" hidden="false" customHeight="true" outlineLevel="0" collapsed="false">
      <c r="A386" s="0" t="n">
        <v>79</v>
      </c>
      <c r="B386" s="187" t="n">
        <v>46080.3023221908</v>
      </c>
      <c r="C386" s="187" t="n">
        <v>46080.3167434871</v>
      </c>
      <c r="D386" s="188" t="s">
        <v>771</v>
      </c>
      <c r="E386" s="188" t="s">
        <v>772</v>
      </c>
      <c r="F386" s="188" t="s">
        <v>772</v>
      </c>
      <c r="G386" s="188" t="s">
        <v>773</v>
      </c>
      <c r="H386" s="187" t="n">
        <v>46066</v>
      </c>
      <c r="I386" s="188" t="s">
        <v>113</v>
      </c>
      <c r="J386" s="188" t="s">
        <v>108</v>
      </c>
      <c r="K386" s="188" t="s">
        <v>462</v>
      </c>
      <c r="L386" s="188" t="s">
        <v>159</v>
      </c>
      <c r="M386" s="188" t="s">
        <v>774</v>
      </c>
      <c r="N386" s="188" t="s">
        <v>775</v>
      </c>
      <c r="O386" s="188" t="s">
        <v>750</v>
      </c>
      <c r="P386" s="188" t="s">
        <v>111</v>
      </c>
      <c r="Q386" s="188" t="s">
        <v>112</v>
      </c>
      <c r="R386" s="188" t="s">
        <v>22</v>
      </c>
      <c r="S386" s="188" t="s">
        <v>120</v>
      </c>
      <c r="T386" s="188" t="s">
        <v>121</v>
      </c>
      <c r="U386" s="188" t="s">
        <v>153</v>
      </c>
      <c r="V386" s="188" t="s">
        <v>192</v>
      </c>
      <c r="W386" s="188" t="s">
        <v>139</v>
      </c>
      <c r="X386" s="188" t="s">
        <v>339</v>
      </c>
      <c r="Y386" s="188" t="s">
        <v>1035</v>
      </c>
      <c r="Z386" s="0" t="n">
        <v>2</v>
      </c>
      <c r="AA386" s="188" t="s">
        <v>1170</v>
      </c>
    </row>
    <row r="387" customFormat="false" ht="15" hidden="false" customHeight="true" outlineLevel="0" collapsed="false">
      <c r="A387" s="0" t="n">
        <v>79</v>
      </c>
      <c r="B387" s="187" t="n">
        <v>46080.3023221908</v>
      </c>
      <c r="C387" s="187" t="n">
        <v>46080.3167434871</v>
      </c>
      <c r="D387" s="188" t="s">
        <v>771</v>
      </c>
      <c r="E387" s="188" t="s">
        <v>772</v>
      </c>
      <c r="F387" s="188" t="s">
        <v>772</v>
      </c>
      <c r="G387" s="188" t="s">
        <v>773</v>
      </c>
      <c r="H387" s="187" t="n">
        <v>46066</v>
      </c>
      <c r="I387" s="188" t="s">
        <v>113</v>
      </c>
      <c r="J387" s="188" t="s">
        <v>108</v>
      </c>
      <c r="K387" s="188" t="s">
        <v>462</v>
      </c>
      <c r="L387" s="188" t="s">
        <v>159</v>
      </c>
      <c r="M387" s="188" t="s">
        <v>774</v>
      </c>
      <c r="N387" s="188" t="s">
        <v>775</v>
      </c>
      <c r="O387" s="188" t="s">
        <v>750</v>
      </c>
      <c r="P387" s="188" t="s">
        <v>111</v>
      </c>
      <c r="Q387" s="188" t="s">
        <v>112</v>
      </c>
      <c r="R387" s="188" t="s">
        <v>22</v>
      </c>
      <c r="S387" s="188" t="s">
        <v>120</v>
      </c>
      <c r="T387" s="188" t="s">
        <v>121</v>
      </c>
      <c r="U387" s="188" t="s">
        <v>153</v>
      </c>
      <c r="V387" s="188" t="s">
        <v>192</v>
      </c>
      <c r="W387" s="188" t="s">
        <v>139</v>
      </c>
      <c r="X387" s="188" t="s">
        <v>339</v>
      </c>
      <c r="Y387" s="188" t="s">
        <v>1037</v>
      </c>
      <c r="Z387" s="0" t="n">
        <v>1</v>
      </c>
      <c r="AA387" s="188" t="s">
        <v>1114</v>
      </c>
    </row>
    <row r="388" customFormat="false" ht="15" hidden="false" customHeight="true" outlineLevel="0" collapsed="false">
      <c r="A388" s="0" t="n">
        <v>79</v>
      </c>
      <c r="B388" s="187" t="n">
        <v>46080.3023221908</v>
      </c>
      <c r="C388" s="187" t="n">
        <v>46080.3167434871</v>
      </c>
      <c r="D388" s="188" t="s">
        <v>771</v>
      </c>
      <c r="E388" s="188" t="s">
        <v>772</v>
      </c>
      <c r="F388" s="188" t="s">
        <v>772</v>
      </c>
      <c r="G388" s="188" t="s">
        <v>773</v>
      </c>
      <c r="H388" s="187" t="n">
        <v>46066</v>
      </c>
      <c r="I388" s="188" t="s">
        <v>113</v>
      </c>
      <c r="J388" s="188" t="s">
        <v>108</v>
      </c>
      <c r="K388" s="188" t="s">
        <v>462</v>
      </c>
      <c r="L388" s="188" t="s">
        <v>159</v>
      </c>
      <c r="M388" s="188" t="s">
        <v>774</v>
      </c>
      <c r="N388" s="188" t="s">
        <v>775</v>
      </c>
      <c r="O388" s="188" t="s">
        <v>750</v>
      </c>
      <c r="P388" s="188" t="s">
        <v>111</v>
      </c>
      <c r="Q388" s="188" t="s">
        <v>112</v>
      </c>
      <c r="R388" s="188" t="s">
        <v>22</v>
      </c>
      <c r="S388" s="188" t="s">
        <v>120</v>
      </c>
      <c r="T388" s="188" t="s">
        <v>121</v>
      </c>
      <c r="U388" s="188" t="s">
        <v>153</v>
      </c>
      <c r="V388" s="188" t="s">
        <v>192</v>
      </c>
      <c r="W388" s="188" t="s">
        <v>139</v>
      </c>
      <c r="X388" s="188" t="s">
        <v>339</v>
      </c>
      <c r="Y388" s="188" t="s">
        <v>1037</v>
      </c>
      <c r="Z388" s="0" t="n">
        <v>2</v>
      </c>
      <c r="AA388" s="188" t="s">
        <v>1215</v>
      </c>
    </row>
    <row r="389" customFormat="false" ht="15" hidden="false" customHeight="true" outlineLevel="0" collapsed="false">
      <c r="A389" s="0" t="n">
        <v>79</v>
      </c>
      <c r="B389" s="187" t="n">
        <v>46080.3023221908</v>
      </c>
      <c r="C389" s="187" t="n">
        <v>46080.3167434871</v>
      </c>
      <c r="D389" s="188" t="s">
        <v>771</v>
      </c>
      <c r="E389" s="188" t="s">
        <v>772</v>
      </c>
      <c r="F389" s="188" t="s">
        <v>772</v>
      </c>
      <c r="G389" s="188" t="s">
        <v>773</v>
      </c>
      <c r="H389" s="187" t="n">
        <v>46066</v>
      </c>
      <c r="I389" s="188" t="s">
        <v>113</v>
      </c>
      <c r="J389" s="188" t="s">
        <v>108</v>
      </c>
      <c r="K389" s="188" t="s">
        <v>462</v>
      </c>
      <c r="L389" s="188" t="s">
        <v>159</v>
      </c>
      <c r="M389" s="188" t="s">
        <v>774</v>
      </c>
      <c r="N389" s="188" t="s">
        <v>775</v>
      </c>
      <c r="O389" s="188" t="s">
        <v>750</v>
      </c>
      <c r="P389" s="188" t="s">
        <v>111</v>
      </c>
      <c r="Q389" s="188" t="s">
        <v>112</v>
      </c>
      <c r="R389" s="188" t="s">
        <v>22</v>
      </c>
      <c r="S389" s="188" t="s">
        <v>120</v>
      </c>
      <c r="T389" s="188" t="s">
        <v>121</v>
      </c>
      <c r="U389" s="188" t="s">
        <v>153</v>
      </c>
      <c r="V389" s="188" t="s">
        <v>192</v>
      </c>
      <c r="W389" s="188" t="s">
        <v>139</v>
      </c>
      <c r="X389" s="188" t="s">
        <v>339</v>
      </c>
      <c r="Y389" s="188" t="s">
        <v>1040</v>
      </c>
      <c r="Z389" s="0" t="n">
        <v>1</v>
      </c>
      <c r="AA389" s="188" t="s">
        <v>122</v>
      </c>
    </row>
    <row r="390" customFormat="false" ht="15" hidden="false" customHeight="true" outlineLevel="0" collapsed="false">
      <c r="A390" s="0" t="n">
        <v>79</v>
      </c>
      <c r="B390" s="187" t="n">
        <v>46080.3023221908</v>
      </c>
      <c r="C390" s="187" t="n">
        <v>46080.3167434871</v>
      </c>
      <c r="D390" s="188" t="s">
        <v>771</v>
      </c>
      <c r="E390" s="188" t="s">
        <v>772</v>
      </c>
      <c r="F390" s="188" t="s">
        <v>772</v>
      </c>
      <c r="G390" s="188" t="s">
        <v>773</v>
      </c>
      <c r="H390" s="187" t="n">
        <v>46066</v>
      </c>
      <c r="I390" s="188" t="s">
        <v>113</v>
      </c>
      <c r="J390" s="188" t="s">
        <v>108</v>
      </c>
      <c r="K390" s="188" t="s">
        <v>462</v>
      </c>
      <c r="L390" s="188" t="s">
        <v>159</v>
      </c>
      <c r="M390" s="188" t="s">
        <v>774</v>
      </c>
      <c r="N390" s="188" t="s">
        <v>775</v>
      </c>
      <c r="O390" s="188" t="s">
        <v>750</v>
      </c>
      <c r="P390" s="188" t="s">
        <v>111</v>
      </c>
      <c r="Q390" s="188" t="s">
        <v>112</v>
      </c>
      <c r="R390" s="188" t="s">
        <v>22</v>
      </c>
      <c r="S390" s="188" t="s">
        <v>120</v>
      </c>
      <c r="T390" s="188" t="s">
        <v>121</v>
      </c>
      <c r="U390" s="188" t="s">
        <v>153</v>
      </c>
      <c r="V390" s="188" t="s">
        <v>192</v>
      </c>
      <c r="W390" s="188" t="s">
        <v>139</v>
      </c>
      <c r="X390" s="188" t="s">
        <v>339</v>
      </c>
      <c r="Y390" s="188" t="s">
        <v>1040</v>
      </c>
      <c r="Z390" s="0" t="n">
        <v>2</v>
      </c>
      <c r="AA390" s="188" t="s">
        <v>1207</v>
      </c>
    </row>
    <row r="391" customFormat="false" ht="15" hidden="false" customHeight="true" outlineLevel="0" collapsed="false">
      <c r="A391" s="0" t="n">
        <v>80</v>
      </c>
      <c r="B391" s="187" t="n">
        <v>46202.7463495773</v>
      </c>
      <c r="C391" s="187" t="n">
        <v>46202.7516736513</v>
      </c>
      <c r="D391" s="188" t="s">
        <v>778</v>
      </c>
      <c r="E391" s="188" t="s">
        <v>779</v>
      </c>
      <c r="F391" s="188" t="s">
        <v>779</v>
      </c>
      <c r="G391" s="188" t="s">
        <v>780</v>
      </c>
      <c r="H391" s="187" t="n">
        <v>46184</v>
      </c>
      <c r="I391" s="188" t="s">
        <v>113</v>
      </c>
      <c r="J391" s="188" t="s">
        <v>295</v>
      </c>
      <c r="K391" s="188" t="s">
        <v>257</v>
      </c>
      <c r="L391" s="188" t="s">
        <v>159</v>
      </c>
      <c r="M391" s="188" t="s">
        <v>357</v>
      </c>
      <c r="N391" s="188" t="s">
        <v>606</v>
      </c>
      <c r="O391" s="188" t="s">
        <v>781</v>
      </c>
      <c r="P391" s="188" t="s">
        <v>111</v>
      </c>
      <c r="Q391" s="188" t="s">
        <v>112</v>
      </c>
      <c r="R391" s="188" t="s">
        <v>22</v>
      </c>
      <c r="S391" s="188" t="s">
        <v>152</v>
      </c>
      <c r="T391" s="188" t="s">
        <v>121</v>
      </c>
      <c r="U391" s="188" t="s">
        <v>785</v>
      </c>
      <c r="V391" s="188" t="s">
        <v>167</v>
      </c>
      <c r="W391" s="188" t="s">
        <v>124</v>
      </c>
      <c r="X391" s="188" t="s">
        <v>176</v>
      </c>
      <c r="Y391" s="188" t="s">
        <v>1035</v>
      </c>
      <c r="Z391" s="0" t="n">
        <v>1</v>
      </c>
      <c r="AA391" s="188" t="s">
        <v>1057</v>
      </c>
    </row>
    <row r="392" customFormat="false" ht="15" hidden="false" customHeight="true" outlineLevel="0" collapsed="false">
      <c r="A392" s="0" t="n">
        <v>80</v>
      </c>
      <c r="B392" s="187" t="n">
        <v>46202.7463495773</v>
      </c>
      <c r="C392" s="187" t="n">
        <v>46202.7516736513</v>
      </c>
      <c r="D392" s="188" t="s">
        <v>778</v>
      </c>
      <c r="E392" s="188" t="s">
        <v>779</v>
      </c>
      <c r="F392" s="188" t="s">
        <v>779</v>
      </c>
      <c r="G392" s="188" t="s">
        <v>780</v>
      </c>
      <c r="H392" s="187" t="n">
        <v>46184</v>
      </c>
      <c r="I392" s="188" t="s">
        <v>113</v>
      </c>
      <c r="J392" s="188" t="s">
        <v>295</v>
      </c>
      <c r="K392" s="188" t="s">
        <v>257</v>
      </c>
      <c r="L392" s="188" t="s">
        <v>159</v>
      </c>
      <c r="M392" s="188" t="s">
        <v>357</v>
      </c>
      <c r="N392" s="188" t="s">
        <v>606</v>
      </c>
      <c r="O392" s="188" t="s">
        <v>781</v>
      </c>
      <c r="P392" s="188" t="s">
        <v>111</v>
      </c>
      <c r="Q392" s="188" t="s">
        <v>112</v>
      </c>
      <c r="R392" s="188" t="s">
        <v>22</v>
      </c>
      <c r="S392" s="188" t="s">
        <v>152</v>
      </c>
      <c r="T392" s="188" t="s">
        <v>121</v>
      </c>
      <c r="U392" s="188" t="s">
        <v>785</v>
      </c>
      <c r="V392" s="188" t="s">
        <v>167</v>
      </c>
      <c r="W392" s="188" t="s">
        <v>124</v>
      </c>
      <c r="X392" s="188" t="s">
        <v>176</v>
      </c>
      <c r="Y392" s="188" t="s">
        <v>1035</v>
      </c>
      <c r="Z392" s="0" t="n">
        <v>2</v>
      </c>
      <c r="AA392" s="188" t="s">
        <v>1216</v>
      </c>
    </row>
    <row r="393" customFormat="false" ht="15" hidden="false" customHeight="true" outlineLevel="0" collapsed="false">
      <c r="A393" s="0" t="n">
        <v>80</v>
      </c>
      <c r="B393" s="187" t="n">
        <v>46202.7463495773</v>
      </c>
      <c r="C393" s="187" t="n">
        <v>46202.7516736513</v>
      </c>
      <c r="D393" s="188" t="s">
        <v>778</v>
      </c>
      <c r="E393" s="188" t="s">
        <v>779</v>
      </c>
      <c r="F393" s="188" t="s">
        <v>779</v>
      </c>
      <c r="G393" s="188" t="s">
        <v>780</v>
      </c>
      <c r="H393" s="187" t="n">
        <v>46184</v>
      </c>
      <c r="I393" s="188" t="s">
        <v>113</v>
      </c>
      <c r="J393" s="188" t="s">
        <v>295</v>
      </c>
      <c r="K393" s="188" t="s">
        <v>257</v>
      </c>
      <c r="L393" s="188" t="s">
        <v>159</v>
      </c>
      <c r="M393" s="188" t="s">
        <v>357</v>
      </c>
      <c r="N393" s="188" t="s">
        <v>606</v>
      </c>
      <c r="O393" s="188" t="s">
        <v>781</v>
      </c>
      <c r="P393" s="188" t="s">
        <v>111</v>
      </c>
      <c r="Q393" s="188" t="s">
        <v>112</v>
      </c>
      <c r="R393" s="188" t="s">
        <v>22</v>
      </c>
      <c r="S393" s="188" t="s">
        <v>152</v>
      </c>
      <c r="T393" s="188" t="s">
        <v>121</v>
      </c>
      <c r="U393" s="188" t="s">
        <v>785</v>
      </c>
      <c r="V393" s="188" t="s">
        <v>167</v>
      </c>
      <c r="W393" s="188" t="s">
        <v>124</v>
      </c>
      <c r="X393" s="188" t="s">
        <v>176</v>
      </c>
      <c r="Y393" s="188" t="s">
        <v>1037</v>
      </c>
      <c r="Z393" s="0" t="n">
        <v>1</v>
      </c>
      <c r="AA393" s="188" t="s">
        <v>1104</v>
      </c>
    </row>
    <row r="394" customFormat="false" ht="15" hidden="false" customHeight="true" outlineLevel="0" collapsed="false">
      <c r="A394" s="0" t="n">
        <v>80</v>
      </c>
      <c r="B394" s="187" t="n">
        <v>46202.7463495773</v>
      </c>
      <c r="C394" s="187" t="n">
        <v>46202.7516736513</v>
      </c>
      <c r="D394" s="188" t="s">
        <v>778</v>
      </c>
      <c r="E394" s="188" t="s">
        <v>779</v>
      </c>
      <c r="F394" s="188" t="s">
        <v>779</v>
      </c>
      <c r="G394" s="188" t="s">
        <v>780</v>
      </c>
      <c r="H394" s="187" t="n">
        <v>46184</v>
      </c>
      <c r="I394" s="188" t="s">
        <v>113</v>
      </c>
      <c r="J394" s="188" t="s">
        <v>295</v>
      </c>
      <c r="K394" s="188" t="s">
        <v>257</v>
      </c>
      <c r="L394" s="188" t="s">
        <v>159</v>
      </c>
      <c r="M394" s="188" t="s">
        <v>357</v>
      </c>
      <c r="N394" s="188" t="s">
        <v>606</v>
      </c>
      <c r="O394" s="188" t="s">
        <v>781</v>
      </c>
      <c r="P394" s="188" t="s">
        <v>111</v>
      </c>
      <c r="Q394" s="188" t="s">
        <v>112</v>
      </c>
      <c r="R394" s="188" t="s">
        <v>22</v>
      </c>
      <c r="S394" s="188" t="s">
        <v>152</v>
      </c>
      <c r="T394" s="188" t="s">
        <v>121</v>
      </c>
      <c r="U394" s="188" t="s">
        <v>785</v>
      </c>
      <c r="V394" s="188" t="s">
        <v>167</v>
      </c>
      <c r="W394" s="188" t="s">
        <v>124</v>
      </c>
      <c r="X394" s="188" t="s">
        <v>176</v>
      </c>
      <c r="Y394" s="188" t="s">
        <v>1037</v>
      </c>
      <c r="Z394" s="0" t="n">
        <v>2</v>
      </c>
      <c r="AA394" s="188" t="s">
        <v>122</v>
      </c>
    </row>
    <row r="395" customFormat="false" ht="15" hidden="false" customHeight="true" outlineLevel="0" collapsed="false">
      <c r="A395" s="0" t="n">
        <v>80</v>
      </c>
      <c r="B395" s="187" t="n">
        <v>46202.7463495773</v>
      </c>
      <c r="C395" s="187" t="n">
        <v>46202.7516736513</v>
      </c>
      <c r="D395" s="188" t="s">
        <v>778</v>
      </c>
      <c r="E395" s="188" t="s">
        <v>779</v>
      </c>
      <c r="F395" s="188" t="s">
        <v>779</v>
      </c>
      <c r="G395" s="188" t="s">
        <v>780</v>
      </c>
      <c r="H395" s="187" t="n">
        <v>46184</v>
      </c>
      <c r="I395" s="188" t="s">
        <v>113</v>
      </c>
      <c r="J395" s="188" t="s">
        <v>295</v>
      </c>
      <c r="K395" s="188" t="s">
        <v>257</v>
      </c>
      <c r="L395" s="188" t="s">
        <v>159</v>
      </c>
      <c r="M395" s="188" t="s">
        <v>357</v>
      </c>
      <c r="N395" s="188" t="s">
        <v>606</v>
      </c>
      <c r="O395" s="188" t="s">
        <v>781</v>
      </c>
      <c r="P395" s="188" t="s">
        <v>111</v>
      </c>
      <c r="Q395" s="188" t="s">
        <v>112</v>
      </c>
      <c r="R395" s="188" t="s">
        <v>22</v>
      </c>
      <c r="S395" s="188" t="s">
        <v>152</v>
      </c>
      <c r="T395" s="188" t="s">
        <v>121</v>
      </c>
      <c r="U395" s="188" t="s">
        <v>785</v>
      </c>
      <c r="V395" s="188" t="s">
        <v>167</v>
      </c>
      <c r="W395" s="188" t="s">
        <v>124</v>
      </c>
      <c r="X395" s="188" t="s">
        <v>176</v>
      </c>
      <c r="Y395" s="188" t="s">
        <v>1040</v>
      </c>
      <c r="Z395" s="0" t="n">
        <v>1</v>
      </c>
      <c r="AA395" s="188" t="s">
        <v>1055</v>
      </c>
    </row>
    <row r="396" customFormat="false" ht="15" hidden="false" customHeight="true" outlineLevel="0" collapsed="false">
      <c r="A396" s="0" t="n">
        <v>80</v>
      </c>
      <c r="B396" s="187" t="n">
        <v>46202.7463495773</v>
      </c>
      <c r="C396" s="187" t="n">
        <v>46202.7516736513</v>
      </c>
      <c r="D396" s="188" t="s">
        <v>778</v>
      </c>
      <c r="E396" s="188" t="s">
        <v>779</v>
      </c>
      <c r="F396" s="188" t="s">
        <v>779</v>
      </c>
      <c r="G396" s="188" t="s">
        <v>780</v>
      </c>
      <c r="H396" s="187" t="n">
        <v>46184</v>
      </c>
      <c r="I396" s="188" t="s">
        <v>113</v>
      </c>
      <c r="J396" s="188" t="s">
        <v>295</v>
      </c>
      <c r="K396" s="188" t="s">
        <v>257</v>
      </c>
      <c r="L396" s="188" t="s">
        <v>159</v>
      </c>
      <c r="M396" s="188" t="s">
        <v>357</v>
      </c>
      <c r="N396" s="188" t="s">
        <v>606</v>
      </c>
      <c r="O396" s="188" t="s">
        <v>781</v>
      </c>
      <c r="P396" s="188" t="s">
        <v>111</v>
      </c>
      <c r="Q396" s="188" t="s">
        <v>112</v>
      </c>
      <c r="R396" s="188" t="s">
        <v>22</v>
      </c>
      <c r="S396" s="188" t="s">
        <v>152</v>
      </c>
      <c r="T396" s="188" t="s">
        <v>121</v>
      </c>
      <c r="U396" s="188" t="s">
        <v>785</v>
      </c>
      <c r="V396" s="188" t="s">
        <v>167</v>
      </c>
      <c r="W396" s="188" t="s">
        <v>124</v>
      </c>
      <c r="X396" s="188" t="s">
        <v>176</v>
      </c>
      <c r="Y396" s="188" t="s">
        <v>1040</v>
      </c>
      <c r="Z396" s="0" t="n">
        <v>2</v>
      </c>
      <c r="AA396" s="188" t="s">
        <v>1217</v>
      </c>
    </row>
    <row r="397" customFormat="false" ht="15" hidden="false" customHeight="true" outlineLevel="0" collapsed="false">
      <c r="A397" s="0" t="n">
        <v>81</v>
      </c>
      <c r="B397" s="187" t="n">
        <v>46046.5819903771</v>
      </c>
      <c r="C397" s="187" t="n">
        <v>46046.5957288031</v>
      </c>
      <c r="D397" s="188" t="s">
        <v>786</v>
      </c>
      <c r="E397" s="188" t="s">
        <v>787</v>
      </c>
      <c r="F397" s="188" t="s">
        <v>787</v>
      </c>
      <c r="G397" s="188" t="s">
        <v>788</v>
      </c>
      <c r="H397" s="187" t="n">
        <v>46043</v>
      </c>
      <c r="I397" s="188" t="s">
        <v>132</v>
      </c>
      <c r="J397" s="188" t="s">
        <v>295</v>
      </c>
      <c r="K397" s="188" t="s">
        <v>232</v>
      </c>
      <c r="L397" s="188" t="s">
        <v>197</v>
      </c>
      <c r="M397" s="188" t="s">
        <v>789</v>
      </c>
      <c r="N397" s="188" t="s">
        <v>235</v>
      </c>
      <c r="O397" s="188" t="s">
        <v>172</v>
      </c>
      <c r="P397" s="188" t="s">
        <v>131</v>
      </c>
      <c r="Q397" s="188" t="s">
        <v>112</v>
      </c>
      <c r="R397" s="188" t="s">
        <v>22</v>
      </c>
      <c r="S397" s="188" t="s">
        <v>120</v>
      </c>
      <c r="T397" s="188" t="s">
        <v>180</v>
      </c>
      <c r="U397" s="188" t="s">
        <v>122</v>
      </c>
      <c r="V397" s="188" t="s">
        <v>123</v>
      </c>
      <c r="W397" s="188" t="s">
        <v>124</v>
      </c>
      <c r="X397" s="188" t="s">
        <v>298</v>
      </c>
      <c r="Y397" s="188" t="s">
        <v>1035</v>
      </c>
      <c r="Z397" s="0" t="n">
        <v>1</v>
      </c>
      <c r="AA397" s="188" t="s">
        <v>1180</v>
      </c>
    </row>
    <row r="398" customFormat="false" ht="15" hidden="false" customHeight="true" outlineLevel="0" collapsed="false">
      <c r="A398" s="0" t="n">
        <v>81</v>
      </c>
      <c r="B398" s="187" t="n">
        <v>46046.5819903771</v>
      </c>
      <c r="C398" s="187" t="n">
        <v>46046.5957288031</v>
      </c>
      <c r="D398" s="188" t="s">
        <v>786</v>
      </c>
      <c r="E398" s="188" t="s">
        <v>787</v>
      </c>
      <c r="F398" s="188" t="s">
        <v>787</v>
      </c>
      <c r="G398" s="188" t="s">
        <v>788</v>
      </c>
      <c r="H398" s="187" t="n">
        <v>46043</v>
      </c>
      <c r="I398" s="188" t="s">
        <v>132</v>
      </c>
      <c r="J398" s="188" t="s">
        <v>295</v>
      </c>
      <c r="K398" s="188" t="s">
        <v>232</v>
      </c>
      <c r="L398" s="188" t="s">
        <v>197</v>
      </c>
      <c r="M398" s="188" t="s">
        <v>789</v>
      </c>
      <c r="N398" s="188" t="s">
        <v>235</v>
      </c>
      <c r="O398" s="188" t="s">
        <v>172</v>
      </c>
      <c r="P398" s="188" t="s">
        <v>131</v>
      </c>
      <c r="Q398" s="188" t="s">
        <v>112</v>
      </c>
      <c r="R398" s="188" t="s">
        <v>22</v>
      </c>
      <c r="S398" s="188" t="s">
        <v>120</v>
      </c>
      <c r="T398" s="188" t="s">
        <v>180</v>
      </c>
      <c r="U398" s="188" t="s">
        <v>122</v>
      </c>
      <c r="V398" s="188" t="s">
        <v>123</v>
      </c>
      <c r="W398" s="188" t="s">
        <v>124</v>
      </c>
      <c r="X398" s="188" t="s">
        <v>298</v>
      </c>
      <c r="Y398" s="188" t="s">
        <v>1035</v>
      </c>
      <c r="Z398" s="0" t="n">
        <v>2</v>
      </c>
      <c r="AA398" s="188" t="s">
        <v>1096</v>
      </c>
    </row>
    <row r="399" customFormat="false" ht="15" hidden="false" customHeight="true" outlineLevel="0" collapsed="false">
      <c r="A399" s="0" t="n">
        <v>81</v>
      </c>
      <c r="B399" s="187" t="n">
        <v>46046.5819903771</v>
      </c>
      <c r="C399" s="187" t="n">
        <v>46046.5957288031</v>
      </c>
      <c r="D399" s="188" t="s">
        <v>786</v>
      </c>
      <c r="E399" s="188" t="s">
        <v>787</v>
      </c>
      <c r="F399" s="188" t="s">
        <v>787</v>
      </c>
      <c r="G399" s="188" t="s">
        <v>788</v>
      </c>
      <c r="H399" s="187" t="n">
        <v>46043</v>
      </c>
      <c r="I399" s="188" t="s">
        <v>132</v>
      </c>
      <c r="J399" s="188" t="s">
        <v>295</v>
      </c>
      <c r="K399" s="188" t="s">
        <v>232</v>
      </c>
      <c r="L399" s="188" t="s">
        <v>197</v>
      </c>
      <c r="M399" s="188" t="s">
        <v>789</v>
      </c>
      <c r="N399" s="188" t="s">
        <v>235</v>
      </c>
      <c r="O399" s="188" t="s">
        <v>172</v>
      </c>
      <c r="P399" s="188" t="s">
        <v>131</v>
      </c>
      <c r="Q399" s="188" t="s">
        <v>112</v>
      </c>
      <c r="R399" s="188" t="s">
        <v>22</v>
      </c>
      <c r="S399" s="188" t="s">
        <v>120</v>
      </c>
      <c r="T399" s="188" t="s">
        <v>180</v>
      </c>
      <c r="U399" s="188" t="s">
        <v>122</v>
      </c>
      <c r="V399" s="188" t="s">
        <v>123</v>
      </c>
      <c r="W399" s="188" t="s">
        <v>124</v>
      </c>
      <c r="X399" s="188" t="s">
        <v>298</v>
      </c>
      <c r="Y399" s="188" t="s">
        <v>1035</v>
      </c>
      <c r="Z399" s="0" t="n">
        <v>3</v>
      </c>
      <c r="AA399" s="188" t="s">
        <v>1166</v>
      </c>
    </row>
    <row r="400" customFormat="false" ht="15" hidden="false" customHeight="true" outlineLevel="0" collapsed="false">
      <c r="A400" s="0" t="n">
        <v>81</v>
      </c>
      <c r="B400" s="187" t="n">
        <v>46046.5819903771</v>
      </c>
      <c r="C400" s="187" t="n">
        <v>46046.5957288031</v>
      </c>
      <c r="D400" s="188" t="s">
        <v>786</v>
      </c>
      <c r="E400" s="188" t="s">
        <v>787</v>
      </c>
      <c r="F400" s="188" t="s">
        <v>787</v>
      </c>
      <c r="G400" s="188" t="s">
        <v>788</v>
      </c>
      <c r="H400" s="187" t="n">
        <v>46043</v>
      </c>
      <c r="I400" s="188" t="s">
        <v>132</v>
      </c>
      <c r="J400" s="188" t="s">
        <v>295</v>
      </c>
      <c r="K400" s="188" t="s">
        <v>232</v>
      </c>
      <c r="L400" s="188" t="s">
        <v>197</v>
      </c>
      <c r="M400" s="188" t="s">
        <v>789</v>
      </c>
      <c r="N400" s="188" t="s">
        <v>235</v>
      </c>
      <c r="O400" s="188" t="s">
        <v>172</v>
      </c>
      <c r="P400" s="188" t="s">
        <v>131</v>
      </c>
      <c r="Q400" s="188" t="s">
        <v>112</v>
      </c>
      <c r="R400" s="188" t="s">
        <v>22</v>
      </c>
      <c r="S400" s="188" t="s">
        <v>120</v>
      </c>
      <c r="T400" s="188" t="s">
        <v>180</v>
      </c>
      <c r="U400" s="188" t="s">
        <v>122</v>
      </c>
      <c r="V400" s="188" t="s">
        <v>123</v>
      </c>
      <c r="W400" s="188" t="s">
        <v>124</v>
      </c>
      <c r="X400" s="188" t="s">
        <v>298</v>
      </c>
      <c r="Y400" s="188" t="s">
        <v>1037</v>
      </c>
      <c r="Z400" s="0" t="n">
        <v>1</v>
      </c>
      <c r="AA400" s="188" t="s">
        <v>1218</v>
      </c>
    </row>
    <row r="401" customFormat="false" ht="15" hidden="false" customHeight="true" outlineLevel="0" collapsed="false">
      <c r="A401" s="0" t="n">
        <v>81</v>
      </c>
      <c r="B401" s="187" t="n">
        <v>46046.5819903771</v>
      </c>
      <c r="C401" s="187" t="n">
        <v>46046.5957288031</v>
      </c>
      <c r="D401" s="188" t="s">
        <v>786</v>
      </c>
      <c r="E401" s="188" t="s">
        <v>787</v>
      </c>
      <c r="F401" s="188" t="s">
        <v>787</v>
      </c>
      <c r="G401" s="188" t="s">
        <v>788</v>
      </c>
      <c r="H401" s="187" t="n">
        <v>46043</v>
      </c>
      <c r="I401" s="188" t="s">
        <v>132</v>
      </c>
      <c r="J401" s="188" t="s">
        <v>295</v>
      </c>
      <c r="K401" s="188" t="s">
        <v>232</v>
      </c>
      <c r="L401" s="188" t="s">
        <v>197</v>
      </c>
      <c r="M401" s="188" t="s">
        <v>789</v>
      </c>
      <c r="N401" s="188" t="s">
        <v>235</v>
      </c>
      <c r="O401" s="188" t="s">
        <v>172</v>
      </c>
      <c r="P401" s="188" t="s">
        <v>131</v>
      </c>
      <c r="Q401" s="188" t="s">
        <v>112</v>
      </c>
      <c r="R401" s="188" t="s">
        <v>22</v>
      </c>
      <c r="S401" s="188" t="s">
        <v>120</v>
      </c>
      <c r="T401" s="188" t="s">
        <v>180</v>
      </c>
      <c r="U401" s="188" t="s">
        <v>122</v>
      </c>
      <c r="V401" s="188" t="s">
        <v>123</v>
      </c>
      <c r="W401" s="188" t="s">
        <v>124</v>
      </c>
      <c r="X401" s="188" t="s">
        <v>298</v>
      </c>
      <c r="Y401" s="188" t="s">
        <v>1040</v>
      </c>
      <c r="Z401" s="0" t="n">
        <v>1</v>
      </c>
      <c r="AA401" s="188" t="s">
        <v>1219</v>
      </c>
    </row>
    <row r="402" customFormat="false" ht="15" hidden="false" customHeight="true" outlineLevel="0" collapsed="false">
      <c r="A402" s="0" t="n">
        <v>81</v>
      </c>
      <c r="B402" s="187" t="n">
        <v>46046.5819903771</v>
      </c>
      <c r="C402" s="187" t="n">
        <v>46046.5957288031</v>
      </c>
      <c r="D402" s="188" t="s">
        <v>786</v>
      </c>
      <c r="E402" s="188" t="s">
        <v>787</v>
      </c>
      <c r="F402" s="188" t="s">
        <v>787</v>
      </c>
      <c r="G402" s="188" t="s">
        <v>788</v>
      </c>
      <c r="H402" s="187" t="n">
        <v>46043</v>
      </c>
      <c r="I402" s="188" t="s">
        <v>132</v>
      </c>
      <c r="J402" s="188" t="s">
        <v>295</v>
      </c>
      <c r="K402" s="188" t="s">
        <v>232</v>
      </c>
      <c r="L402" s="188" t="s">
        <v>197</v>
      </c>
      <c r="M402" s="188" t="s">
        <v>789</v>
      </c>
      <c r="N402" s="188" t="s">
        <v>235</v>
      </c>
      <c r="O402" s="188" t="s">
        <v>172</v>
      </c>
      <c r="P402" s="188" t="s">
        <v>131</v>
      </c>
      <c r="Q402" s="188" t="s">
        <v>112</v>
      </c>
      <c r="R402" s="188" t="s">
        <v>22</v>
      </c>
      <c r="S402" s="188" t="s">
        <v>120</v>
      </c>
      <c r="T402" s="188" t="s">
        <v>180</v>
      </c>
      <c r="U402" s="188" t="s">
        <v>122</v>
      </c>
      <c r="V402" s="188" t="s">
        <v>123</v>
      </c>
      <c r="W402" s="188" t="s">
        <v>124</v>
      </c>
      <c r="X402" s="188" t="s">
        <v>298</v>
      </c>
      <c r="Y402" s="188" t="s">
        <v>1040</v>
      </c>
      <c r="Z402" s="0" t="n">
        <v>2</v>
      </c>
      <c r="AA402" s="188" t="s">
        <v>1220</v>
      </c>
    </row>
    <row r="403" customFormat="false" ht="15" hidden="false" customHeight="true" outlineLevel="0" collapsed="false">
      <c r="A403" s="0" t="n">
        <v>82</v>
      </c>
      <c r="B403" s="187" t="n">
        <v>46165.1799184557</v>
      </c>
      <c r="C403" s="187" t="n">
        <v>46165.1814115112</v>
      </c>
      <c r="D403" s="188" t="s">
        <v>793</v>
      </c>
      <c r="E403" s="188" t="s">
        <v>794</v>
      </c>
      <c r="F403" s="188" t="s">
        <v>794</v>
      </c>
      <c r="G403" s="188" t="s">
        <v>795</v>
      </c>
      <c r="H403" s="187" t="n">
        <v>46157</v>
      </c>
      <c r="I403" s="188" t="s">
        <v>113</v>
      </c>
      <c r="J403" s="188" t="s">
        <v>295</v>
      </c>
      <c r="K403" s="188" t="s">
        <v>796</v>
      </c>
      <c r="L403" s="188" t="s">
        <v>114</v>
      </c>
      <c r="M403" s="188" t="s">
        <v>797</v>
      </c>
      <c r="N403" s="188" t="s">
        <v>338</v>
      </c>
      <c r="O403" s="188" t="s">
        <v>278</v>
      </c>
      <c r="P403" s="188" t="s">
        <v>131</v>
      </c>
      <c r="Q403" s="188" t="s">
        <v>112</v>
      </c>
      <c r="R403" s="188" t="s">
        <v>21</v>
      </c>
      <c r="S403" s="188" t="s">
        <v>120</v>
      </c>
      <c r="T403" s="188" t="s">
        <v>180</v>
      </c>
      <c r="U403" s="188" t="s">
        <v>798</v>
      </c>
      <c r="V403" s="188" t="s">
        <v>167</v>
      </c>
      <c r="W403" s="188" t="s">
        <v>124</v>
      </c>
      <c r="X403" s="188" t="s">
        <v>187</v>
      </c>
      <c r="Y403" s="188" t="s">
        <v>1035</v>
      </c>
      <c r="Z403" s="0" t="n">
        <v>1</v>
      </c>
      <c r="AA403" s="188" t="s">
        <v>1060</v>
      </c>
    </row>
    <row r="404" customFormat="false" ht="15" hidden="false" customHeight="true" outlineLevel="0" collapsed="false">
      <c r="A404" s="0" t="n">
        <v>82</v>
      </c>
      <c r="B404" s="187" t="n">
        <v>46165.1799184557</v>
      </c>
      <c r="C404" s="187" t="n">
        <v>46165.1814115112</v>
      </c>
      <c r="D404" s="188" t="s">
        <v>793</v>
      </c>
      <c r="E404" s="188" t="s">
        <v>794</v>
      </c>
      <c r="F404" s="188" t="s">
        <v>794</v>
      </c>
      <c r="G404" s="188" t="s">
        <v>795</v>
      </c>
      <c r="H404" s="187" t="n">
        <v>46157</v>
      </c>
      <c r="I404" s="188" t="s">
        <v>113</v>
      </c>
      <c r="J404" s="188" t="s">
        <v>295</v>
      </c>
      <c r="K404" s="188" t="s">
        <v>796</v>
      </c>
      <c r="L404" s="188" t="s">
        <v>114</v>
      </c>
      <c r="M404" s="188" t="s">
        <v>797</v>
      </c>
      <c r="N404" s="188" t="s">
        <v>338</v>
      </c>
      <c r="O404" s="188" t="s">
        <v>278</v>
      </c>
      <c r="P404" s="188" t="s">
        <v>131</v>
      </c>
      <c r="Q404" s="188" t="s">
        <v>112</v>
      </c>
      <c r="R404" s="188" t="s">
        <v>21</v>
      </c>
      <c r="S404" s="188" t="s">
        <v>120</v>
      </c>
      <c r="T404" s="188" t="s">
        <v>180</v>
      </c>
      <c r="U404" s="188" t="s">
        <v>798</v>
      </c>
      <c r="V404" s="188" t="s">
        <v>167</v>
      </c>
      <c r="W404" s="188" t="s">
        <v>124</v>
      </c>
      <c r="X404" s="188" t="s">
        <v>187</v>
      </c>
      <c r="Y404" s="188" t="s">
        <v>1037</v>
      </c>
      <c r="Z404" s="0" t="n">
        <v>1</v>
      </c>
      <c r="AA404" s="188" t="s">
        <v>1139</v>
      </c>
    </row>
    <row r="405" customFormat="false" ht="15" hidden="false" customHeight="true" outlineLevel="0" collapsed="false">
      <c r="A405" s="0" t="n">
        <v>82</v>
      </c>
      <c r="B405" s="187" t="n">
        <v>46165.1799184557</v>
      </c>
      <c r="C405" s="187" t="n">
        <v>46165.1814115112</v>
      </c>
      <c r="D405" s="188" t="s">
        <v>793</v>
      </c>
      <c r="E405" s="188" t="s">
        <v>794</v>
      </c>
      <c r="F405" s="188" t="s">
        <v>794</v>
      </c>
      <c r="G405" s="188" t="s">
        <v>795</v>
      </c>
      <c r="H405" s="187" t="n">
        <v>46157</v>
      </c>
      <c r="I405" s="188" t="s">
        <v>113</v>
      </c>
      <c r="J405" s="188" t="s">
        <v>295</v>
      </c>
      <c r="K405" s="188" t="s">
        <v>796</v>
      </c>
      <c r="L405" s="188" t="s">
        <v>114</v>
      </c>
      <c r="M405" s="188" t="s">
        <v>797</v>
      </c>
      <c r="N405" s="188" t="s">
        <v>338</v>
      </c>
      <c r="O405" s="188" t="s">
        <v>278</v>
      </c>
      <c r="P405" s="188" t="s">
        <v>131</v>
      </c>
      <c r="Q405" s="188" t="s">
        <v>112</v>
      </c>
      <c r="R405" s="188" t="s">
        <v>21</v>
      </c>
      <c r="S405" s="188" t="s">
        <v>120</v>
      </c>
      <c r="T405" s="188" t="s">
        <v>180</v>
      </c>
      <c r="U405" s="188" t="s">
        <v>798</v>
      </c>
      <c r="V405" s="188" t="s">
        <v>167</v>
      </c>
      <c r="W405" s="188" t="s">
        <v>124</v>
      </c>
      <c r="X405" s="188" t="s">
        <v>187</v>
      </c>
      <c r="Y405" s="188" t="s">
        <v>1037</v>
      </c>
      <c r="Z405" s="0" t="n">
        <v>2</v>
      </c>
      <c r="AA405" s="188" t="s">
        <v>1061</v>
      </c>
    </row>
    <row r="406" customFormat="false" ht="15" hidden="false" customHeight="true" outlineLevel="0" collapsed="false">
      <c r="A406" s="0" t="n">
        <v>82</v>
      </c>
      <c r="B406" s="187" t="n">
        <v>46165.1799184557</v>
      </c>
      <c r="C406" s="187" t="n">
        <v>46165.1814115112</v>
      </c>
      <c r="D406" s="188" t="s">
        <v>793</v>
      </c>
      <c r="E406" s="188" t="s">
        <v>794</v>
      </c>
      <c r="F406" s="188" t="s">
        <v>794</v>
      </c>
      <c r="G406" s="188" t="s">
        <v>795</v>
      </c>
      <c r="H406" s="187" t="n">
        <v>46157</v>
      </c>
      <c r="I406" s="188" t="s">
        <v>113</v>
      </c>
      <c r="J406" s="188" t="s">
        <v>295</v>
      </c>
      <c r="K406" s="188" t="s">
        <v>796</v>
      </c>
      <c r="L406" s="188" t="s">
        <v>114</v>
      </c>
      <c r="M406" s="188" t="s">
        <v>797</v>
      </c>
      <c r="N406" s="188" t="s">
        <v>338</v>
      </c>
      <c r="O406" s="188" t="s">
        <v>278</v>
      </c>
      <c r="P406" s="188" t="s">
        <v>131</v>
      </c>
      <c r="Q406" s="188" t="s">
        <v>112</v>
      </c>
      <c r="R406" s="188" t="s">
        <v>21</v>
      </c>
      <c r="S406" s="188" t="s">
        <v>120</v>
      </c>
      <c r="T406" s="188" t="s">
        <v>180</v>
      </c>
      <c r="U406" s="188" t="s">
        <v>798</v>
      </c>
      <c r="V406" s="188" t="s">
        <v>167</v>
      </c>
      <c r="W406" s="188" t="s">
        <v>124</v>
      </c>
      <c r="X406" s="188" t="s">
        <v>187</v>
      </c>
      <c r="Y406" s="188" t="s">
        <v>1040</v>
      </c>
      <c r="Z406" s="0" t="n">
        <v>1</v>
      </c>
      <c r="AA406" s="188" t="s">
        <v>1062</v>
      </c>
    </row>
    <row r="407" customFormat="false" ht="15" hidden="false" customHeight="true" outlineLevel="0" collapsed="false">
      <c r="A407" s="0" t="n">
        <v>83</v>
      </c>
      <c r="B407" s="187" t="n">
        <v>46107.2564890161</v>
      </c>
      <c r="C407" s="187" t="n">
        <v>46107.2606441087</v>
      </c>
      <c r="D407" s="188" t="s">
        <v>799</v>
      </c>
      <c r="E407" s="188" t="s">
        <v>800</v>
      </c>
      <c r="F407" s="188" t="s">
        <v>800</v>
      </c>
      <c r="G407" s="188" t="s">
        <v>801</v>
      </c>
      <c r="H407" s="187" t="n">
        <v>46103</v>
      </c>
      <c r="I407" s="188" t="s">
        <v>113</v>
      </c>
      <c r="J407" s="188" t="s">
        <v>108</v>
      </c>
      <c r="K407" s="188" t="s">
        <v>802</v>
      </c>
      <c r="L407" s="188" t="s">
        <v>210</v>
      </c>
      <c r="M407" s="188" t="s">
        <v>789</v>
      </c>
      <c r="N407" s="188" t="s">
        <v>523</v>
      </c>
      <c r="O407" s="188" t="s">
        <v>172</v>
      </c>
      <c r="P407" s="188" t="s">
        <v>111</v>
      </c>
      <c r="Q407" s="188" t="s">
        <v>112</v>
      </c>
      <c r="R407" s="188" t="s">
        <v>22</v>
      </c>
      <c r="S407" s="188" t="s">
        <v>152</v>
      </c>
      <c r="T407" s="188" t="s">
        <v>496</v>
      </c>
      <c r="U407" s="188" t="s">
        <v>239</v>
      </c>
      <c r="V407" s="188" t="s">
        <v>192</v>
      </c>
      <c r="W407" s="188" t="s">
        <v>124</v>
      </c>
      <c r="X407" s="188" t="s">
        <v>381</v>
      </c>
      <c r="Y407" s="188" t="s">
        <v>1035</v>
      </c>
      <c r="Z407" s="0" t="n">
        <v>1</v>
      </c>
      <c r="AA407" s="188" t="s">
        <v>1221</v>
      </c>
    </row>
    <row r="408" customFormat="false" ht="15" hidden="false" customHeight="true" outlineLevel="0" collapsed="false">
      <c r="A408" s="0" t="n">
        <v>83</v>
      </c>
      <c r="B408" s="187" t="n">
        <v>46107.2564890161</v>
      </c>
      <c r="C408" s="187" t="n">
        <v>46107.2606441087</v>
      </c>
      <c r="D408" s="188" t="s">
        <v>799</v>
      </c>
      <c r="E408" s="188" t="s">
        <v>800</v>
      </c>
      <c r="F408" s="188" t="s">
        <v>800</v>
      </c>
      <c r="G408" s="188" t="s">
        <v>801</v>
      </c>
      <c r="H408" s="187" t="n">
        <v>46103</v>
      </c>
      <c r="I408" s="188" t="s">
        <v>113</v>
      </c>
      <c r="J408" s="188" t="s">
        <v>108</v>
      </c>
      <c r="K408" s="188" t="s">
        <v>802</v>
      </c>
      <c r="L408" s="188" t="s">
        <v>210</v>
      </c>
      <c r="M408" s="188" t="s">
        <v>789</v>
      </c>
      <c r="N408" s="188" t="s">
        <v>523</v>
      </c>
      <c r="O408" s="188" t="s">
        <v>172</v>
      </c>
      <c r="P408" s="188" t="s">
        <v>111</v>
      </c>
      <c r="Q408" s="188" t="s">
        <v>112</v>
      </c>
      <c r="R408" s="188" t="s">
        <v>22</v>
      </c>
      <c r="S408" s="188" t="s">
        <v>152</v>
      </c>
      <c r="T408" s="188" t="s">
        <v>496</v>
      </c>
      <c r="U408" s="188" t="s">
        <v>239</v>
      </c>
      <c r="V408" s="188" t="s">
        <v>192</v>
      </c>
      <c r="W408" s="188" t="s">
        <v>124</v>
      </c>
      <c r="X408" s="188" t="s">
        <v>381</v>
      </c>
      <c r="Y408" s="188" t="s">
        <v>1035</v>
      </c>
      <c r="Z408" s="0" t="n">
        <v>2</v>
      </c>
      <c r="AA408" s="188" t="s">
        <v>1131</v>
      </c>
    </row>
    <row r="409" customFormat="false" ht="15" hidden="false" customHeight="true" outlineLevel="0" collapsed="false">
      <c r="A409" s="0" t="n">
        <v>83</v>
      </c>
      <c r="B409" s="187" t="n">
        <v>46107.2564890161</v>
      </c>
      <c r="C409" s="187" t="n">
        <v>46107.2606441087</v>
      </c>
      <c r="D409" s="188" t="s">
        <v>799</v>
      </c>
      <c r="E409" s="188" t="s">
        <v>800</v>
      </c>
      <c r="F409" s="188" t="s">
        <v>800</v>
      </c>
      <c r="G409" s="188" t="s">
        <v>801</v>
      </c>
      <c r="H409" s="187" t="n">
        <v>46103</v>
      </c>
      <c r="I409" s="188" t="s">
        <v>113</v>
      </c>
      <c r="J409" s="188" t="s">
        <v>108</v>
      </c>
      <c r="K409" s="188" t="s">
        <v>802</v>
      </c>
      <c r="L409" s="188" t="s">
        <v>210</v>
      </c>
      <c r="M409" s="188" t="s">
        <v>789</v>
      </c>
      <c r="N409" s="188" t="s">
        <v>523</v>
      </c>
      <c r="O409" s="188" t="s">
        <v>172</v>
      </c>
      <c r="P409" s="188" t="s">
        <v>111</v>
      </c>
      <c r="Q409" s="188" t="s">
        <v>112</v>
      </c>
      <c r="R409" s="188" t="s">
        <v>22</v>
      </c>
      <c r="S409" s="188" t="s">
        <v>152</v>
      </c>
      <c r="T409" s="188" t="s">
        <v>496</v>
      </c>
      <c r="U409" s="188" t="s">
        <v>239</v>
      </c>
      <c r="V409" s="188" t="s">
        <v>192</v>
      </c>
      <c r="W409" s="188" t="s">
        <v>124</v>
      </c>
      <c r="X409" s="188" t="s">
        <v>381</v>
      </c>
      <c r="Y409" s="188" t="s">
        <v>1037</v>
      </c>
      <c r="Z409" s="0" t="n">
        <v>1</v>
      </c>
      <c r="AA409" s="188" t="s">
        <v>1133</v>
      </c>
    </row>
    <row r="410" customFormat="false" ht="15" hidden="false" customHeight="true" outlineLevel="0" collapsed="false">
      <c r="A410" s="0" t="n">
        <v>83</v>
      </c>
      <c r="B410" s="187" t="n">
        <v>46107.2564890161</v>
      </c>
      <c r="C410" s="187" t="n">
        <v>46107.2606441087</v>
      </c>
      <c r="D410" s="188" t="s">
        <v>799</v>
      </c>
      <c r="E410" s="188" t="s">
        <v>800</v>
      </c>
      <c r="F410" s="188" t="s">
        <v>800</v>
      </c>
      <c r="G410" s="188" t="s">
        <v>801</v>
      </c>
      <c r="H410" s="187" t="n">
        <v>46103</v>
      </c>
      <c r="I410" s="188" t="s">
        <v>113</v>
      </c>
      <c r="J410" s="188" t="s">
        <v>108</v>
      </c>
      <c r="K410" s="188" t="s">
        <v>802</v>
      </c>
      <c r="L410" s="188" t="s">
        <v>210</v>
      </c>
      <c r="M410" s="188" t="s">
        <v>789</v>
      </c>
      <c r="N410" s="188" t="s">
        <v>523</v>
      </c>
      <c r="O410" s="188" t="s">
        <v>172</v>
      </c>
      <c r="P410" s="188" t="s">
        <v>111</v>
      </c>
      <c r="Q410" s="188" t="s">
        <v>112</v>
      </c>
      <c r="R410" s="188" t="s">
        <v>22</v>
      </c>
      <c r="S410" s="188" t="s">
        <v>152</v>
      </c>
      <c r="T410" s="188" t="s">
        <v>496</v>
      </c>
      <c r="U410" s="188" t="s">
        <v>239</v>
      </c>
      <c r="V410" s="188" t="s">
        <v>192</v>
      </c>
      <c r="W410" s="188" t="s">
        <v>124</v>
      </c>
      <c r="X410" s="188" t="s">
        <v>381</v>
      </c>
      <c r="Y410" s="188" t="s">
        <v>1037</v>
      </c>
      <c r="Z410" s="0" t="n">
        <v>2</v>
      </c>
      <c r="AA410" s="188" t="s">
        <v>1222</v>
      </c>
    </row>
    <row r="411" customFormat="false" ht="15" hidden="false" customHeight="true" outlineLevel="0" collapsed="false">
      <c r="A411" s="0" t="n">
        <v>83</v>
      </c>
      <c r="B411" s="187" t="n">
        <v>46107.2564890161</v>
      </c>
      <c r="C411" s="187" t="n">
        <v>46107.2606441087</v>
      </c>
      <c r="D411" s="188" t="s">
        <v>799</v>
      </c>
      <c r="E411" s="188" t="s">
        <v>800</v>
      </c>
      <c r="F411" s="188" t="s">
        <v>800</v>
      </c>
      <c r="G411" s="188" t="s">
        <v>801</v>
      </c>
      <c r="H411" s="187" t="n">
        <v>46103</v>
      </c>
      <c r="I411" s="188" t="s">
        <v>113</v>
      </c>
      <c r="J411" s="188" t="s">
        <v>108</v>
      </c>
      <c r="K411" s="188" t="s">
        <v>802</v>
      </c>
      <c r="L411" s="188" t="s">
        <v>210</v>
      </c>
      <c r="M411" s="188" t="s">
        <v>789</v>
      </c>
      <c r="N411" s="188" t="s">
        <v>523</v>
      </c>
      <c r="O411" s="188" t="s">
        <v>172</v>
      </c>
      <c r="P411" s="188" t="s">
        <v>111</v>
      </c>
      <c r="Q411" s="188" t="s">
        <v>112</v>
      </c>
      <c r="R411" s="188" t="s">
        <v>22</v>
      </c>
      <c r="S411" s="188" t="s">
        <v>152</v>
      </c>
      <c r="T411" s="188" t="s">
        <v>496</v>
      </c>
      <c r="U411" s="188" t="s">
        <v>239</v>
      </c>
      <c r="V411" s="188" t="s">
        <v>192</v>
      </c>
      <c r="W411" s="188" t="s">
        <v>124</v>
      </c>
      <c r="X411" s="188" t="s">
        <v>381</v>
      </c>
      <c r="Y411" s="188" t="s">
        <v>1040</v>
      </c>
      <c r="Z411" s="0" t="n">
        <v>1</v>
      </c>
      <c r="AA411" s="188" t="s">
        <v>1134</v>
      </c>
    </row>
    <row r="412" customFormat="false" ht="15" hidden="false" customHeight="true" outlineLevel="0" collapsed="false">
      <c r="A412" s="0" t="n">
        <v>83</v>
      </c>
      <c r="B412" s="187" t="n">
        <v>46107.2564890161</v>
      </c>
      <c r="C412" s="187" t="n">
        <v>46107.2606441087</v>
      </c>
      <c r="D412" s="188" t="s">
        <v>799</v>
      </c>
      <c r="E412" s="188" t="s">
        <v>800</v>
      </c>
      <c r="F412" s="188" t="s">
        <v>800</v>
      </c>
      <c r="G412" s="188" t="s">
        <v>801</v>
      </c>
      <c r="H412" s="187" t="n">
        <v>46103</v>
      </c>
      <c r="I412" s="188" t="s">
        <v>113</v>
      </c>
      <c r="J412" s="188" t="s">
        <v>108</v>
      </c>
      <c r="K412" s="188" t="s">
        <v>802</v>
      </c>
      <c r="L412" s="188" t="s">
        <v>210</v>
      </c>
      <c r="M412" s="188" t="s">
        <v>789</v>
      </c>
      <c r="N412" s="188" t="s">
        <v>523</v>
      </c>
      <c r="O412" s="188" t="s">
        <v>172</v>
      </c>
      <c r="P412" s="188" t="s">
        <v>111</v>
      </c>
      <c r="Q412" s="188" t="s">
        <v>112</v>
      </c>
      <c r="R412" s="188" t="s">
        <v>22</v>
      </c>
      <c r="S412" s="188" t="s">
        <v>152</v>
      </c>
      <c r="T412" s="188" t="s">
        <v>496</v>
      </c>
      <c r="U412" s="188" t="s">
        <v>239</v>
      </c>
      <c r="V412" s="188" t="s">
        <v>192</v>
      </c>
      <c r="W412" s="188" t="s">
        <v>124</v>
      </c>
      <c r="X412" s="188" t="s">
        <v>381</v>
      </c>
      <c r="Y412" s="188" t="s">
        <v>1040</v>
      </c>
      <c r="Z412" s="0" t="n">
        <v>2</v>
      </c>
      <c r="AA412" s="188" t="s">
        <v>1206</v>
      </c>
    </row>
    <row r="413" customFormat="false" ht="15" hidden="false" customHeight="true" outlineLevel="0" collapsed="false">
      <c r="A413" s="0" t="n">
        <v>84</v>
      </c>
      <c r="B413" s="187" t="n">
        <v>46157.4344417416</v>
      </c>
      <c r="C413" s="187" t="n">
        <v>46157.4397889638</v>
      </c>
      <c r="D413" s="188" t="s">
        <v>806</v>
      </c>
      <c r="E413" s="188" t="s">
        <v>807</v>
      </c>
      <c r="F413" s="188" t="s">
        <v>807</v>
      </c>
      <c r="G413" s="188" t="s">
        <v>808</v>
      </c>
      <c r="H413" s="187" t="n">
        <v>46150</v>
      </c>
      <c r="I413" s="188" t="s">
        <v>113</v>
      </c>
      <c r="J413" s="188" t="s">
        <v>108</v>
      </c>
      <c r="K413" s="188" t="s">
        <v>364</v>
      </c>
      <c r="L413" s="188" t="s">
        <v>296</v>
      </c>
      <c r="M413" s="188" t="s">
        <v>809</v>
      </c>
      <c r="N413" s="188" t="s">
        <v>810</v>
      </c>
      <c r="O413" s="188" t="s">
        <v>172</v>
      </c>
      <c r="P413" s="188" t="s">
        <v>111</v>
      </c>
      <c r="Q413" s="188" t="s">
        <v>145</v>
      </c>
      <c r="R413" s="188" t="s">
        <v>22</v>
      </c>
      <c r="S413" s="188" t="s">
        <v>152</v>
      </c>
      <c r="T413" s="188" t="s">
        <v>814</v>
      </c>
      <c r="V413" s="188" t="s">
        <v>167</v>
      </c>
      <c r="W413" s="188" t="s">
        <v>124</v>
      </c>
      <c r="X413" s="188" t="s">
        <v>715</v>
      </c>
      <c r="Y413" s="188" t="s">
        <v>1035</v>
      </c>
      <c r="Z413" s="0" t="n">
        <v>1</v>
      </c>
      <c r="AA413" s="188" t="s">
        <v>1223</v>
      </c>
    </row>
    <row r="414" customFormat="false" ht="15" hidden="false" customHeight="true" outlineLevel="0" collapsed="false">
      <c r="A414" s="0" t="n">
        <v>84</v>
      </c>
      <c r="B414" s="187" t="n">
        <v>46157.4344417416</v>
      </c>
      <c r="C414" s="187" t="n">
        <v>46157.4397889638</v>
      </c>
      <c r="D414" s="188" t="s">
        <v>806</v>
      </c>
      <c r="E414" s="188" t="s">
        <v>807</v>
      </c>
      <c r="F414" s="188" t="s">
        <v>807</v>
      </c>
      <c r="G414" s="188" t="s">
        <v>808</v>
      </c>
      <c r="H414" s="187" t="n">
        <v>46150</v>
      </c>
      <c r="I414" s="188" t="s">
        <v>113</v>
      </c>
      <c r="J414" s="188" t="s">
        <v>108</v>
      </c>
      <c r="K414" s="188" t="s">
        <v>364</v>
      </c>
      <c r="L414" s="188" t="s">
        <v>296</v>
      </c>
      <c r="M414" s="188" t="s">
        <v>809</v>
      </c>
      <c r="N414" s="188" t="s">
        <v>810</v>
      </c>
      <c r="O414" s="188" t="s">
        <v>172</v>
      </c>
      <c r="P414" s="188" t="s">
        <v>111</v>
      </c>
      <c r="Q414" s="188" t="s">
        <v>145</v>
      </c>
      <c r="R414" s="188" t="s">
        <v>22</v>
      </c>
      <c r="S414" s="188" t="s">
        <v>152</v>
      </c>
      <c r="T414" s="188" t="s">
        <v>814</v>
      </c>
      <c r="V414" s="188" t="s">
        <v>167</v>
      </c>
      <c r="W414" s="188" t="s">
        <v>124</v>
      </c>
      <c r="X414" s="188" t="s">
        <v>715</v>
      </c>
      <c r="Y414" s="188" t="s">
        <v>1035</v>
      </c>
      <c r="Z414" s="0" t="n">
        <v>2</v>
      </c>
      <c r="AA414" s="188" t="s">
        <v>1224</v>
      </c>
    </row>
    <row r="415" customFormat="false" ht="15" hidden="false" customHeight="true" outlineLevel="0" collapsed="false">
      <c r="A415" s="0" t="n">
        <v>84</v>
      </c>
      <c r="B415" s="187" t="n">
        <v>46157.4344417416</v>
      </c>
      <c r="C415" s="187" t="n">
        <v>46157.4397889638</v>
      </c>
      <c r="D415" s="188" t="s">
        <v>806</v>
      </c>
      <c r="E415" s="188" t="s">
        <v>807</v>
      </c>
      <c r="F415" s="188" t="s">
        <v>807</v>
      </c>
      <c r="G415" s="188" t="s">
        <v>808</v>
      </c>
      <c r="H415" s="187" t="n">
        <v>46150</v>
      </c>
      <c r="I415" s="188" t="s">
        <v>113</v>
      </c>
      <c r="J415" s="188" t="s">
        <v>108</v>
      </c>
      <c r="K415" s="188" t="s">
        <v>364</v>
      </c>
      <c r="L415" s="188" t="s">
        <v>296</v>
      </c>
      <c r="M415" s="188" t="s">
        <v>809</v>
      </c>
      <c r="N415" s="188" t="s">
        <v>810</v>
      </c>
      <c r="O415" s="188" t="s">
        <v>172</v>
      </c>
      <c r="P415" s="188" t="s">
        <v>111</v>
      </c>
      <c r="Q415" s="188" t="s">
        <v>145</v>
      </c>
      <c r="R415" s="188" t="s">
        <v>22</v>
      </c>
      <c r="S415" s="188" t="s">
        <v>152</v>
      </c>
      <c r="T415" s="188" t="s">
        <v>814</v>
      </c>
      <c r="V415" s="188" t="s">
        <v>167</v>
      </c>
      <c r="W415" s="188" t="s">
        <v>124</v>
      </c>
      <c r="X415" s="188" t="s">
        <v>715</v>
      </c>
      <c r="Y415" s="188" t="s">
        <v>1035</v>
      </c>
      <c r="Z415" s="0" t="n">
        <v>3</v>
      </c>
      <c r="AA415" s="188" t="s">
        <v>1196</v>
      </c>
    </row>
    <row r="416" customFormat="false" ht="15" hidden="false" customHeight="true" outlineLevel="0" collapsed="false">
      <c r="A416" s="0" t="n">
        <v>84</v>
      </c>
      <c r="B416" s="187" t="n">
        <v>46157.4344417416</v>
      </c>
      <c r="C416" s="187" t="n">
        <v>46157.4397889638</v>
      </c>
      <c r="D416" s="188" t="s">
        <v>806</v>
      </c>
      <c r="E416" s="188" t="s">
        <v>807</v>
      </c>
      <c r="F416" s="188" t="s">
        <v>807</v>
      </c>
      <c r="G416" s="188" t="s">
        <v>808</v>
      </c>
      <c r="H416" s="187" t="n">
        <v>46150</v>
      </c>
      <c r="I416" s="188" t="s">
        <v>113</v>
      </c>
      <c r="J416" s="188" t="s">
        <v>108</v>
      </c>
      <c r="K416" s="188" t="s">
        <v>364</v>
      </c>
      <c r="L416" s="188" t="s">
        <v>296</v>
      </c>
      <c r="M416" s="188" t="s">
        <v>809</v>
      </c>
      <c r="N416" s="188" t="s">
        <v>810</v>
      </c>
      <c r="O416" s="188" t="s">
        <v>172</v>
      </c>
      <c r="P416" s="188" t="s">
        <v>111</v>
      </c>
      <c r="Q416" s="188" t="s">
        <v>145</v>
      </c>
      <c r="R416" s="188" t="s">
        <v>22</v>
      </c>
      <c r="S416" s="188" t="s">
        <v>152</v>
      </c>
      <c r="T416" s="188" t="s">
        <v>814</v>
      </c>
      <c r="V416" s="188" t="s">
        <v>167</v>
      </c>
      <c r="W416" s="188" t="s">
        <v>124</v>
      </c>
      <c r="X416" s="188" t="s">
        <v>715</v>
      </c>
      <c r="Y416" s="188" t="s">
        <v>1037</v>
      </c>
      <c r="Z416" s="0" t="n">
        <v>1</v>
      </c>
      <c r="AA416" s="188" t="s">
        <v>1225</v>
      </c>
    </row>
    <row r="417" customFormat="false" ht="15" hidden="false" customHeight="true" outlineLevel="0" collapsed="false">
      <c r="A417" s="0" t="n">
        <v>84</v>
      </c>
      <c r="B417" s="187" t="n">
        <v>46157.4344417416</v>
      </c>
      <c r="C417" s="187" t="n">
        <v>46157.4397889638</v>
      </c>
      <c r="D417" s="188" t="s">
        <v>806</v>
      </c>
      <c r="E417" s="188" t="s">
        <v>807</v>
      </c>
      <c r="F417" s="188" t="s">
        <v>807</v>
      </c>
      <c r="G417" s="188" t="s">
        <v>808</v>
      </c>
      <c r="H417" s="187" t="n">
        <v>46150</v>
      </c>
      <c r="I417" s="188" t="s">
        <v>113</v>
      </c>
      <c r="J417" s="188" t="s">
        <v>108</v>
      </c>
      <c r="K417" s="188" t="s">
        <v>364</v>
      </c>
      <c r="L417" s="188" t="s">
        <v>296</v>
      </c>
      <c r="M417" s="188" t="s">
        <v>809</v>
      </c>
      <c r="N417" s="188" t="s">
        <v>810</v>
      </c>
      <c r="O417" s="188" t="s">
        <v>172</v>
      </c>
      <c r="P417" s="188" t="s">
        <v>111</v>
      </c>
      <c r="Q417" s="188" t="s">
        <v>145</v>
      </c>
      <c r="R417" s="188" t="s">
        <v>22</v>
      </c>
      <c r="S417" s="188" t="s">
        <v>152</v>
      </c>
      <c r="T417" s="188" t="s">
        <v>814</v>
      </c>
      <c r="V417" s="188" t="s">
        <v>167</v>
      </c>
      <c r="W417" s="188" t="s">
        <v>124</v>
      </c>
      <c r="X417" s="188" t="s">
        <v>715</v>
      </c>
      <c r="Y417" s="188" t="s">
        <v>1037</v>
      </c>
      <c r="Z417" s="0" t="n">
        <v>2</v>
      </c>
      <c r="AA417" s="188" t="s">
        <v>1203</v>
      </c>
    </row>
    <row r="418" customFormat="false" ht="15" hidden="false" customHeight="true" outlineLevel="0" collapsed="false">
      <c r="A418" s="0" t="n">
        <v>84</v>
      </c>
      <c r="B418" s="187" t="n">
        <v>46157.4344417416</v>
      </c>
      <c r="C418" s="187" t="n">
        <v>46157.4397889638</v>
      </c>
      <c r="D418" s="188" t="s">
        <v>806</v>
      </c>
      <c r="E418" s="188" t="s">
        <v>807</v>
      </c>
      <c r="F418" s="188" t="s">
        <v>807</v>
      </c>
      <c r="G418" s="188" t="s">
        <v>808</v>
      </c>
      <c r="H418" s="187" t="n">
        <v>46150</v>
      </c>
      <c r="I418" s="188" t="s">
        <v>113</v>
      </c>
      <c r="J418" s="188" t="s">
        <v>108</v>
      </c>
      <c r="K418" s="188" t="s">
        <v>364</v>
      </c>
      <c r="L418" s="188" t="s">
        <v>296</v>
      </c>
      <c r="M418" s="188" t="s">
        <v>809</v>
      </c>
      <c r="N418" s="188" t="s">
        <v>810</v>
      </c>
      <c r="O418" s="188" t="s">
        <v>172</v>
      </c>
      <c r="P418" s="188" t="s">
        <v>111</v>
      </c>
      <c r="Q418" s="188" t="s">
        <v>145</v>
      </c>
      <c r="R418" s="188" t="s">
        <v>22</v>
      </c>
      <c r="S418" s="188" t="s">
        <v>152</v>
      </c>
      <c r="T418" s="188" t="s">
        <v>814</v>
      </c>
      <c r="V418" s="188" t="s">
        <v>167</v>
      </c>
      <c r="W418" s="188" t="s">
        <v>124</v>
      </c>
      <c r="X418" s="188" t="s">
        <v>715</v>
      </c>
      <c r="Y418" s="188" t="s">
        <v>1040</v>
      </c>
      <c r="Z418" s="0" t="n">
        <v>1</v>
      </c>
      <c r="AA418" s="188" t="s">
        <v>1226</v>
      </c>
    </row>
    <row r="419" customFormat="false" ht="15" hidden="false" customHeight="true" outlineLevel="0" collapsed="false">
      <c r="A419" s="0" t="n">
        <v>84</v>
      </c>
      <c r="B419" s="187" t="n">
        <v>46157.4344417416</v>
      </c>
      <c r="C419" s="187" t="n">
        <v>46157.4397889638</v>
      </c>
      <c r="D419" s="188" t="s">
        <v>806</v>
      </c>
      <c r="E419" s="188" t="s">
        <v>807</v>
      </c>
      <c r="F419" s="188" t="s">
        <v>807</v>
      </c>
      <c r="G419" s="188" t="s">
        <v>808</v>
      </c>
      <c r="H419" s="187" t="n">
        <v>46150</v>
      </c>
      <c r="I419" s="188" t="s">
        <v>113</v>
      </c>
      <c r="J419" s="188" t="s">
        <v>108</v>
      </c>
      <c r="K419" s="188" t="s">
        <v>364</v>
      </c>
      <c r="L419" s="188" t="s">
        <v>296</v>
      </c>
      <c r="M419" s="188" t="s">
        <v>809</v>
      </c>
      <c r="N419" s="188" t="s">
        <v>810</v>
      </c>
      <c r="O419" s="188" t="s">
        <v>172</v>
      </c>
      <c r="P419" s="188" t="s">
        <v>111</v>
      </c>
      <c r="Q419" s="188" t="s">
        <v>145</v>
      </c>
      <c r="R419" s="188" t="s">
        <v>22</v>
      </c>
      <c r="S419" s="188" t="s">
        <v>152</v>
      </c>
      <c r="T419" s="188" t="s">
        <v>814</v>
      </c>
      <c r="V419" s="188" t="s">
        <v>167</v>
      </c>
      <c r="W419" s="188" t="s">
        <v>124</v>
      </c>
      <c r="X419" s="188" t="s">
        <v>715</v>
      </c>
      <c r="Y419" s="188" t="s">
        <v>1040</v>
      </c>
      <c r="Z419" s="0" t="n">
        <v>2</v>
      </c>
      <c r="AA419" s="188" t="s">
        <v>1200</v>
      </c>
    </row>
    <row r="420" customFormat="false" ht="15" hidden="false" customHeight="true" outlineLevel="0" collapsed="false">
      <c r="A420" s="0" t="n">
        <v>85</v>
      </c>
      <c r="B420" s="187" t="n">
        <v>46133.8198705119</v>
      </c>
      <c r="C420" s="187" t="n">
        <v>46133.8375904193</v>
      </c>
      <c r="D420" s="188" t="s">
        <v>815</v>
      </c>
      <c r="E420" s="188" t="s">
        <v>816</v>
      </c>
      <c r="F420" s="188" t="s">
        <v>816</v>
      </c>
      <c r="G420" s="188" t="s">
        <v>817</v>
      </c>
      <c r="H420" s="187" t="n">
        <v>46114</v>
      </c>
      <c r="I420" s="188" t="s">
        <v>113</v>
      </c>
      <c r="J420" s="188" t="s">
        <v>108</v>
      </c>
      <c r="K420" s="188" t="s">
        <v>818</v>
      </c>
      <c r="L420" s="188" t="s">
        <v>286</v>
      </c>
      <c r="M420" s="188" t="s">
        <v>578</v>
      </c>
      <c r="N420" s="188" t="s">
        <v>819</v>
      </c>
      <c r="O420" s="188" t="s">
        <v>244</v>
      </c>
      <c r="P420" s="188" t="s">
        <v>131</v>
      </c>
      <c r="Q420" s="188" t="s">
        <v>145</v>
      </c>
      <c r="R420" s="188" t="s">
        <v>22</v>
      </c>
      <c r="S420" s="188" t="s">
        <v>227</v>
      </c>
      <c r="T420" s="188" t="s">
        <v>352</v>
      </c>
      <c r="U420" s="188" t="s">
        <v>822</v>
      </c>
      <c r="V420" s="188" t="s">
        <v>167</v>
      </c>
      <c r="W420" s="188" t="s">
        <v>124</v>
      </c>
      <c r="X420" s="188" t="s">
        <v>298</v>
      </c>
      <c r="Y420" s="188" t="s">
        <v>1035</v>
      </c>
      <c r="Z420" s="0" t="n">
        <v>1</v>
      </c>
      <c r="AA420" s="188" t="s">
        <v>1166</v>
      </c>
    </row>
    <row r="421" customFormat="false" ht="15" hidden="false" customHeight="true" outlineLevel="0" collapsed="false">
      <c r="A421" s="0" t="n">
        <v>85</v>
      </c>
      <c r="B421" s="187" t="n">
        <v>46133.8198705119</v>
      </c>
      <c r="C421" s="187" t="n">
        <v>46133.8375904193</v>
      </c>
      <c r="D421" s="188" t="s">
        <v>815</v>
      </c>
      <c r="E421" s="188" t="s">
        <v>816</v>
      </c>
      <c r="F421" s="188" t="s">
        <v>816</v>
      </c>
      <c r="G421" s="188" t="s">
        <v>817</v>
      </c>
      <c r="H421" s="187" t="n">
        <v>46114</v>
      </c>
      <c r="I421" s="188" t="s">
        <v>113</v>
      </c>
      <c r="J421" s="188" t="s">
        <v>108</v>
      </c>
      <c r="K421" s="188" t="s">
        <v>818</v>
      </c>
      <c r="L421" s="188" t="s">
        <v>286</v>
      </c>
      <c r="M421" s="188" t="s">
        <v>578</v>
      </c>
      <c r="N421" s="188" t="s">
        <v>819</v>
      </c>
      <c r="O421" s="188" t="s">
        <v>244</v>
      </c>
      <c r="P421" s="188" t="s">
        <v>131</v>
      </c>
      <c r="Q421" s="188" t="s">
        <v>145</v>
      </c>
      <c r="R421" s="188" t="s">
        <v>22</v>
      </c>
      <c r="S421" s="188" t="s">
        <v>227</v>
      </c>
      <c r="T421" s="188" t="s">
        <v>352</v>
      </c>
      <c r="U421" s="188" t="s">
        <v>822</v>
      </c>
      <c r="V421" s="188" t="s">
        <v>167</v>
      </c>
      <c r="W421" s="188" t="s">
        <v>124</v>
      </c>
      <c r="X421" s="188" t="s">
        <v>298</v>
      </c>
      <c r="Y421" s="188" t="s">
        <v>1035</v>
      </c>
      <c r="Z421" s="0" t="n">
        <v>2</v>
      </c>
      <c r="AA421" s="188" t="s">
        <v>1095</v>
      </c>
    </row>
    <row r="422" customFormat="false" ht="15" hidden="false" customHeight="true" outlineLevel="0" collapsed="false">
      <c r="A422" s="0" t="n">
        <v>85</v>
      </c>
      <c r="B422" s="187" t="n">
        <v>46133.8198705119</v>
      </c>
      <c r="C422" s="187" t="n">
        <v>46133.8375904193</v>
      </c>
      <c r="D422" s="188" t="s">
        <v>815</v>
      </c>
      <c r="E422" s="188" t="s">
        <v>816</v>
      </c>
      <c r="F422" s="188" t="s">
        <v>816</v>
      </c>
      <c r="G422" s="188" t="s">
        <v>817</v>
      </c>
      <c r="H422" s="187" t="n">
        <v>46114</v>
      </c>
      <c r="I422" s="188" t="s">
        <v>113</v>
      </c>
      <c r="J422" s="188" t="s">
        <v>108</v>
      </c>
      <c r="K422" s="188" t="s">
        <v>818</v>
      </c>
      <c r="L422" s="188" t="s">
        <v>286</v>
      </c>
      <c r="M422" s="188" t="s">
        <v>578</v>
      </c>
      <c r="N422" s="188" t="s">
        <v>819</v>
      </c>
      <c r="O422" s="188" t="s">
        <v>244</v>
      </c>
      <c r="P422" s="188" t="s">
        <v>131</v>
      </c>
      <c r="Q422" s="188" t="s">
        <v>145</v>
      </c>
      <c r="R422" s="188" t="s">
        <v>22</v>
      </c>
      <c r="S422" s="188" t="s">
        <v>227</v>
      </c>
      <c r="T422" s="188" t="s">
        <v>352</v>
      </c>
      <c r="U422" s="188" t="s">
        <v>822</v>
      </c>
      <c r="V422" s="188" t="s">
        <v>167</v>
      </c>
      <c r="W422" s="188" t="s">
        <v>124</v>
      </c>
      <c r="X422" s="188" t="s">
        <v>298</v>
      </c>
      <c r="Y422" s="188" t="s">
        <v>1037</v>
      </c>
      <c r="Z422" s="0" t="n">
        <v>1</v>
      </c>
      <c r="AA422" s="188" t="s">
        <v>1227</v>
      </c>
    </row>
    <row r="423" customFormat="false" ht="15" hidden="false" customHeight="true" outlineLevel="0" collapsed="false">
      <c r="A423" s="0" t="n">
        <v>85</v>
      </c>
      <c r="B423" s="187" t="n">
        <v>46133.8198705119</v>
      </c>
      <c r="C423" s="187" t="n">
        <v>46133.8375904193</v>
      </c>
      <c r="D423" s="188" t="s">
        <v>815</v>
      </c>
      <c r="E423" s="188" t="s">
        <v>816</v>
      </c>
      <c r="F423" s="188" t="s">
        <v>816</v>
      </c>
      <c r="G423" s="188" t="s">
        <v>817</v>
      </c>
      <c r="H423" s="187" t="n">
        <v>46114</v>
      </c>
      <c r="I423" s="188" t="s">
        <v>113</v>
      </c>
      <c r="J423" s="188" t="s">
        <v>108</v>
      </c>
      <c r="K423" s="188" t="s">
        <v>818</v>
      </c>
      <c r="L423" s="188" t="s">
        <v>286</v>
      </c>
      <c r="M423" s="188" t="s">
        <v>578</v>
      </c>
      <c r="N423" s="188" t="s">
        <v>819</v>
      </c>
      <c r="O423" s="188" t="s">
        <v>244</v>
      </c>
      <c r="P423" s="188" t="s">
        <v>131</v>
      </c>
      <c r="Q423" s="188" t="s">
        <v>145</v>
      </c>
      <c r="R423" s="188" t="s">
        <v>22</v>
      </c>
      <c r="S423" s="188" t="s">
        <v>227</v>
      </c>
      <c r="T423" s="188" t="s">
        <v>352</v>
      </c>
      <c r="U423" s="188" t="s">
        <v>822</v>
      </c>
      <c r="V423" s="188" t="s">
        <v>167</v>
      </c>
      <c r="W423" s="188" t="s">
        <v>124</v>
      </c>
      <c r="X423" s="188" t="s">
        <v>298</v>
      </c>
      <c r="Y423" s="188" t="s">
        <v>1037</v>
      </c>
      <c r="Z423" s="0" t="n">
        <v>2</v>
      </c>
      <c r="AA423" s="188" t="s">
        <v>1097</v>
      </c>
    </row>
    <row r="424" customFormat="false" ht="15" hidden="false" customHeight="true" outlineLevel="0" collapsed="false">
      <c r="A424" s="0" t="n">
        <v>85</v>
      </c>
      <c r="B424" s="187" t="n">
        <v>46133.8198705119</v>
      </c>
      <c r="C424" s="187" t="n">
        <v>46133.8375904193</v>
      </c>
      <c r="D424" s="188" t="s">
        <v>815</v>
      </c>
      <c r="E424" s="188" t="s">
        <v>816</v>
      </c>
      <c r="F424" s="188" t="s">
        <v>816</v>
      </c>
      <c r="G424" s="188" t="s">
        <v>817</v>
      </c>
      <c r="H424" s="187" t="n">
        <v>46114</v>
      </c>
      <c r="I424" s="188" t="s">
        <v>113</v>
      </c>
      <c r="J424" s="188" t="s">
        <v>108</v>
      </c>
      <c r="K424" s="188" t="s">
        <v>818</v>
      </c>
      <c r="L424" s="188" t="s">
        <v>286</v>
      </c>
      <c r="M424" s="188" t="s">
        <v>578</v>
      </c>
      <c r="N424" s="188" t="s">
        <v>819</v>
      </c>
      <c r="O424" s="188" t="s">
        <v>244</v>
      </c>
      <c r="P424" s="188" t="s">
        <v>131</v>
      </c>
      <c r="Q424" s="188" t="s">
        <v>145</v>
      </c>
      <c r="R424" s="188" t="s">
        <v>22</v>
      </c>
      <c r="S424" s="188" t="s">
        <v>227</v>
      </c>
      <c r="T424" s="188" t="s">
        <v>352</v>
      </c>
      <c r="U424" s="188" t="s">
        <v>822</v>
      </c>
      <c r="V424" s="188" t="s">
        <v>167</v>
      </c>
      <c r="W424" s="188" t="s">
        <v>124</v>
      </c>
      <c r="X424" s="188" t="s">
        <v>298</v>
      </c>
      <c r="Y424" s="188" t="s">
        <v>1040</v>
      </c>
      <c r="Z424" s="0" t="n">
        <v>1</v>
      </c>
      <c r="AA424" s="188" t="s">
        <v>1187</v>
      </c>
    </row>
    <row r="425" customFormat="false" ht="15" hidden="false" customHeight="true" outlineLevel="0" collapsed="false">
      <c r="A425" s="0" t="n">
        <v>86</v>
      </c>
      <c r="B425" s="187" t="n">
        <v>46177.2270715616</v>
      </c>
      <c r="C425" s="187" t="n">
        <v>46177.2343169319</v>
      </c>
      <c r="D425" s="188" t="s">
        <v>823</v>
      </c>
      <c r="E425" s="188" t="s">
        <v>824</v>
      </c>
      <c r="F425" s="188" t="s">
        <v>824</v>
      </c>
      <c r="G425" s="188" t="s">
        <v>825</v>
      </c>
      <c r="H425" s="187" t="n">
        <v>46165</v>
      </c>
      <c r="I425" s="188" t="s">
        <v>325</v>
      </c>
      <c r="J425" s="188" t="s">
        <v>108</v>
      </c>
      <c r="K425" s="188" t="s">
        <v>826</v>
      </c>
      <c r="L425" s="188" t="s">
        <v>159</v>
      </c>
      <c r="M425" s="188" t="s">
        <v>326</v>
      </c>
      <c r="N425" s="188" t="s">
        <v>827</v>
      </c>
      <c r="O425" s="188" t="s">
        <v>172</v>
      </c>
      <c r="P425" s="188" t="s">
        <v>111</v>
      </c>
      <c r="Q425" s="188" t="s">
        <v>112</v>
      </c>
      <c r="R425" s="188" t="s">
        <v>22</v>
      </c>
      <c r="S425" s="188" t="s">
        <v>227</v>
      </c>
      <c r="T425" s="188" t="s">
        <v>180</v>
      </c>
      <c r="U425" s="188" t="s">
        <v>831</v>
      </c>
      <c r="V425" s="188" t="s">
        <v>192</v>
      </c>
      <c r="W425" s="188" t="s">
        <v>124</v>
      </c>
      <c r="X425" s="188" t="s">
        <v>715</v>
      </c>
      <c r="Y425" s="188" t="s">
        <v>1035</v>
      </c>
      <c r="Z425" s="0" t="n">
        <v>1</v>
      </c>
      <c r="AA425" s="188" t="s">
        <v>1223</v>
      </c>
    </row>
    <row r="426" customFormat="false" ht="15" hidden="false" customHeight="true" outlineLevel="0" collapsed="false">
      <c r="A426" s="0" t="n">
        <v>86</v>
      </c>
      <c r="B426" s="187" t="n">
        <v>46177.2270715616</v>
      </c>
      <c r="C426" s="187" t="n">
        <v>46177.2343169319</v>
      </c>
      <c r="D426" s="188" t="s">
        <v>823</v>
      </c>
      <c r="E426" s="188" t="s">
        <v>824</v>
      </c>
      <c r="F426" s="188" t="s">
        <v>824</v>
      </c>
      <c r="G426" s="188" t="s">
        <v>825</v>
      </c>
      <c r="H426" s="187" t="n">
        <v>46165</v>
      </c>
      <c r="I426" s="188" t="s">
        <v>325</v>
      </c>
      <c r="J426" s="188" t="s">
        <v>108</v>
      </c>
      <c r="K426" s="188" t="s">
        <v>826</v>
      </c>
      <c r="L426" s="188" t="s">
        <v>159</v>
      </c>
      <c r="M426" s="188" t="s">
        <v>326</v>
      </c>
      <c r="N426" s="188" t="s">
        <v>827</v>
      </c>
      <c r="O426" s="188" t="s">
        <v>172</v>
      </c>
      <c r="P426" s="188" t="s">
        <v>111</v>
      </c>
      <c r="Q426" s="188" t="s">
        <v>112</v>
      </c>
      <c r="R426" s="188" t="s">
        <v>22</v>
      </c>
      <c r="S426" s="188" t="s">
        <v>227</v>
      </c>
      <c r="T426" s="188" t="s">
        <v>180</v>
      </c>
      <c r="U426" s="188" t="s">
        <v>831</v>
      </c>
      <c r="V426" s="188" t="s">
        <v>192</v>
      </c>
      <c r="W426" s="188" t="s">
        <v>124</v>
      </c>
      <c r="X426" s="188" t="s">
        <v>715</v>
      </c>
      <c r="Y426" s="188" t="s">
        <v>1035</v>
      </c>
      <c r="Z426" s="0" t="n">
        <v>2</v>
      </c>
      <c r="AA426" s="188" t="s">
        <v>1197</v>
      </c>
    </row>
    <row r="427" customFormat="false" ht="15" hidden="false" customHeight="true" outlineLevel="0" collapsed="false">
      <c r="A427" s="0" t="n">
        <v>86</v>
      </c>
      <c r="B427" s="187" t="n">
        <v>46177.2270715616</v>
      </c>
      <c r="C427" s="187" t="n">
        <v>46177.2343169319</v>
      </c>
      <c r="D427" s="188" t="s">
        <v>823</v>
      </c>
      <c r="E427" s="188" t="s">
        <v>824</v>
      </c>
      <c r="F427" s="188" t="s">
        <v>824</v>
      </c>
      <c r="G427" s="188" t="s">
        <v>825</v>
      </c>
      <c r="H427" s="187" t="n">
        <v>46165</v>
      </c>
      <c r="I427" s="188" t="s">
        <v>325</v>
      </c>
      <c r="J427" s="188" t="s">
        <v>108</v>
      </c>
      <c r="K427" s="188" t="s">
        <v>826</v>
      </c>
      <c r="L427" s="188" t="s">
        <v>159</v>
      </c>
      <c r="M427" s="188" t="s">
        <v>326</v>
      </c>
      <c r="N427" s="188" t="s">
        <v>827</v>
      </c>
      <c r="O427" s="188" t="s">
        <v>172</v>
      </c>
      <c r="P427" s="188" t="s">
        <v>111</v>
      </c>
      <c r="Q427" s="188" t="s">
        <v>112</v>
      </c>
      <c r="R427" s="188" t="s">
        <v>22</v>
      </c>
      <c r="S427" s="188" t="s">
        <v>227</v>
      </c>
      <c r="T427" s="188" t="s">
        <v>180</v>
      </c>
      <c r="U427" s="188" t="s">
        <v>831</v>
      </c>
      <c r="V427" s="188" t="s">
        <v>192</v>
      </c>
      <c r="W427" s="188" t="s">
        <v>124</v>
      </c>
      <c r="X427" s="188" t="s">
        <v>715</v>
      </c>
      <c r="Y427" s="188" t="s">
        <v>1035</v>
      </c>
      <c r="Z427" s="0" t="n">
        <v>3</v>
      </c>
      <c r="AA427" s="188" t="s">
        <v>1228</v>
      </c>
    </row>
    <row r="428" customFormat="false" ht="15" hidden="false" customHeight="true" outlineLevel="0" collapsed="false">
      <c r="A428" s="0" t="n">
        <v>86</v>
      </c>
      <c r="B428" s="187" t="n">
        <v>46177.2270715616</v>
      </c>
      <c r="C428" s="187" t="n">
        <v>46177.2343169319</v>
      </c>
      <c r="D428" s="188" t="s">
        <v>823</v>
      </c>
      <c r="E428" s="188" t="s">
        <v>824</v>
      </c>
      <c r="F428" s="188" t="s">
        <v>824</v>
      </c>
      <c r="G428" s="188" t="s">
        <v>825</v>
      </c>
      <c r="H428" s="187" t="n">
        <v>46165</v>
      </c>
      <c r="I428" s="188" t="s">
        <v>325</v>
      </c>
      <c r="J428" s="188" t="s">
        <v>108</v>
      </c>
      <c r="K428" s="188" t="s">
        <v>826</v>
      </c>
      <c r="L428" s="188" t="s">
        <v>159</v>
      </c>
      <c r="M428" s="188" t="s">
        <v>326</v>
      </c>
      <c r="N428" s="188" t="s">
        <v>827</v>
      </c>
      <c r="O428" s="188" t="s">
        <v>172</v>
      </c>
      <c r="P428" s="188" t="s">
        <v>111</v>
      </c>
      <c r="Q428" s="188" t="s">
        <v>112</v>
      </c>
      <c r="R428" s="188" t="s">
        <v>22</v>
      </c>
      <c r="S428" s="188" t="s">
        <v>227</v>
      </c>
      <c r="T428" s="188" t="s">
        <v>180</v>
      </c>
      <c r="U428" s="188" t="s">
        <v>831</v>
      </c>
      <c r="V428" s="188" t="s">
        <v>192</v>
      </c>
      <c r="W428" s="188" t="s">
        <v>124</v>
      </c>
      <c r="X428" s="188" t="s">
        <v>715</v>
      </c>
      <c r="Y428" s="188" t="s">
        <v>1037</v>
      </c>
      <c r="Z428" s="0" t="n">
        <v>1</v>
      </c>
      <c r="AA428" s="188" t="s">
        <v>1225</v>
      </c>
    </row>
    <row r="429" customFormat="false" ht="15" hidden="false" customHeight="true" outlineLevel="0" collapsed="false">
      <c r="A429" s="0" t="n">
        <v>86</v>
      </c>
      <c r="B429" s="187" t="n">
        <v>46177.2270715616</v>
      </c>
      <c r="C429" s="187" t="n">
        <v>46177.2343169319</v>
      </c>
      <c r="D429" s="188" t="s">
        <v>823</v>
      </c>
      <c r="E429" s="188" t="s">
        <v>824</v>
      </c>
      <c r="F429" s="188" t="s">
        <v>824</v>
      </c>
      <c r="G429" s="188" t="s">
        <v>825</v>
      </c>
      <c r="H429" s="187" t="n">
        <v>46165</v>
      </c>
      <c r="I429" s="188" t="s">
        <v>325</v>
      </c>
      <c r="J429" s="188" t="s">
        <v>108</v>
      </c>
      <c r="K429" s="188" t="s">
        <v>826</v>
      </c>
      <c r="L429" s="188" t="s">
        <v>159</v>
      </c>
      <c r="M429" s="188" t="s">
        <v>326</v>
      </c>
      <c r="N429" s="188" t="s">
        <v>827</v>
      </c>
      <c r="O429" s="188" t="s">
        <v>172</v>
      </c>
      <c r="P429" s="188" t="s">
        <v>111</v>
      </c>
      <c r="Q429" s="188" t="s">
        <v>112</v>
      </c>
      <c r="R429" s="188" t="s">
        <v>22</v>
      </c>
      <c r="S429" s="188" t="s">
        <v>227</v>
      </c>
      <c r="T429" s="188" t="s">
        <v>180</v>
      </c>
      <c r="U429" s="188" t="s">
        <v>831</v>
      </c>
      <c r="V429" s="188" t="s">
        <v>192</v>
      </c>
      <c r="W429" s="188" t="s">
        <v>124</v>
      </c>
      <c r="X429" s="188" t="s">
        <v>715</v>
      </c>
      <c r="Y429" s="188" t="s">
        <v>1037</v>
      </c>
      <c r="Z429" s="0" t="n">
        <v>2</v>
      </c>
      <c r="AA429" s="188" t="s">
        <v>1198</v>
      </c>
    </row>
    <row r="430" customFormat="false" ht="15" hidden="false" customHeight="true" outlineLevel="0" collapsed="false">
      <c r="A430" s="0" t="n">
        <v>86</v>
      </c>
      <c r="B430" s="187" t="n">
        <v>46177.2270715616</v>
      </c>
      <c r="C430" s="187" t="n">
        <v>46177.2343169319</v>
      </c>
      <c r="D430" s="188" t="s">
        <v>823</v>
      </c>
      <c r="E430" s="188" t="s">
        <v>824</v>
      </c>
      <c r="F430" s="188" t="s">
        <v>824</v>
      </c>
      <c r="G430" s="188" t="s">
        <v>825</v>
      </c>
      <c r="H430" s="187" t="n">
        <v>46165</v>
      </c>
      <c r="I430" s="188" t="s">
        <v>325</v>
      </c>
      <c r="J430" s="188" t="s">
        <v>108</v>
      </c>
      <c r="K430" s="188" t="s">
        <v>826</v>
      </c>
      <c r="L430" s="188" t="s">
        <v>159</v>
      </c>
      <c r="M430" s="188" t="s">
        <v>326</v>
      </c>
      <c r="N430" s="188" t="s">
        <v>827</v>
      </c>
      <c r="O430" s="188" t="s">
        <v>172</v>
      </c>
      <c r="P430" s="188" t="s">
        <v>111</v>
      </c>
      <c r="Q430" s="188" t="s">
        <v>112</v>
      </c>
      <c r="R430" s="188" t="s">
        <v>22</v>
      </c>
      <c r="S430" s="188" t="s">
        <v>227</v>
      </c>
      <c r="T430" s="188" t="s">
        <v>180</v>
      </c>
      <c r="U430" s="188" t="s">
        <v>831</v>
      </c>
      <c r="V430" s="188" t="s">
        <v>192</v>
      </c>
      <c r="W430" s="188" t="s">
        <v>124</v>
      </c>
      <c r="X430" s="188" t="s">
        <v>715</v>
      </c>
      <c r="Y430" s="188" t="s">
        <v>1040</v>
      </c>
      <c r="Z430" s="0" t="n">
        <v>1</v>
      </c>
      <c r="AA430" s="188" t="s">
        <v>1229</v>
      </c>
    </row>
    <row r="431" customFormat="false" ht="15" hidden="false" customHeight="true" outlineLevel="0" collapsed="false">
      <c r="A431" s="0" t="n">
        <v>87</v>
      </c>
      <c r="B431" s="187" t="n">
        <v>46127.1098482799</v>
      </c>
      <c r="C431" s="187" t="n">
        <v>46127.1179501318</v>
      </c>
      <c r="D431" s="188" t="s">
        <v>832</v>
      </c>
      <c r="E431" s="188" t="s">
        <v>833</v>
      </c>
      <c r="F431" s="188" t="s">
        <v>833</v>
      </c>
      <c r="G431" s="188" t="s">
        <v>834</v>
      </c>
      <c r="H431" s="187" t="n">
        <v>46123</v>
      </c>
      <c r="I431" s="188" t="s">
        <v>113</v>
      </c>
      <c r="J431" s="188" t="s">
        <v>108</v>
      </c>
      <c r="K431" s="188" t="s">
        <v>173</v>
      </c>
      <c r="L431" s="188" t="s">
        <v>197</v>
      </c>
      <c r="M431" s="188" t="s">
        <v>566</v>
      </c>
      <c r="N431" s="188" t="s">
        <v>259</v>
      </c>
      <c r="O431" s="188" t="s">
        <v>244</v>
      </c>
      <c r="P431" s="188" t="s">
        <v>111</v>
      </c>
      <c r="Q431" s="188" t="s">
        <v>145</v>
      </c>
      <c r="R431" s="188" t="s">
        <v>22</v>
      </c>
      <c r="S431" s="188" t="s">
        <v>152</v>
      </c>
      <c r="T431" s="188" t="s">
        <v>121</v>
      </c>
      <c r="U431" s="188" t="s">
        <v>321</v>
      </c>
      <c r="V431" s="188" t="s">
        <v>123</v>
      </c>
      <c r="W431" s="188" t="s">
        <v>124</v>
      </c>
      <c r="X431" s="188" t="s">
        <v>135</v>
      </c>
      <c r="Y431" s="188" t="s">
        <v>1035</v>
      </c>
      <c r="Z431" s="0" t="n">
        <v>1</v>
      </c>
      <c r="AA431" s="188" t="s">
        <v>1042</v>
      </c>
    </row>
    <row r="432" customFormat="false" ht="15" hidden="false" customHeight="true" outlineLevel="0" collapsed="false">
      <c r="A432" s="0" t="n">
        <v>87</v>
      </c>
      <c r="B432" s="187" t="n">
        <v>46127.1098482799</v>
      </c>
      <c r="C432" s="187" t="n">
        <v>46127.1179501318</v>
      </c>
      <c r="D432" s="188" t="s">
        <v>832</v>
      </c>
      <c r="E432" s="188" t="s">
        <v>833</v>
      </c>
      <c r="F432" s="188" t="s">
        <v>833</v>
      </c>
      <c r="G432" s="188" t="s">
        <v>834</v>
      </c>
      <c r="H432" s="187" t="n">
        <v>46123</v>
      </c>
      <c r="I432" s="188" t="s">
        <v>113</v>
      </c>
      <c r="J432" s="188" t="s">
        <v>108</v>
      </c>
      <c r="K432" s="188" t="s">
        <v>173</v>
      </c>
      <c r="L432" s="188" t="s">
        <v>197</v>
      </c>
      <c r="M432" s="188" t="s">
        <v>566</v>
      </c>
      <c r="N432" s="188" t="s">
        <v>259</v>
      </c>
      <c r="O432" s="188" t="s">
        <v>244</v>
      </c>
      <c r="P432" s="188" t="s">
        <v>111</v>
      </c>
      <c r="Q432" s="188" t="s">
        <v>145</v>
      </c>
      <c r="R432" s="188" t="s">
        <v>22</v>
      </c>
      <c r="S432" s="188" t="s">
        <v>152</v>
      </c>
      <c r="T432" s="188" t="s">
        <v>121</v>
      </c>
      <c r="U432" s="188" t="s">
        <v>321</v>
      </c>
      <c r="V432" s="188" t="s">
        <v>123</v>
      </c>
      <c r="W432" s="188" t="s">
        <v>124</v>
      </c>
      <c r="X432" s="188" t="s">
        <v>135</v>
      </c>
      <c r="Y432" s="188" t="s">
        <v>1035</v>
      </c>
      <c r="Z432" s="0" t="n">
        <v>2</v>
      </c>
      <c r="AA432" s="188" t="s">
        <v>1174</v>
      </c>
    </row>
    <row r="433" customFormat="false" ht="15" hidden="false" customHeight="true" outlineLevel="0" collapsed="false">
      <c r="A433" s="0" t="n">
        <v>87</v>
      </c>
      <c r="B433" s="187" t="n">
        <v>46127.1098482799</v>
      </c>
      <c r="C433" s="187" t="n">
        <v>46127.1179501318</v>
      </c>
      <c r="D433" s="188" t="s">
        <v>832</v>
      </c>
      <c r="E433" s="188" t="s">
        <v>833</v>
      </c>
      <c r="F433" s="188" t="s">
        <v>833</v>
      </c>
      <c r="G433" s="188" t="s">
        <v>834</v>
      </c>
      <c r="H433" s="187" t="n">
        <v>46123</v>
      </c>
      <c r="I433" s="188" t="s">
        <v>113</v>
      </c>
      <c r="J433" s="188" t="s">
        <v>108</v>
      </c>
      <c r="K433" s="188" t="s">
        <v>173</v>
      </c>
      <c r="L433" s="188" t="s">
        <v>197</v>
      </c>
      <c r="M433" s="188" t="s">
        <v>566</v>
      </c>
      <c r="N433" s="188" t="s">
        <v>259</v>
      </c>
      <c r="O433" s="188" t="s">
        <v>244</v>
      </c>
      <c r="P433" s="188" t="s">
        <v>111</v>
      </c>
      <c r="Q433" s="188" t="s">
        <v>145</v>
      </c>
      <c r="R433" s="188" t="s">
        <v>22</v>
      </c>
      <c r="S433" s="188" t="s">
        <v>152</v>
      </c>
      <c r="T433" s="188" t="s">
        <v>121</v>
      </c>
      <c r="U433" s="188" t="s">
        <v>321</v>
      </c>
      <c r="V433" s="188" t="s">
        <v>123</v>
      </c>
      <c r="W433" s="188" t="s">
        <v>124</v>
      </c>
      <c r="X433" s="188" t="s">
        <v>135</v>
      </c>
      <c r="Y433" s="188" t="s">
        <v>1037</v>
      </c>
      <c r="Z433" s="0" t="n">
        <v>1</v>
      </c>
      <c r="AA433" s="188" t="s">
        <v>1164</v>
      </c>
    </row>
    <row r="434" customFormat="false" ht="15" hidden="false" customHeight="true" outlineLevel="0" collapsed="false">
      <c r="A434" s="0" t="n">
        <v>87</v>
      </c>
      <c r="B434" s="187" t="n">
        <v>46127.1098482799</v>
      </c>
      <c r="C434" s="187" t="n">
        <v>46127.1179501318</v>
      </c>
      <c r="D434" s="188" t="s">
        <v>832</v>
      </c>
      <c r="E434" s="188" t="s">
        <v>833</v>
      </c>
      <c r="F434" s="188" t="s">
        <v>833</v>
      </c>
      <c r="G434" s="188" t="s">
        <v>834</v>
      </c>
      <c r="H434" s="187" t="n">
        <v>46123</v>
      </c>
      <c r="I434" s="188" t="s">
        <v>113</v>
      </c>
      <c r="J434" s="188" t="s">
        <v>108</v>
      </c>
      <c r="K434" s="188" t="s">
        <v>173</v>
      </c>
      <c r="L434" s="188" t="s">
        <v>197</v>
      </c>
      <c r="M434" s="188" t="s">
        <v>566</v>
      </c>
      <c r="N434" s="188" t="s">
        <v>259</v>
      </c>
      <c r="O434" s="188" t="s">
        <v>244</v>
      </c>
      <c r="P434" s="188" t="s">
        <v>111</v>
      </c>
      <c r="Q434" s="188" t="s">
        <v>145</v>
      </c>
      <c r="R434" s="188" t="s">
        <v>22</v>
      </c>
      <c r="S434" s="188" t="s">
        <v>152</v>
      </c>
      <c r="T434" s="188" t="s">
        <v>121</v>
      </c>
      <c r="U434" s="188" t="s">
        <v>321</v>
      </c>
      <c r="V434" s="188" t="s">
        <v>123</v>
      </c>
      <c r="W434" s="188" t="s">
        <v>124</v>
      </c>
      <c r="X434" s="188" t="s">
        <v>135</v>
      </c>
      <c r="Y434" s="188" t="s">
        <v>1037</v>
      </c>
      <c r="Z434" s="0" t="n">
        <v>2</v>
      </c>
      <c r="AA434" s="188" t="s">
        <v>1156</v>
      </c>
    </row>
    <row r="435" customFormat="false" ht="15" hidden="false" customHeight="true" outlineLevel="0" collapsed="false">
      <c r="A435" s="0" t="n">
        <v>87</v>
      </c>
      <c r="B435" s="187" t="n">
        <v>46127.1098482799</v>
      </c>
      <c r="C435" s="187" t="n">
        <v>46127.1179501318</v>
      </c>
      <c r="D435" s="188" t="s">
        <v>832</v>
      </c>
      <c r="E435" s="188" t="s">
        <v>833</v>
      </c>
      <c r="F435" s="188" t="s">
        <v>833</v>
      </c>
      <c r="G435" s="188" t="s">
        <v>834</v>
      </c>
      <c r="H435" s="187" t="n">
        <v>46123</v>
      </c>
      <c r="I435" s="188" t="s">
        <v>113</v>
      </c>
      <c r="J435" s="188" t="s">
        <v>108</v>
      </c>
      <c r="K435" s="188" t="s">
        <v>173</v>
      </c>
      <c r="L435" s="188" t="s">
        <v>197</v>
      </c>
      <c r="M435" s="188" t="s">
        <v>566</v>
      </c>
      <c r="N435" s="188" t="s">
        <v>259</v>
      </c>
      <c r="O435" s="188" t="s">
        <v>244</v>
      </c>
      <c r="P435" s="188" t="s">
        <v>111</v>
      </c>
      <c r="Q435" s="188" t="s">
        <v>145</v>
      </c>
      <c r="R435" s="188" t="s">
        <v>22</v>
      </c>
      <c r="S435" s="188" t="s">
        <v>152</v>
      </c>
      <c r="T435" s="188" t="s">
        <v>121</v>
      </c>
      <c r="U435" s="188" t="s">
        <v>321</v>
      </c>
      <c r="V435" s="188" t="s">
        <v>123</v>
      </c>
      <c r="W435" s="188" t="s">
        <v>124</v>
      </c>
      <c r="X435" s="188" t="s">
        <v>135</v>
      </c>
      <c r="Y435" s="188" t="s">
        <v>1040</v>
      </c>
      <c r="Z435" s="0" t="n">
        <v>1</v>
      </c>
      <c r="AA435" s="188" t="s">
        <v>1175</v>
      </c>
    </row>
    <row r="436" customFormat="false" ht="15" hidden="false" customHeight="true" outlineLevel="0" collapsed="false">
      <c r="A436" s="0" t="n">
        <v>87</v>
      </c>
      <c r="B436" s="187" t="n">
        <v>46127.1098482799</v>
      </c>
      <c r="C436" s="187" t="n">
        <v>46127.1179501318</v>
      </c>
      <c r="D436" s="188" t="s">
        <v>832</v>
      </c>
      <c r="E436" s="188" t="s">
        <v>833</v>
      </c>
      <c r="F436" s="188" t="s">
        <v>833</v>
      </c>
      <c r="G436" s="188" t="s">
        <v>834</v>
      </c>
      <c r="H436" s="187" t="n">
        <v>46123</v>
      </c>
      <c r="I436" s="188" t="s">
        <v>113</v>
      </c>
      <c r="J436" s="188" t="s">
        <v>108</v>
      </c>
      <c r="K436" s="188" t="s">
        <v>173</v>
      </c>
      <c r="L436" s="188" t="s">
        <v>197</v>
      </c>
      <c r="M436" s="188" t="s">
        <v>566</v>
      </c>
      <c r="N436" s="188" t="s">
        <v>259</v>
      </c>
      <c r="O436" s="188" t="s">
        <v>244</v>
      </c>
      <c r="P436" s="188" t="s">
        <v>111</v>
      </c>
      <c r="Q436" s="188" t="s">
        <v>145</v>
      </c>
      <c r="R436" s="188" t="s">
        <v>22</v>
      </c>
      <c r="S436" s="188" t="s">
        <v>152</v>
      </c>
      <c r="T436" s="188" t="s">
        <v>121</v>
      </c>
      <c r="U436" s="188" t="s">
        <v>321</v>
      </c>
      <c r="V436" s="188" t="s">
        <v>123</v>
      </c>
      <c r="W436" s="188" t="s">
        <v>124</v>
      </c>
      <c r="X436" s="188" t="s">
        <v>135</v>
      </c>
      <c r="Y436" s="188" t="s">
        <v>1040</v>
      </c>
      <c r="Z436" s="0" t="n">
        <v>2</v>
      </c>
      <c r="AA436" s="188" t="s">
        <v>1230</v>
      </c>
    </row>
    <row r="437" customFormat="false" ht="15" hidden="false" customHeight="true" outlineLevel="0" collapsed="false">
      <c r="A437" s="0" t="n">
        <v>88</v>
      </c>
      <c r="B437" s="187" t="n">
        <v>46127.8906712201</v>
      </c>
      <c r="C437" s="187" t="n">
        <v>46127.9075925164</v>
      </c>
      <c r="D437" s="188" t="s">
        <v>838</v>
      </c>
      <c r="E437" s="188" t="s">
        <v>839</v>
      </c>
      <c r="F437" s="188" t="s">
        <v>839</v>
      </c>
      <c r="G437" s="188" t="s">
        <v>840</v>
      </c>
      <c r="H437" s="187" t="n">
        <v>46127</v>
      </c>
      <c r="I437" s="188" t="s">
        <v>113</v>
      </c>
      <c r="J437" s="188" t="s">
        <v>108</v>
      </c>
      <c r="K437" s="188" t="s">
        <v>196</v>
      </c>
      <c r="L437" s="188" t="s">
        <v>246</v>
      </c>
      <c r="M437" s="188" t="s">
        <v>406</v>
      </c>
      <c r="N437" s="188" t="s">
        <v>841</v>
      </c>
      <c r="O437" s="188" t="s">
        <v>107</v>
      </c>
      <c r="P437" s="188" t="s">
        <v>111</v>
      </c>
      <c r="Q437" s="188" t="s">
        <v>112</v>
      </c>
      <c r="R437" s="188" t="s">
        <v>22</v>
      </c>
      <c r="S437" s="188" t="s">
        <v>152</v>
      </c>
      <c r="T437" s="188" t="s">
        <v>121</v>
      </c>
      <c r="U437" s="188" t="s">
        <v>122</v>
      </c>
      <c r="V437" s="188" t="s">
        <v>167</v>
      </c>
      <c r="W437" s="188" t="s">
        <v>124</v>
      </c>
      <c r="X437" s="188" t="s">
        <v>381</v>
      </c>
      <c r="Y437" s="188" t="s">
        <v>1035</v>
      </c>
      <c r="Z437" s="0" t="n">
        <v>1</v>
      </c>
      <c r="AA437" s="188" t="s">
        <v>1221</v>
      </c>
    </row>
    <row r="438" customFormat="false" ht="15" hidden="false" customHeight="true" outlineLevel="0" collapsed="false">
      <c r="A438" s="0" t="n">
        <v>88</v>
      </c>
      <c r="B438" s="187" t="n">
        <v>46127.8906712201</v>
      </c>
      <c r="C438" s="187" t="n">
        <v>46127.9075925164</v>
      </c>
      <c r="D438" s="188" t="s">
        <v>838</v>
      </c>
      <c r="E438" s="188" t="s">
        <v>839</v>
      </c>
      <c r="F438" s="188" t="s">
        <v>839</v>
      </c>
      <c r="G438" s="188" t="s">
        <v>840</v>
      </c>
      <c r="H438" s="187" t="n">
        <v>46127</v>
      </c>
      <c r="I438" s="188" t="s">
        <v>113</v>
      </c>
      <c r="J438" s="188" t="s">
        <v>108</v>
      </c>
      <c r="K438" s="188" t="s">
        <v>196</v>
      </c>
      <c r="L438" s="188" t="s">
        <v>246</v>
      </c>
      <c r="M438" s="188" t="s">
        <v>406</v>
      </c>
      <c r="N438" s="188" t="s">
        <v>841</v>
      </c>
      <c r="O438" s="188" t="s">
        <v>107</v>
      </c>
      <c r="P438" s="188" t="s">
        <v>111</v>
      </c>
      <c r="Q438" s="188" t="s">
        <v>112</v>
      </c>
      <c r="R438" s="188" t="s">
        <v>22</v>
      </c>
      <c r="S438" s="188" t="s">
        <v>152</v>
      </c>
      <c r="T438" s="188" t="s">
        <v>121</v>
      </c>
      <c r="U438" s="188" t="s">
        <v>122</v>
      </c>
      <c r="V438" s="188" t="s">
        <v>167</v>
      </c>
      <c r="W438" s="188" t="s">
        <v>124</v>
      </c>
      <c r="X438" s="188" t="s">
        <v>381</v>
      </c>
      <c r="Y438" s="188" t="s">
        <v>1037</v>
      </c>
      <c r="Z438" s="0" t="n">
        <v>1</v>
      </c>
      <c r="AA438" s="188" t="s">
        <v>1222</v>
      </c>
    </row>
    <row r="439" customFormat="false" ht="15" hidden="false" customHeight="true" outlineLevel="0" collapsed="false">
      <c r="A439" s="0" t="n">
        <v>88</v>
      </c>
      <c r="B439" s="187" t="n">
        <v>46127.8906712201</v>
      </c>
      <c r="C439" s="187" t="n">
        <v>46127.9075925164</v>
      </c>
      <c r="D439" s="188" t="s">
        <v>838</v>
      </c>
      <c r="E439" s="188" t="s">
        <v>839</v>
      </c>
      <c r="F439" s="188" t="s">
        <v>839</v>
      </c>
      <c r="G439" s="188" t="s">
        <v>840</v>
      </c>
      <c r="H439" s="187" t="n">
        <v>46127</v>
      </c>
      <c r="I439" s="188" t="s">
        <v>113</v>
      </c>
      <c r="J439" s="188" t="s">
        <v>108</v>
      </c>
      <c r="K439" s="188" t="s">
        <v>196</v>
      </c>
      <c r="L439" s="188" t="s">
        <v>246</v>
      </c>
      <c r="M439" s="188" t="s">
        <v>406</v>
      </c>
      <c r="N439" s="188" t="s">
        <v>841</v>
      </c>
      <c r="O439" s="188" t="s">
        <v>107</v>
      </c>
      <c r="P439" s="188" t="s">
        <v>111</v>
      </c>
      <c r="Q439" s="188" t="s">
        <v>112</v>
      </c>
      <c r="R439" s="188" t="s">
        <v>22</v>
      </c>
      <c r="S439" s="188" t="s">
        <v>152</v>
      </c>
      <c r="T439" s="188" t="s">
        <v>121</v>
      </c>
      <c r="U439" s="188" t="s">
        <v>122</v>
      </c>
      <c r="V439" s="188" t="s">
        <v>167</v>
      </c>
      <c r="W439" s="188" t="s">
        <v>124</v>
      </c>
      <c r="X439" s="188" t="s">
        <v>381</v>
      </c>
      <c r="Y439" s="188" t="s">
        <v>1037</v>
      </c>
      <c r="Z439" s="0" t="n">
        <v>2</v>
      </c>
      <c r="AA439" s="188" t="s">
        <v>1132</v>
      </c>
    </row>
    <row r="440" customFormat="false" ht="15" hidden="false" customHeight="true" outlineLevel="0" collapsed="false">
      <c r="A440" s="0" t="n">
        <v>88</v>
      </c>
      <c r="B440" s="187" t="n">
        <v>46127.8906712201</v>
      </c>
      <c r="C440" s="187" t="n">
        <v>46127.9075925164</v>
      </c>
      <c r="D440" s="188" t="s">
        <v>838</v>
      </c>
      <c r="E440" s="188" t="s">
        <v>839</v>
      </c>
      <c r="F440" s="188" t="s">
        <v>839</v>
      </c>
      <c r="G440" s="188" t="s">
        <v>840</v>
      </c>
      <c r="H440" s="187" t="n">
        <v>46127</v>
      </c>
      <c r="I440" s="188" t="s">
        <v>113</v>
      </c>
      <c r="J440" s="188" t="s">
        <v>108</v>
      </c>
      <c r="K440" s="188" t="s">
        <v>196</v>
      </c>
      <c r="L440" s="188" t="s">
        <v>246</v>
      </c>
      <c r="M440" s="188" t="s">
        <v>406</v>
      </c>
      <c r="N440" s="188" t="s">
        <v>841</v>
      </c>
      <c r="O440" s="188" t="s">
        <v>107</v>
      </c>
      <c r="P440" s="188" t="s">
        <v>111</v>
      </c>
      <c r="Q440" s="188" t="s">
        <v>112</v>
      </c>
      <c r="R440" s="188" t="s">
        <v>22</v>
      </c>
      <c r="S440" s="188" t="s">
        <v>152</v>
      </c>
      <c r="T440" s="188" t="s">
        <v>121</v>
      </c>
      <c r="U440" s="188" t="s">
        <v>122</v>
      </c>
      <c r="V440" s="188" t="s">
        <v>167</v>
      </c>
      <c r="W440" s="188" t="s">
        <v>124</v>
      </c>
      <c r="X440" s="188" t="s">
        <v>381</v>
      </c>
      <c r="Y440" s="188" t="s">
        <v>1040</v>
      </c>
      <c r="Z440" s="0" t="n">
        <v>1</v>
      </c>
      <c r="AA440" s="188" t="s">
        <v>1153</v>
      </c>
    </row>
    <row r="441" customFormat="false" ht="15" hidden="false" customHeight="true" outlineLevel="0" collapsed="false">
      <c r="A441" s="0" t="n">
        <v>89</v>
      </c>
      <c r="B441" s="187" t="n">
        <v>46156.6090361605</v>
      </c>
      <c r="C441" s="187" t="n">
        <v>46156.6248810679</v>
      </c>
      <c r="D441" s="188" t="s">
        <v>845</v>
      </c>
      <c r="E441" s="188" t="s">
        <v>846</v>
      </c>
      <c r="F441" s="188" t="s">
        <v>846</v>
      </c>
      <c r="G441" s="188" t="s">
        <v>847</v>
      </c>
      <c r="H441" s="187" t="n">
        <v>46145</v>
      </c>
      <c r="I441" s="188" t="s">
        <v>113</v>
      </c>
      <c r="J441" s="188" t="s">
        <v>108</v>
      </c>
      <c r="K441" s="188" t="s">
        <v>848</v>
      </c>
      <c r="L441" s="188" t="s">
        <v>159</v>
      </c>
      <c r="M441" s="188" t="s">
        <v>439</v>
      </c>
      <c r="N441" s="188" t="s">
        <v>849</v>
      </c>
      <c r="O441" s="188" t="s">
        <v>278</v>
      </c>
      <c r="P441" s="188" t="s">
        <v>111</v>
      </c>
      <c r="Q441" s="188" t="s">
        <v>112</v>
      </c>
      <c r="R441" s="188" t="s">
        <v>22</v>
      </c>
      <c r="S441" s="188" t="s">
        <v>152</v>
      </c>
      <c r="T441" s="188" t="s">
        <v>180</v>
      </c>
      <c r="U441" s="188" t="s">
        <v>853</v>
      </c>
      <c r="V441" s="188" t="s">
        <v>192</v>
      </c>
      <c r="W441" s="188" t="s">
        <v>124</v>
      </c>
      <c r="X441" s="188" t="s">
        <v>148</v>
      </c>
      <c r="Y441" s="188" t="s">
        <v>1035</v>
      </c>
      <c r="Z441" s="0" t="n">
        <v>1</v>
      </c>
      <c r="AA441" s="188" t="s">
        <v>1093</v>
      </c>
    </row>
    <row r="442" customFormat="false" ht="15" hidden="false" customHeight="true" outlineLevel="0" collapsed="false">
      <c r="A442" s="0" t="n">
        <v>89</v>
      </c>
      <c r="B442" s="187" t="n">
        <v>46156.6090361605</v>
      </c>
      <c r="C442" s="187" t="n">
        <v>46156.6248810679</v>
      </c>
      <c r="D442" s="188" t="s">
        <v>845</v>
      </c>
      <c r="E442" s="188" t="s">
        <v>846</v>
      </c>
      <c r="F442" s="188" t="s">
        <v>846</v>
      </c>
      <c r="G442" s="188" t="s">
        <v>847</v>
      </c>
      <c r="H442" s="187" t="n">
        <v>46145</v>
      </c>
      <c r="I442" s="188" t="s">
        <v>113</v>
      </c>
      <c r="J442" s="188" t="s">
        <v>108</v>
      </c>
      <c r="K442" s="188" t="s">
        <v>848</v>
      </c>
      <c r="L442" s="188" t="s">
        <v>159</v>
      </c>
      <c r="M442" s="188" t="s">
        <v>439</v>
      </c>
      <c r="N442" s="188" t="s">
        <v>849</v>
      </c>
      <c r="O442" s="188" t="s">
        <v>278</v>
      </c>
      <c r="P442" s="188" t="s">
        <v>111</v>
      </c>
      <c r="Q442" s="188" t="s">
        <v>112</v>
      </c>
      <c r="R442" s="188" t="s">
        <v>22</v>
      </c>
      <c r="S442" s="188" t="s">
        <v>152</v>
      </c>
      <c r="T442" s="188" t="s">
        <v>180</v>
      </c>
      <c r="U442" s="188" t="s">
        <v>853</v>
      </c>
      <c r="V442" s="188" t="s">
        <v>192</v>
      </c>
      <c r="W442" s="188" t="s">
        <v>124</v>
      </c>
      <c r="X442" s="188" t="s">
        <v>148</v>
      </c>
      <c r="Y442" s="188" t="s">
        <v>1035</v>
      </c>
      <c r="Z442" s="0" t="n">
        <v>2</v>
      </c>
      <c r="AA442" s="188" t="s">
        <v>1158</v>
      </c>
    </row>
    <row r="443" customFormat="false" ht="15" hidden="false" customHeight="true" outlineLevel="0" collapsed="false">
      <c r="A443" s="0" t="n">
        <v>89</v>
      </c>
      <c r="B443" s="187" t="n">
        <v>46156.6090361605</v>
      </c>
      <c r="C443" s="187" t="n">
        <v>46156.6248810679</v>
      </c>
      <c r="D443" s="188" t="s">
        <v>845</v>
      </c>
      <c r="E443" s="188" t="s">
        <v>846</v>
      </c>
      <c r="F443" s="188" t="s">
        <v>846</v>
      </c>
      <c r="G443" s="188" t="s">
        <v>847</v>
      </c>
      <c r="H443" s="187" t="n">
        <v>46145</v>
      </c>
      <c r="I443" s="188" t="s">
        <v>113</v>
      </c>
      <c r="J443" s="188" t="s">
        <v>108</v>
      </c>
      <c r="K443" s="188" t="s">
        <v>848</v>
      </c>
      <c r="L443" s="188" t="s">
        <v>159</v>
      </c>
      <c r="M443" s="188" t="s">
        <v>439</v>
      </c>
      <c r="N443" s="188" t="s">
        <v>849</v>
      </c>
      <c r="O443" s="188" t="s">
        <v>278</v>
      </c>
      <c r="P443" s="188" t="s">
        <v>111</v>
      </c>
      <c r="Q443" s="188" t="s">
        <v>112</v>
      </c>
      <c r="R443" s="188" t="s">
        <v>22</v>
      </c>
      <c r="S443" s="188" t="s">
        <v>152</v>
      </c>
      <c r="T443" s="188" t="s">
        <v>180</v>
      </c>
      <c r="U443" s="188" t="s">
        <v>853</v>
      </c>
      <c r="V443" s="188" t="s">
        <v>192</v>
      </c>
      <c r="W443" s="188" t="s">
        <v>124</v>
      </c>
      <c r="X443" s="188" t="s">
        <v>148</v>
      </c>
      <c r="Y443" s="188" t="s">
        <v>1035</v>
      </c>
      <c r="Z443" s="0" t="n">
        <v>3</v>
      </c>
      <c r="AA443" s="188" t="s">
        <v>1063</v>
      </c>
    </row>
    <row r="444" customFormat="false" ht="15" hidden="false" customHeight="true" outlineLevel="0" collapsed="false">
      <c r="A444" s="0" t="n">
        <v>89</v>
      </c>
      <c r="B444" s="187" t="n">
        <v>46156.6090361605</v>
      </c>
      <c r="C444" s="187" t="n">
        <v>46156.6248810679</v>
      </c>
      <c r="D444" s="188" t="s">
        <v>845</v>
      </c>
      <c r="E444" s="188" t="s">
        <v>846</v>
      </c>
      <c r="F444" s="188" t="s">
        <v>846</v>
      </c>
      <c r="G444" s="188" t="s">
        <v>847</v>
      </c>
      <c r="H444" s="187" t="n">
        <v>46145</v>
      </c>
      <c r="I444" s="188" t="s">
        <v>113</v>
      </c>
      <c r="J444" s="188" t="s">
        <v>108</v>
      </c>
      <c r="K444" s="188" t="s">
        <v>848</v>
      </c>
      <c r="L444" s="188" t="s">
        <v>159</v>
      </c>
      <c r="M444" s="188" t="s">
        <v>439</v>
      </c>
      <c r="N444" s="188" t="s">
        <v>849</v>
      </c>
      <c r="O444" s="188" t="s">
        <v>278</v>
      </c>
      <c r="P444" s="188" t="s">
        <v>111</v>
      </c>
      <c r="Q444" s="188" t="s">
        <v>112</v>
      </c>
      <c r="R444" s="188" t="s">
        <v>22</v>
      </c>
      <c r="S444" s="188" t="s">
        <v>152</v>
      </c>
      <c r="T444" s="188" t="s">
        <v>180</v>
      </c>
      <c r="U444" s="188" t="s">
        <v>853</v>
      </c>
      <c r="V444" s="188" t="s">
        <v>192</v>
      </c>
      <c r="W444" s="188" t="s">
        <v>124</v>
      </c>
      <c r="X444" s="188" t="s">
        <v>148</v>
      </c>
      <c r="Y444" s="188" t="s">
        <v>1037</v>
      </c>
      <c r="Z444" s="0" t="n">
        <v>1</v>
      </c>
      <c r="AA444" s="188" t="s">
        <v>1048</v>
      </c>
    </row>
    <row r="445" customFormat="false" ht="15" hidden="false" customHeight="true" outlineLevel="0" collapsed="false">
      <c r="A445" s="0" t="n">
        <v>89</v>
      </c>
      <c r="B445" s="187" t="n">
        <v>46156.6090361605</v>
      </c>
      <c r="C445" s="187" t="n">
        <v>46156.6248810679</v>
      </c>
      <c r="D445" s="188" t="s">
        <v>845</v>
      </c>
      <c r="E445" s="188" t="s">
        <v>846</v>
      </c>
      <c r="F445" s="188" t="s">
        <v>846</v>
      </c>
      <c r="G445" s="188" t="s">
        <v>847</v>
      </c>
      <c r="H445" s="187" t="n">
        <v>46145</v>
      </c>
      <c r="I445" s="188" t="s">
        <v>113</v>
      </c>
      <c r="J445" s="188" t="s">
        <v>108</v>
      </c>
      <c r="K445" s="188" t="s">
        <v>848</v>
      </c>
      <c r="L445" s="188" t="s">
        <v>159</v>
      </c>
      <c r="M445" s="188" t="s">
        <v>439</v>
      </c>
      <c r="N445" s="188" t="s">
        <v>849</v>
      </c>
      <c r="O445" s="188" t="s">
        <v>278</v>
      </c>
      <c r="P445" s="188" t="s">
        <v>111</v>
      </c>
      <c r="Q445" s="188" t="s">
        <v>112</v>
      </c>
      <c r="R445" s="188" t="s">
        <v>22</v>
      </c>
      <c r="S445" s="188" t="s">
        <v>152</v>
      </c>
      <c r="T445" s="188" t="s">
        <v>180</v>
      </c>
      <c r="U445" s="188" t="s">
        <v>853</v>
      </c>
      <c r="V445" s="188" t="s">
        <v>192</v>
      </c>
      <c r="W445" s="188" t="s">
        <v>124</v>
      </c>
      <c r="X445" s="188" t="s">
        <v>148</v>
      </c>
      <c r="Y445" s="188" t="s">
        <v>1037</v>
      </c>
      <c r="Z445" s="0" t="n">
        <v>2</v>
      </c>
      <c r="AA445" s="188" t="s">
        <v>122</v>
      </c>
    </row>
    <row r="446" customFormat="false" ht="15" hidden="false" customHeight="true" outlineLevel="0" collapsed="false">
      <c r="A446" s="0" t="n">
        <v>89</v>
      </c>
      <c r="B446" s="187" t="n">
        <v>46156.6090361605</v>
      </c>
      <c r="C446" s="187" t="n">
        <v>46156.6248810679</v>
      </c>
      <c r="D446" s="188" t="s">
        <v>845</v>
      </c>
      <c r="E446" s="188" t="s">
        <v>846</v>
      </c>
      <c r="F446" s="188" t="s">
        <v>846</v>
      </c>
      <c r="G446" s="188" t="s">
        <v>847</v>
      </c>
      <c r="H446" s="187" t="n">
        <v>46145</v>
      </c>
      <c r="I446" s="188" t="s">
        <v>113</v>
      </c>
      <c r="J446" s="188" t="s">
        <v>108</v>
      </c>
      <c r="K446" s="188" t="s">
        <v>848</v>
      </c>
      <c r="L446" s="188" t="s">
        <v>159</v>
      </c>
      <c r="M446" s="188" t="s">
        <v>439</v>
      </c>
      <c r="N446" s="188" t="s">
        <v>849</v>
      </c>
      <c r="O446" s="188" t="s">
        <v>278</v>
      </c>
      <c r="P446" s="188" t="s">
        <v>111</v>
      </c>
      <c r="Q446" s="188" t="s">
        <v>112</v>
      </c>
      <c r="R446" s="188" t="s">
        <v>22</v>
      </c>
      <c r="S446" s="188" t="s">
        <v>152</v>
      </c>
      <c r="T446" s="188" t="s">
        <v>180</v>
      </c>
      <c r="U446" s="188" t="s">
        <v>853</v>
      </c>
      <c r="V446" s="188" t="s">
        <v>192</v>
      </c>
      <c r="W446" s="188" t="s">
        <v>124</v>
      </c>
      <c r="X446" s="188" t="s">
        <v>148</v>
      </c>
      <c r="Y446" s="188" t="s">
        <v>1040</v>
      </c>
      <c r="Z446" s="0" t="n">
        <v>1</v>
      </c>
      <c r="AA446" s="188" t="s">
        <v>1050</v>
      </c>
    </row>
    <row r="447" customFormat="false" ht="15" hidden="false" customHeight="true" outlineLevel="0" collapsed="false">
      <c r="A447" s="0" t="n">
        <v>89</v>
      </c>
      <c r="B447" s="187" t="n">
        <v>46156.6090361605</v>
      </c>
      <c r="C447" s="187" t="n">
        <v>46156.6248810679</v>
      </c>
      <c r="D447" s="188" t="s">
        <v>845</v>
      </c>
      <c r="E447" s="188" t="s">
        <v>846</v>
      </c>
      <c r="F447" s="188" t="s">
        <v>846</v>
      </c>
      <c r="G447" s="188" t="s">
        <v>847</v>
      </c>
      <c r="H447" s="187" t="n">
        <v>46145</v>
      </c>
      <c r="I447" s="188" t="s">
        <v>113</v>
      </c>
      <c r="J447" s="188" t="s">
        <v>108</v>
      </c>
      <c r="K447" s="188" t="s">
        <v>848</v>
      </c>
      <c r="L447" s="188" t="s">
        <v>159</v>
      </c>
      <c r="M447" s="188" t="s">
        <v>439</v>
      </c>
      <c r="N447" s="188" t="s">
        <v>849</v>
      </c>
      <c r="O447" s="188" t="s">
        <v>278</v>
      </c>
      <c r="P447" s="188" t="s">
        <v>111</v>
      </c>
      <c r="Q447" s="188" t="s">
        <v>112</v>
      </c>
      <c r="R447" s="188" t="s">
        <v>22</v>
      </c>
      <c r="S447" s="188" t="s">
        <v>152</v>
      </c>
      <c r="T447" s="188" t="s">
        <v>180</v>
      </c>
      <c r="U447" s="188" t="s">
        <v>853</v>
      </c>
      <c r="V447" s="188" t="s">
        <v>192</v>
      </c>
      <c r="W447" s="188" t="s">
        <v>124</v>
      </c>
      <c r="X447" s="188" t="s">
        <v>148</v>
      </c>
      <c r="Y447" s="188" t="s">
        <v>1040</v>
      </c>
      <c r="Z447" s="0" t="n">
        <v>2</v>
      </c>
      <c r="AA447" s="188" t="s">
        <v>1160</v>
      </c>
    </row>
    <row r="448" customFormat="false" ht="15" hidden="false" customHeight="true" outlineLevel="0" collapsed="false">
      <c r="A448" s="0" t="n">
        <v>90</v>
      </c>
      <c r="B448" s="187" t="n">
        <v>46078.4990315156</v>
      </c>
      <c r="C448" s="187" t="n">
        <v>46078.512688923</v>
      </c>
      <c r="D448" s="188" t="s">
        <v>854</v>
      </c>
      <c r="E448" s="188" t="s">
        <v>855</v>
      </c>
      <c r="F448" s="188" t="s">
        <v>855</v>
      </c>
      <c r="G448" s="188" t="s">
        <v>856</v>
      </c>
      <c r="H448" s="187" t="n">
        <v>46066</v>
      </c>
      <c r="I448" s="188" t="s">
        <v>113</v>
      </c>
      <c r="J448" s="188" t="s">
        <v>108</v>
      </c>
      <c r="K448" s="188" t="s">
        <v>143</v>
      </c>
      <c r="L448" s="188" t="s">
        <v>389</v>
      </c>
      <c r="M448" s="188" t="s">
        <v>365</v>
      </c>
      <c r="N448" s="188" t="s">
        <v>161</v>
      </c>
      <c r="O448" s="188" t="s">
        <v>172</v>
      </c>
      <c r="P448" s="188" t="s">
        <v>111</v>
      </c>
      <c r="Q448" s="188" t="s">
        <v>112</v>
      </c>
      <c r="R448" s="188" t="s">
        <v>24</v>
      </c>
      <c r="S448" s="188" t="s">
        <v>227</v>
      </c>
      <c r="T448" s="188" t="s">
        <v>352</v>
      </c>
      <c r="V448" s="188" t="s">
        <v>123</v>
      </c>
      <c r="W448" s="188" t="s">
        <v>124</v>
      </c>
      <c r="X448" s="188" t="s">
        <v>260</v>
      </c>
      <c r="Y448" s="188" t="s">
        <v>1035</v>
      </c>
      <c r="Z448" s="0" t="n">
        <v>1</v>
      </c>
      <c r="AA448" s="188" t="s">
        <v>122</v>
      </c>
    </row>
    <row r="449" customFormat="false" ht="15" hidden="false" customHeight="true" outlineLevel="0" collapsed="false">
      <c r="A449" s="0" t="n">
        <v>90</v>
      </c>
      <c r="B449" s="187" t="n">
        <v>46078.4990315156</v>
      </c>
      <c r="C449" s="187" t="n">
        <v>46078.512688923</v>
      </c>
      <c r="D449" s="188" t="s">
        <v>854</v>
      </c>
      <c r="E449" s="188" t="s">
        <v>855</v>
      </c>
      <c r="F449" s="188" t="s">
        <v>855</v>
      </c>
      <c r="G449" s="188" t="s">
        <v>856</v>
      </c>
      <c r="H449" s="187" t="n">
        <v>46066</v>
      </c>
      <c r="I449" s="188" t="s">
        <v>113</v>
      </c>
      <c r="J449" s="188" t="s">
        <v>108</v>
      </c>
      <c r="K449" s="188" t="s">
        <v>143</v>
      </c>
      <c r="L449" s="188" t="s">
        <v>389</v>
      </c>
      <c r="M449" s="188" t="s">
        <v>365</v>
      </c>
      <c r="N449" s="188" t="s">
        <v>161</v>
      </c>
      <c r="O449" s="188" t="s">
        <v>172</v>
      </c>
      <c r="P449" s="188" t="s">
        <v>111</v>
      </c>
      <c r="Q449" s="188" t="s">
        <v>112</v>
      </c>
      <c r="R449" s="188" t="s">
        <v>24</v>
      </c>
      <c r="S449" s="188" t="s">
        <v>227</v>
      </c>
      <c r="T449" s="188" t="s">
        <v>352</v>
      </c>
      <c r="V449" s="188" t="s">
        <v>123</v>
      </c>
      <c r="W449" s="188" t="s">
        <v>124</v>
      </c>
      <c r="X449" s="188" t="s">
        <v>260</v>
      </c>
      <c r="Y449" s="188" t="s">
        <v>1035</v>
      </c>
      <c r="Z449" s="0" t="n">
        <v>2</v>
      </c>
      <c r="AA449" s="188" t="s">
        <v>1231</v>
      </c>
    </row>
    <row r="450" customFormat="false" ht="15" hidden="false" customHeight="true" outlineLevel="0" collapsed="false">
      <c r="A450" s="0" t="n">
        <v>90</v>
      </c>
      <c r="B450" s="187" t="n">
        <v>46078.4990315156</v>
      </c>
      <c r="C450" s="187" t="n">
        <v>46078.512688923</v>
      </c>
      <c r="D450" s="188" t="s">
        <v>854</v>
      </c>
      <c r="E450" s="188" t="s">
        <v>855</v>
      </c>
      <c r="F450" s="188" t="s">
        <v>855</v>
      </c>
      <c r="G450" s="188" t="s">
        <v>856</v>
      </c>
      <c r="H450" s="187" t="n">
        <v>46066</v>
      </c>
      <c r="I450" s="188" t="s">
        <v>113</v>
      </c>
      <c r="J450" s="188" t="s">
        <v>108</v>
      </c>
      <c r="K450" s="188" t="s">
        <v>143</v>
      </c>
      <c r="L450" s="188" t="s">
        <v>389</v>
      </c>
      <c r="M450" s="188" t="s">
        <v>365</v>
      </c>
      <c r="N450" s="188" t="s">
        <v>161</v>
      </c>
      <c r="O450" s="188" t="s">
        <v>172</v>
      </c>
      <c r="P450" s="188" t="s">
        <v>111</v>
      </c>
      <c r="Q450" s="188" t="s">
        <v>112</v>
      </c>
      <c r="R450" s="188" t="s">
        <v>24</v>
      </c>
      <c r="S450" s="188" t="s">
        <v>227</v>
      </c>
      <c r="T450" s="188" t="s">
        <v>352</v>
      </c>
      <c r="V450" s="188" t="s">
        <v>123</v>
      </c>
      <c r="W450" s="188" t="s">
        <v>124</v>
      </c>
      <c r="X450" s="188" t="s">
        <v>260</v>
      </c>
      <c r="Y450" s="188" t="s">
        <v>1037</v>
      </c>
      <c r="Z450" s="0" t="n">
        <v>1</v>
      </c>
      <c r="AA450" s="188" t="s">
        <v>606</v>
      </c>
    </row>
    <row r="451" customFormat="false" ht="15" hidden="false" customHeight="true" outlineLevel="0" collapsed="false">
      <c r="A451" s="0" t="n">
        <v>90</v>
      </c>
      <c r="B451" s="187" t="n">
        <v>46078.4990315156</v>
      </c>
      <c r="C451" s="187" t="n">
        <v>46078.512688923</v>
      </c>
      <c r="D451" s="188" t="s">
        <v>854</v>
      </c>
      <c r="E451" s="188" t="s">
        <v>855</v>
      </c>
      <c r="F451" s="188" t="s">
        <v>855</v>
      </c>
      <c r="G451" s="188" t="s">
        <v>856</v>
      </c>
      <c r="H451" s="187" t="n">
        <v>46066</v>
      </c>
      <c r="I451" s="188" t="s">
        <v>113</v>
      </c>
      <c r="J451" s="188" t="s">
        <v>108</v>
      </c>
      <c r="K451" s="188" t="s">
        <v>143</v>
      </c>
      <c r="L451" s="188" t="s">
        <v>389</v>
      </c>
      <c r="M451" s="188" t="s">
        <v>365</v>
      </c>
      <c r="N451" s="188" t="s">
        <v>161</v>
      </c>
      <c r="O451" s="188" t="s">
        <v>172</v>
      </c>
      <c r="P451" s="188" t="s">
        <v>111</v>
      </c>
      <c r="Q451" s="188" t="s">
        <v>112</v>
      </c>
      <c r="R451" s="188" t="s">
        <v>24</v>
      </c>
      <c r="S451" s="188" t="s">
        <v>227</v>
      </c>
      <c r="T451" s="188" t="s">
        <v>352</v>
      </c>
      <c r="V451" s="188" t="s">
        <v>123</v>
      </c>
      <c r="W451" s="188" t="s">
        <v>124</v>
      </c>
      <c r="X451" s="188" t="s">
        <v>260</v>
      </c>
      <c r="Y451" s="188" t="s">
        <v>1037</v>
      </c>
      <c r="Z451" s="0" t="n">
        <v>2</v>
      </c>
      <c r="AA451" s="188" t="s">
        <v>122</v>
      </c>
    </row>
    <row r="452" customFormat="false" ht="15" hidden="false" customHeight="true" outlineLevel="0" collapsed="false">
      <c r="A452" s="0" t="n">
        <v>90</v>
      </c>
      <c r="B452" s="187" t="n">
        <v>46078.4990315156</v>
      </c>
      <c r="C452" s="187" t="n">
        <v>46078.512688923</v>
      </c>
      <c r="D452" s="188" t="s">
        <v>854</v>
      </c>
      <c r="E452" s="188" t="s">
        <v>855</v>
      </c>
      <c r="F452" s="188" t="s">
        <v>855</v>
      </c>
      <c r="G452" s="188" t="s">
        <v>856</v>
      </c>
      <c r="H452" s="187" t="n">
        <v>46066</v>
      </c>
      <c r="I452" s="188" t="s">
        <v>113</v>
      </c>
      <c r="J452" s="188" t="s">
        <v>108</v>
      </c>
      <c r="K452" s="188" t="s">
        <v>143</v>
      </c>
      <c r="L452" s="188" t="s">
        <v>389</v>
      </c>
      <c r="M452" s="188" t="s">
        <v>365</v>
      </c>
      <c r="N452" s="188" t="s">
        <v>161</v>
      </c>
      <c r="O452" s="188" t="s">
        <v>172</v>
      </c>
      <c r="P452" s="188" t="s">
        <v>111</v>
      </c>
      <c r="Q452" s="188" t="s">
        <v>112</v>
      </c>
      <c r="R452" s="188" t="s">
        <v>24</v>
      </c>
      <c r="S452" s="188" t="s">
        <v>227</v>
      </c>
      <c r="T452" s="188" t="s">
        <v>352</v>
      </c>
      <c r="V452" s="188" t="s">
        <v>123</v>
      </c>
      <c r="W452" s="188" t="s">
        <v>124</v>
      </c>
      <c r="X452" s="188" t="s">
        <v>260</v>
      </c>
      <c r="Y452" s="188" t="s">
        <v>1040</v>
      </c>
      <c r="Z452" s="0" t="n">
        <v>1</v>
      </c>
      <c r="AA452" s="188" t="s">
        <v>1232</v>
      </c>
    </row>
    <row r="453" customFormat="false" ht="15" hidden="false" customHeight="true" outlineLevel="0" collapsed="false">
      <c r="A453" s="0" t="n">
        <v>91</v>
      </c>
      <c r="B453" s="187" t="n">
        <v>46109.4541436977</v>
      </c>
      <c r="C453" s="187" t="n">
        <v>46109.4704284199</v>
      </c>
      <c r="D453" s="188" t="s">
        <v>860</v>
      </c>
      <c r="E453" s="188" t="s">
        <v>861</v>
      </c>
      <c r="F453" s="188" t="s">
        <v>861</v>
      </c>
      <c r="G453" s="188" t="s">
        <v>862</v>
      </c>
      <c r="H453" s="187" t="n">
        <v>46096</v>
      </c>
      <c r="I453" s="188" t="s">
        <v>863</v>
      </c>
      <c r="J453" s="188" t="s">
        <v>108</v>
      </c>
      <c r="K453" s="188" t="s">
        <v>364</v>
      </c>
      <c r="L453" s="188" t="s">
        <v>346</v>
      </c>
      <c r="M453" s="188" t="s">
        <v>864</v>
      </c>
      <c r="N453" s="188" t="s">
        <v>234</v>
      </c>
      <c r="O453" s="188" t="s">
        <v>172</v>
      </c>
      <c r="P453" s="188" t="s">
        <v>111</v>
      </c>
      <c r="Q453" s="188" t="s">
        <v>112</v>
      </c>
      <c r="R453" s="188" t="s">
        <v>22</v>
      </c>
      <c r="S453" s="188" t="s">
        <v>152</v>
      </c>
      <c r="T453" s="188" t="s">
        <v>121</v>
      </c>
      <c r="U453" s="188" t="s">
        <v>122</v>
      </c>
      <c r="V453" s="188" t="s">
        <v>123</v>
      </c>
      <c r="W453" s="188" t="s">
        <v>124</v>
      </c>
      <c r="X453" s="188" t="s">
        <v>339</v>
      </c>
      <c r="Y453" s="188" t="s">
        <v>1035</v>
      </c>
      <c r="Z453" s="0" t="n">
        <v>1</v>
      </c>
      <c r="AA453" s="188" t="s">
        <v>1113</v>
      </c>
    </row>
    <row r="454" customFormat="false" ht="15" hidden="false" customHeight="true" outlineLevel="0" collapsed="false">
      <c r="A454" s="0" t="n">
        <v>91</v>
      </c>
      <c r="B454" s="187" t="n">
        <v>46109.4541436977</v>
      </c>
      <c r="C454" s="187" t="n">
        <v>46109.4704284199</v>
      </c>
      <c r="D454" s="188" t="s">
        <v>860</v>
      </c>
      <c r="E454" s="188" t="s">
        <v>861</v>
      </c>
      <c r="F454" s="188" t="s">
        <v>861</v>
      </c>
      <c r="G454" s="188" t="s">
        <v>862</v>
      </c>
      <c r="H454" s="187" t="n">
        <v>46096</v>
      </c>
      <c r="I454" s="188" t="s">
        <v>863</v>
      </c>
      <c r="J454" s="188" t="s">
        <v>108</v>
      </c>
      <c r="K454" s="188" t="s">
        <v>364</v>
      </c>
      <c r="L454" s="188" t="s">
        <v>346</v>
      </c>
      <c r="M454" s="188" t="s">
        <v>864</v>
      </c>
      <c r="N454" s="188" t="s">
        <v>234</v>
      </c>
      <c r="O454" s="188" t="s">
        <v>172</v>
      </c>
      <c r="P454" s="188" t="s">
        <v>111</v>
      </c>
      <c r="Q454" s="188" t="s">
        <v>112</v>
      </c>
      <c r="R454" s="188" t="s">
        <v>22</v>
      </c>
      <c r="S454" s="188" t="s">
        <v>152</v>
      </c>
      <c r="T454" s="188" t="s">
        <v>121</v>
      </c>
      <c r="U454" s="188" t="s">
        <v>122</v>
      </c>
      <c r="V454" s="188" t="s">
        <v>123</v>
      </c>
      <c r="W454" s="188" t="s">
        <v>124</v>
      </c>
      <c r="X454" s="188" t="s">
        <v>339</v>
      </c>
      <c r="Y454" s="188" t="s">
        <v>1035</v>
      </c>
      <c r="Z454" s="0" t="n">
        <v>2</v>
      </c>
      <c r="AA454" s="188" t="s">
        <v>1188</v>
      </c>
    </row>
    <row r="455" customFormat="false" ht="15" hidden="false" customHeight="true" outlineLevel="0" collapsed="false">
      <c r="A455" s="0" t="n">
        <v>91</v>
      </c>
      <c r="B455" s="187" t="n">
        <v>46109.4541436977</v>
      </c>
      <c r="C455" s="187" t="n">
        <v>46109.4704284199</v>
      </c>
      <c r="D455" s="188" t="s">
        <v>860</v>
      </c>
      <c r="E455" s="188" t="s">
        <v>861</v>
      </c>
      <c r="F455" s="188" t="s">
        <v>861</v>
      </c>
      <c r="G455" s="188" t="s">
        <v>862</v>
      </c>
      <c r="H455" s="187" t="n">
        <v>46096</v>
      </c>
      <c r="I455" s="188" t="s">
        <v>863</v>
      </c>
      <c r="J455" s="188" t="s">
        <v>108</v>
      </c>
      <c r="K455" s="188" t="s">
        <v>364</v>
      </c>
      <c r="L455" s="188" t="s">
        <v>346</v>
      </c>
      <c r="M455" s="188" t="s">
        <v>864</v>
      </c>
      <c r="N455" s="188" t="s">
        <v>234</v>
      </c>
      <c r="O455" s="188" t="s">
        <v>172</v>
      </c>
      <c r="P455" s="188" t="s">
        <v>111</v>
      </c>
      <c r="Q455" s="188" t="s">
        <v>112</v>
      </c>
      <c r="R455" s="188" t="s">
        <v>22</v>
      </c>
      <c r="S455" s="188" t="s">
        <v>152</v>
      </c>
      <c r="T455" s="188" t="s">
        <v>121</v>
      </c>
      <c r="U455" s="188" t="s">
        <v>122</v>
      </c>
      <c r="V455" s="188" t="s">
        <v>123</v>
      </c>
      <c r="W455" s="188" t="s">
        <v>124</v>
      </c>
      <c r="X455" s="188" t="s">
        <v>339</v>
      </c>
      <c r="Y455" s="188" t="s">
        <v>1035</v>
      </c>
      <c r="Z455" s="0" t="n">
        <v>3</v>
      </c>
      <c r="AA455" s="188" t="s">
        <v>1141</v>
      </c>
    </row>
    <row r="456" customFormat="false" ht="15" hidden="false" customHeight="true" outlineLevel="0" collapsed="false">
      <c r="A456" s="0" t="n">
        <v>91</v>
      </c>
      <c r="B456" s="187" t="n">
        <v>46109.4541436977</v>
      </c>
      <c r="C456" s="187" t="n">
        <v>46109.4704284199</v>
      </c>
      <c r="D456" s="188" t="s">
        <v>860</v>
      </c>
      <c r="E456" s="188" t="s">
        <v>861</v>
      </c>
      <c r="F456" s="188" t="s">
        <v>861</v>
      </c>
      <c r="G456" s="188" t="s">
        <v>862</v>
      </c>
      <c r="H456" s="187" t="n">
        <v>46096</v>
      </c>
      <c r="I456" s="188" t="s">
        <v>863</v>
      </c>
      <c r="J456" s="188" t="s">
        <v>108</v>
      </c>
      <c r="K456" s="188" t="s">
        <v>364</v>
      </c>
      <c r="L456" s="188" t="s">
        <v>346</v>
      </c>
      <c r="M456" s="188" t="s">
        <v>864</v>
      </c>
      <c r="N456" s="188" t="s">
        <v>234</v>
      </c>
      <c r="O456" s="188" t="s">
        <v>172</v>
      </c>
      <c r="P456" s="188" t="s">
        <v>111</v>
      </c>
      <c r="Q456" s="188" t="s">
        <v>112</v>
      </c>
      <c r="R456" s="188" t="s">
        <v>22</v>
      </c>
      <c r="S456" s="188" t="s">
        <v>152</v>
      </c>
      <c r="T456" s="188" t="s">
        <v>121</v>
      </c>
      <c r="U456" s="188" t="s">
        <v>122</v>
      </c>
      <c r="V456" s="188" t="s">
        <v>123</v>
      </c>
      <c r="W456" s="188" t="s">
        <v>124</v>
      </c>
      <c r="X456" s="188" t="s">
        <v>339</v>
      </c>
      <c r="Y456" s="188" t="s">
        <v>1037</v>
      </c>
      <c r="Z456" s="0" t="n">
        <v>1</v>
      </c>
      <c r="AA456" s="188" t="s">
        <v>1115</v>
      </c>
    </row>
    <row r="457" customFormat="false" ht="15" hidden="false" customHeight="true" outlineLevel="0" collapsed="false">
      <c r="A457" s="0" t="n">
        <v>91</v>
      </c>
      <c r="B457" s="187" t="n">
        <v>46109.4541436977</v>
      </c>
      <c r="C457" s="187" t="n">
        <v>46109.4704284199</v>
      </c>
      <c r="D457" s="188" t="s">
        <v>860</v>
      </c>
      <c r="E457" s="188" t="s">
        <v>861</v>
      </c>
      <c r="F457" s="188" t="s">
        <v>861</v>
      </c>
      <c r="G457" s="188" t="s">
        <v>862</v>
      </c>
      <c r="H457" s="187" t="n">
        <v>46096</v>
      </c>
      <c r="I457" s="188" t="s">
        <v>863</v>
      </c>
      <c r="J457" s="188" t="s">
        <v>108</v>
      </c>
      <c r="K457" s="188" t="s">
        <v>364</v>
      </c>
      <c r="L457" s="188" t="s">
        <v>346</v>
      </c>
      <c r="M457" s="188" t="s">
        <v>864</v>
      </c>
      <c r="N457" s="188" t="s">
        <v>234</v>
      </c>
      <c r="O457" s="188" t="s">
        <v>172</v>
      </c>
      <c r="P457" s="188" t="s">
        <v>111</v>
      </c>
      <c r="Q457" s="188" t="s">
        <v>112</v>
      </c>
      <c r="R457" s="188" t="s">
        <v>22</v>
      </c>
      <c r="S457" s="188" t="s">
        <v>152</v>
      </c>
      <c r="T457" s="188" t="s">
        <v>121</v>
      </c>
      <c r="U457" s="188" t="s">
        <v>122</v>
      </c>
      <c r="V457" s="188" t="s">
        <v>123</v>
      </c>
      <c r="W457" s="188" t="s">
        <v>124</v>
      </c>
      <c r="X457" s="188" t="s">
        <v>339</v>
      </c>
      <c r="Y457" s="188" t="s">
        <v>1037</v>
      </c>
      <c r="Z457" s="0" t="n">
        <v>2</v>
      </c>
      <c r="AA457" s="188" t="s">
        <v>1233</v>
      </c>
    </row>
    <row r="458" customFormat="false" ht="15" hidden="false" customHeight="true" outlineLevel="0" collapsed="false">
      <c r="A458" s="0" t="n">
        <v>91</v>
      </c>
      <c r="B458" s="187" t="n">
        <v>46109.4541436977</v>
      </c>
      <c r="C458" s="187" t="n">
        <v>46109.4704284199</v>
      </c>
      <c r="D458" s="188" t="s">
        <v>860</v>
      </c>
      <c r="E458" s="188" t="s">
        <v>861</v>
      </c>
      <c r="F458" s="188" t="s">
        <v>861</v>
      </c>
      <c r="G458" s="188" t="s">
        <v>862</v>
      </c>
      <c r="H458" s="187" t="n">
        <v>46096</v>
      </c>
      <c r="I458" s="188" t="s">
        <v>863</v>
      </c>
      <c r="J458" s="188" t="s">
        <v>108</v>
      </c>
      <c r="K458" s="188" t="s">
        <v>364</v>
      </c>
      <c r="L458" s="188" t="s">
        <v>346</v>
      </c>
      <c r="M458" s="188" t="s">
        <v>864</v>
      </c>
      <c r="N458" s="188" t="s">
        <v>234</v>
      </c>
      <c r="O458" s="188" t="s">
        <v>172</v>
      </c>
      <c r="P458" s="188" t="s">
        <v>111</v>
      </c>
      <c r="Q458" s="188" t="s">
        <v>112</v>
      </c>
      <c r="R458" s="188" t="s">
        <v>22</v>
      </c>
      <c r="S458" s="188" t="s">
        <v>152</v>
      </c>
      <c r="T458" s="188" t="s">
        <v>121</v>
      </c>
      <c r="U458" s="188" t="s">
        <v>122</v>
      </c>
      <c r="V458" s="188" t="s">
        <v>123</v>
      </c>
      <c r="W458" s="188" t="s">
        <v>124</v>
      </c>
      <c r="X458" s="188" t="s">
        <v>339</v>
      </c>
      <c r="Y458" s="188" t="s">
        <v>1040</v>
      </c>
      <c r="Z458" s="0" t="n">
        <v>1</v>
      </c>
      <c r="AA458" s="188" t="s">
        <v>1189</v>
      </c>
    </row>
    <row r="459" customFormat="false" ht="15" hidden="false" customHeight="true" outlineLevel="0" collapsed="false">
      <c r="A459" s="0" t="n">
        <v>92</v>
      </c>
      <c r="B459" s="187" t="n">
        <v>46106.7550109026</v>
      </c>
      <c r="C459" s="187" t="n">
        <v>46106.7730201619</v>
      </c>
      <c r="D459" s="188" t="s">
        <v>867</v>
      </c>
      <c r="E459" s="188" t="s">
        <v>868</v>
      </c>
      <c r="F459" s="188" t="s">
        <v>868</v>
      </c>
      <c r="G459" s="188" t="s">
        <v>869</v>
      </c>
      <c r="H459" s="187" t="n">
        <v>46095</v>
      </c>
      <c r="I459" s="188" t="s">
        <v>113</v>
      </c>
      <c r="J459" s="188" t="s">
        <v>295</v>
      </c>
      <c r="K459" s="188" t="s">
        <v>364</v>
      </c>
      <c r="L459" s="188" t="s">
        <v>491</v>
      </c>
      <c r="M459" s="188" t="s">
        <v>870</v>
      </c>
      <c r="N459" s="188" t="s">
        <v>757</v>
      </c>
      <c r="O459" s="188" t="s">
        <v>244</v>
      </c>
      <c r="P459" s="188" t="s">
        <v>111</v>
      </c>
      <c r="Q459" s="188" t="s">
        <v>145</v>
      </c>
      <c r="R459" s="188" t="s">
        <v>23</v>
      </c>
      <c r="S459" s="188" t="s">
        <v>120</v>
      </c>
      <c r="T459" s="188" t="s">
        <v>121</v>
      </c>
      <c r="U459" s="188" t="s">
        <v>122</v>
      </c>
      <c r="V459" s="188" t="s">
        <v>192</v>
      </c>
      <c r="W459" s="188" t="s">
        <v>124</v>
      </c>
      <c r="X459" s="188" t="s">
        <v>503</v>
      </c>
      <c r="Y459" s="188" t="s">
        <v>1144</v>
      </c>
      <c r="Z459" s="0" t="n">
        <v>1</v>
      </c>
      <c r="AA459" s="188" t="s">
        <v>871</v>
      </c>
    </row>
    <row r="460" customFormat="false" ht="15" hidden="false" customHeight="true" outlineLevel="0" collapsed="false">
      <c r="A460" s="0" t="n">
        <v>93</v>
      </c>
      <c r="B460" s="187" t="n">
        <v>46175.8876630135</v>
      </c>
      <c r="C460" s="187" t="n">
        <v>46175.9024778284</v>
      </c>
      <c r="D460" s="188" t="s">
        <v>872</v>
      </c>
      <c r="E460" s="188" t="s">
        <v>873</v>
      </c>
      <c r="F460" s="188" t="s">
        <v>873</v>
      </c>
      <c r="G460" s="188" t="s">
        <v>874</v>
      </c>
      <c r="H460" s="187" t="n">
        <v>46167</v>
      </c>
      <c r="I460" s="188" t="s">
        <v>132</v>
      </c>
      <c r="J460" s="188" t="s">
        <v>128</v>
      </c>
      <c r="K460" s="188" t="s">
        <v>462</v>
      </c>
      <c r="L460" s="188" t="s">
        <v>184</v>
      </c>
      <c r="M460" s="188" t="s">
        <v>736</v>
      </c>
      <c r="N460" s="188" t="s">
        <v>758</v>
      </c>
      <c r="O460" s="188" t="s">
        <v>278</v>
      </c>
      <c r="P460" s="188" t="s">
        <v>111</v>
      </c>
      <c r="Q460" s="188" t="s">
        <v>112</v>
      </c>
      <c r="R460" s="188" t="s">
        <v>21</v>
      </c>
      <c r="S460" s="188" t="s">
        <v>152</v>
      </c>
      <c r="T460" s="188" t="s">
        <v>228</v>
      </c>
      <c r="U460" s="188" t="s">
        <v>122</v>
      </c>
      <c r="V460" s="188" t="s">
        <v>192</v>
      </c>
      <c r="W460" s="188" t="s">
        <v>124</v>
      </c>
      <c r="X460" s="188" t="s">
        <v>250</v>
      </c>
      <c r="Y460" s="188" t="s">
        <v>1035</v>
      </c>
      <c r="Z460" s="0" t="n">
        <v>1</v>
      </c>
      <c r="AA460" s="188" t="s">
        <v>1078</v>
      </c>
    </row>
    <row r="461" customFormat="false" ht="15" hidden="false" customHeight="true" outlineLevel="0" collapsed="false">
      <c r="A461" s="0" t="n">
        <v>93</v>
      </c>
      <c r="B461" s="187" t="n">
        <v>46175.8876630135</v>
      </c>
      <c r="C461" s="187" t="n">
        <v>46175.9024778284</v>
      </c>
      <c r="D461" s="188" t="s">
        <v>872</v>
      </c>
      <c r="E461" s="188" t="s">
        <v>873</v>
      </c>
      <c r="F461" s="188" t="s">
        <v>873</v>
      </c>
      <c r="G461" s="188" t="s">
        <v>874</v>
      </c>
      <c r="H461" s="187" t="n">
        <v>46167</v>
      </c>
      <c r="I461" s="188" t="s">
        <v>132</v>
      </c>
      <c r="J461" s="188" t="s">
        <v>128</v>
      </c>
      <c r="K461" s="188" t="s">
        <v>462</v>
      </c>
      <c r="L461" s="188" t="s">
        <v>184</v>
      </c>
      <c r="M461" s="188" t="s">
        <v>736</v>
      </c>
      <c r="N461" s="188" t="s">
        <v>758</v>
      </c>
      <c r="O461" s="188" t="s">
        <v>278</v>
      </c>
      <c r="P461" s="188" t="s">
        <v>111</v>
      </c>
      <c r="Q461" s="188" t="s">
        <v>112</v>
      </c>
      <c r="R461" s="188" t="s">
        <v>21</v>
      </c>
      <c r="S461" s="188" t="s">
        <v>152</v>
      </c>
      <c r="T461" s="188" t="s">
        <v>228</v>
      </c>
      <c r="U461" s="188" t="s">
        <v>122</v>
      </c>
      <c r="V461" s="188" t="s">
        <v>192</v>
      </c>
      <c r="W461" s="188" t="s">
        <v>124</v>
      </c>
      <c r="X461" s="188" t="s">
        <v>250</v>
      </c>
      <c r="Y461" s="188" t="s">
        <v>1035</v>
      </c>
      <c r="Z461" s="0" t="n">
        <v>2</v>
      </c>
      <c r="AA461" s="188" t="s">
        <v>1036</v>
      </c>
    </row>
    <row r="462" customFormat="false" ht="15" hidden="false" customHeight="true" outlineLevel="0" collapsed="false">
      <c r="A462" s="0" t="n">
        <v>93</v>
      </c>
      <c r="B462" s="187" t="n">
        <v>46175.8876630135</v>
      </c>
      <c r="C462" s="187" t="n">
        <v>46175.9024778284</v>
      </c>
      <c r="D462" s="188" t="s">
        <v>872</v>
      </c>
      <c r="E462" s="188" t="s">
        <v>873</v>
      </c>
      <c r="F462" s="188" t="s">
        <v>873</v>
      </c>
      <c r="G462" s="188" t="s">
        <v>874</v>
      </c>
      <c r="H462" s="187" t="n">
        <v>46167</v>
      </c>
      <c r="I462" s="188" t="s">
        <v>132</v>
      </c>
      <c r="J462" s="188" t="s">
        <v>128</v>
      </c>
      <c r="K462" s="188" t="s">
        <v>462</v>
      </c>
      <c r="L462" s="188" t="s">
        <v>184</v>
      </c>
      <c r="M462" s="188" t="s">
        <v>736</v>
      </c>
      <c r="N462" s="188" t="s">
        <v>758</v>
      </c>
      <c r="O462" s="188" t="s">
        <v>278</v>
      </c>
      <c r="P462" s="188" t="s">
        <v>111</v>
      </c>
      <c r="Q462" s="188" t="s">
        <v>112</v>
      </c>
      <c r="R462" s="188" t="s">
        <v>21</v>
      </c>
      <c r="S462" s="188" t="s">
        <v>152</v>
      </c>
      <c r="T462" s="188" t="s">
        <v>228</v>
      </c>
      <c r="U462" s="188" t="s">
        <v>122</v>
      </c>
      <c r="V462" s="188" t="s">
        <v>192</v>
      </c>
      <c r="W462" s="188" t="s">
        <v>124</v>
      </c>
      <c r="X462" s="188" t="s">
        <v>250</v>
      </c>
      <c r="Y462" s="188" t="s">
        <v>1037</v>
      </c>
      <c r="Z462" s="0" t="n">
        <v>1</v>
      </c>
      <c r="AA462" s="188" t="s">
        <v>1183</v>
      </c>
    </row>
    <row r="463" customFormat="false" ht="15" hidden="false" customHeight="true" outlineLevel="0" collapsed="false">
      <c r="A463" s="0" t="n">
        <v>93</v>
      </c>
      <c r="B463" s="187" t="n">
        <v>46175.8876630135</v>
      </c>
      <c r="C463" s="187" t="n">
        <v>46175.9024778284</v>
      </c>
      <c r="D463" s="188" t="s">
        <v>872</v>
      </c>
      <c r="E463" s="188" t="s">
        <v>873</v>
      </c>
      <c r="F463" s="188" t="s">
        <v>873</v>
      </c>
      <c r="G463" s="188" t="s">
        <v>874</v>
      </c>
      <c r="H463" s="187" t="n">
        <v>46167</v>
      </c>
      <c r="I463" s="188" t="s">
        <v>132</v>
      </c>
      <c r="J463" s="188" t="s">
        <v>128</v>
      </c>
      <c r="K463" s="188" t="s">
        <v>462</v>
      </c>
      <c r="L463" s="188" t="s">
        <v>184</v>
      </c>
      <c r="M463" s="188" t="s">
        <v>736</v>
      </c>
      <c r="N463" s="188" t="s">
        <v>758</v>
      </c>
      <c r="O463" s="188" t="s">
        <v>278</v>
      </c>
      <c r="P463" s="188" t="s">
        <v>111</v>
      </c>
      <c r="Q463" s="188" t="s">
        <v>112</v>
      </c>
      <c r="R463" s="188" t="s">
        <v>21</v>
      </c>
      <c r="S463" s="188" t="s">
        <v>152</v>
      </c>
      <c r="T463" s="188" t="s">
        <v>228</v>
      </c>
      <c r="U463" s="188" t="s">
        <v>122</v>
      </c>
      <c r="V463" s="188" t="s">
        <v>192</v>
      </c>
      <c r="W463" s="188" t="s">
        <v>124</v>
      </c>
      <c r="X463" s="188" t="s">
        <v>250</v>
      </c>
      <c r="Y463" s="188" t="s">
        <v>1040</v>
      </c>
      <c r="Z463" s="0" t="n">
        <v>1</v>
      </c>
      <c r="AA463" s="188" t="s">
        <v>1041</v>
      </c>
    </row>
    <row r="464" customFormat="false" ht="15" hidden="false" customHeight="true" outlineLevel="0" collapsed="false">
      <c r="A464" s="0" t="n">
        <v>93</v>
      </c>
      <c r="B464" s="187" t="n">
        <v>46175.8876630135</v>
      </c>
      <c r="C464" s="187" t="n">
        <v>46175.9024778284</v>
      </c>
      <c r="D464" s="188" t="s">
        <v>872</v>
      </c>
      <c r="E464" s="188" t="s">
        <v>873</v>
      </c>
      <c r="F464" s="188" t="s">
        <v>873</v>
      </c>
      <c r="G464" s="188" t="s">
        <v>874</v>
      </c>
      <c r="H464" s="187" t="n">
        <v>46167</v>
      </c>
      <c r="I464" s="188" t="s">
        <v>132</v>
      </c>
      <c r="J464" s="188" t="s">
        <v>128</v>
      </c>
      <c r="K464" s="188" t="s">
        <v>462</v>
      </c>
      <c r="L464" s="188" t="s">
        <v>184</v>
      </c>
      <c r="M464" s="188" t="s">
        <v>736</v>
      </c>
      <c r="N464" s="188" t="s">
        <v>758</v>
      </c>
      <c r="O464" s="188" t="s">
        <v>278</v>
      </c>
      <c r="P464" s="188" t="s">
        <v>111</v>
      </c>
      <c r="Q464" s="188" t="s">
        <v>112</v>
      </c>
      <c r="R464" s="188" t="s">
        <v>21</v>
      </c>
      <c r="S464" s="188" t="s">
        <v>152</v>
      </c>
      <c r="T464" s="188" t="s">
        <v>228</v>
      </c>
      <c r="U464" s="188" t="s">
        <v>122</v>
      </c>
      <c r="V464" s="188" t="s">
        <v>192</v>
      </c>
      <c r="W464" s="188" t="s">
        <v>124</v>
      </c>
      <c r="X464" s="188" t="s">
        <v>250</v>
      </c>
      <c r="Y464" s="188" t="s">
        <v>1040</v>
      </c>
      <c r="Z464" s="0" t="n">
        <v>2</v>
      </c>
      <c r="AA464" s="188" t="s">
        <v>1079</v>
      </c>
    </row>
    <row r="465" customFormat="false" ht="15" hidden="false" customHeight="true" outlineLevel="0" collapsed="false">
      <c r="A465" s="0" t="n">
        <v>94</v>
      </c>
      <c r="B465" s="187" t="n">
        <v>46118.6000153029</v>
      </c>
      <c r="C465" s="187" t="n">
        <v>46118.613626414</v>
      </c>
      <c r="D465" s="188" t="s">
        <v>877</v>
      </c>
      <c r="E465" s="188" t="s">
        <v>878</v>
      </c>
      <c r="F465" s="188" t="s">
        <v>878</v>
      </c>
      <c r="G465" s="188" t="s">
        <v>879</v>
      </c>
      <c r="H465" s="187" t="n">
        <v>46116</v>
      </c>
      <c r="I465" s="188" t="s">
        <v>113</v>
      </c>
      <c r="J465" s="188" t="s">
        <v>128</v>
      </c>
      <c r="K465" s="188" t="s">
        <v>232</v>
      </c>
      <c r="L465" s="188" t="s">
        <v>144</v>
      </c>
      <c r="M465" s="188" t="s">
        <v>652</v>
      </c>
      <c r="N465" s="188" t="s">
        <v>613</v>
      </c>
      <c r="O465" s="188" t="s">
        <v>157</v>
      </c>
      <c r="P465" s="188" t="s">
        <v>111</v>
      </c>
      <c r="Q465" s="188" t="s">
        <v>112</v>
      </c>
      <c r="R465" s="188" t="s">
        <v>24</v>
      </c>
      <c r="S465" s="188" t="s">
        <v>152</v>
      </c>
      <c r="T465" s="188" t="s">
        <v>180</v>
      </c>
      <c r="U465" s="188" t="s">
        <v>122</v>
      </c>
      <c r="V465" s="188" t="s">
        <v>123</v>
      </c>
      <c r="W465" s="188" t="s">
        <v>168</v>
      </c>
      <c r="X465" s="188" t="s">
        <v>19</v>
      </c>
      <c r="Y465" s="188" t="s">
        <v>1144</v>
      </c>
      <c r="Z465" s="0" t="n">
        <v>1</v>
      </c>
      <c r="AA465" s="188" t="s">
        <v>880</v>
      </c>
    </row>
    <row r="466" customFormat="false" ht="15" hidden="false" customHeight="true" outlineLevel="0" collapsed="false">
      <c r="A466" s="0" t="n">
        <v>95</v>
      </c>
      <c r="B466" s="187" t="n">
        <v>46058.1474239166</v>
      </c>
      <c r="C466" s="187" t="n">
        <v>46058.1585234537</v>
      </c>
      <c r="D466" s="188" t="s">
        <v>881</v>
      </c>
      <c r="E466" s="188" t="s">
        <v>882</v>
      </c>
      <c r="F466" s="188" t="s">
        <v>882</v>
      </c>
      <c r="G466" s="188" t="s">
        <v>883</v>
      </c>
      <c r="H466" s="187" t="n">
        <v>46047</v>
      </c>
      <c r="I466" s="188" t="s">
        <v>132</v>
      </c>
      <c r="J466" s="188" t="s">
        <v>295</v>
      </c>
      <c r="K466" s="188" t="s">
        <v>884</v>
      </c>
      <c r="L466" s="188" t="s">
        <v>144</v>
      </c>
      <c r="M466" s="188" t="s">
        <v>885</v>
      </c>
      <c r="N466" s="188" t="s">
        <v>175</v>
      </c>
      <c r="O466" s="188" t="s">
        <v>244</v>
      </c>
      <c r="P466" s="188" t="s">
        <v>111</v>
      </c>
      <c r="Q466" s="188" t="s">
        <v>112</v>
      </c>
      <c r="R466" s="188" t="s">
        <v>21</v>
      </c>
      <c r="S466" s="188" t="s">
        <v>227</v>
      </c>
      <c r="T466" s="188" t="s">
        <v>264</v>
      </c>
      <c r="U466" s="188" t="s">
        <v>122</v>
      </c>
      <c r="V466" s="188" t="s">
        <v>123</v>
      </c>
      <c r="W466" s="188" t="s">
        <v>139</v>
      </c>
      <c r="X466" s="188" t="s">
        <v>457</v>
      </c>
      <c r="Y466" s="188" t="s">
        <v>1035</v>
      </c>
      <c r="Z466" s="0" t="n">
        <v>1</v>
      </c>
      <c r="AA466" s="188" t="s">
        <v>1066</v>
      </c>
    </row>
    <row r="467" customFormat="false" ht="15" hidden="false" customHeight="true" outlineLevel="0" collapsed="false">
      <c r="A467" s="0" t="n">
        <v>95</v>
      </c>
      <c r="B467" s="187" t="n">
        <v>46058.1474239166</v>
      </c>
      <c r="C467" s="187" t="n">
        <v>46058.1585234537</v>
      </c>
      <c r="D467" s="188" t="s">
        <v>881</v>
      </c>
      <c r="E467" s="188" t="s">
        <v>882</v>
      </c>
      <c r="F467" s="188" t="s">
        <v>882</v>
      </c>
      <c r="G467" s="188" t="s">
        <v>883</v>
      </c>
      <c r="H467" s="187" t="n">
        <v>46047</v>
      </c>
      <c r="I467" s="188" t="s">
        <v>132</v>
      </c>
      <c r="J467" s="188" t="s">
        <v>295</v>
      </c>
      <c r="K467" s="188" t="s">
        <v>884</v>
      </c>
      <c r="L467" s="188" t="s">
        <v>144</v>
      </c>
      <c r="M467" s="188" t="s">
        <v>885</v>
      </c>
      <c r="N467" s="188" t="s">
        <v>175</v>
      </c>
      <c r="O467" s="188" t="s">
        <v>244</v>
      </c>
      <c r="P467" s="188" t="s">
        <v>111</v>
      </c>
      <c r="Q467" s="188" t="s">
        <v>112</v>
      </c>
      <c r="R467" s="188" t="s">
        <v>21</v>
      </c>
      <c r="S467" s="188" t="s">
        <v>227</v>
      </c>
      <c r="T467" s="188" t="s">
        <v>264</v>
      </c>
      <c r="U467" s="188" t="s">
        <v>122</v>
      </c>
      <c r="V467" s="188" t="s">
        <v>123</v>
      </c>
      <c r="W467" s="188" t="s">
        <v>139</v>
      </c>
      <c r="X467" s="188" t="s">
        <v>457</v>
      </c>
      <c r="Y467" s="188" t="s">
        <v>1037</v>
      </c>
      <c r="Z467" s="0" t="n">
        <v>1</v>
      </c>
      <c r="AA467" s="188" t="s">
        <v>122</v>
      </c>
    </row>
    <row r="468" customFormat="false" ht="15" hidden="false" customHeight="true" outlineLevel="0" collapsed="false">
      <c r="A468" s="0" t="n">
        <v>95</v>
      </c>
      <c r="B468" s="187" t="n">
        <v>46058.1474239166</v>
      </c>
      <c r="C468" s="187" t="n">
        <v>46058.1585234537</v>
      </c>
      <c r="D468" s="188" t="s">
        <v>881</v>
      </c>
      <c r="E468" s="188" t="s">
        <v>882</v>
      </c>
      <c r="F468" s="188" t="s">
        <v>882</v>
      </c>
      <c r="G468" s="188" t="s">
        <v>883</v>
      </c>
      <c r="H468" s="187" t="n">
        <v>46047</v>
      </c>
      <c r="I468" s="188" t="s">
        <v>132</v>
      </c>
      <c r="J468" s="188" t="s">
        <v>295</v>
      </c>
      <c r="K468" s="188" t="s">
        <v>884</v>
      </c>
      <c r="L468" s="188" t="s">
        <v>144</v>
      </c>
      <c r="M468" s="188" t="s">
        <v>885</v>
      </c>
      <c r="N468" s="188" t="s">
        <v>175</v>
      </c>
      <c r="O468" s="188" t="s">
        <v>244</v>
      </c>
      <c r="P468" s="188" t="s">
        <v>111</v>
      </c>
      <c r="Q468" s="188" t="s">
        <v>112</v>
      </c>
      <c r="R468" s="188" t="s">
        <v>21</v>
      </c>
      <c r="S468" s="188" t="s">
        <v>227</v>
      </c>
      <c r="T468" s="188" t="s">
        <v>264</v>
      </c>
      <c r="U468" s="188" t="s">
        <v>122</v>
      </c>
      <c r="V468" s="188" t="s">
        <v>123</v>
      </c>
      <c r="W468" s="188" t="s">
        <v>139</v>
      </c>
      <c r="X468" s="188" t="s">
        <v>457</v>
      </c>
      <c r="Y468" s="188" t="s">
        <v>1037</v>
      </c>
      <c r="Z468" s="0" t="n">
        <v>2</v>
      </c>
      <c r="AA468" s="188" t="s">
        <v>1038</v>
      </c>
    </row>
    <row r="469" customFormat="false" ht="15" hidden="false" customHeight="true" outlineLevel="0" collapsed="false">
      <c r="A469" s="0" t="n">
        <v>95</v>
      </c>
      <c r="B469" s="187" t="n">
        <v>46058.1474239166</v>
      </c>
      <c r="C469" s="187" t="n">
        <v>46058.1585234537</v>
      </c>
      <c r="D469" s="188" t="s">
        <v>881</v>
      </c>
      <c r="E469" s="188" t="s">
        <v>882</v>
      </c>
      <c r="F469" s="188" t="s">
        <v>882</v>
      </c>
      <c r="G469" s="188" t="s">
        <v>883</v>
      </c>
      <c r="H469" s="187" t="n">
        <v>46047</v>
      </c>
      <c r="I469" s="188" t="s">
        <v>132</v>
      </c>
      <c r="J469" s="188" t="s">
        <v>295</v>
      </c>
      <c r="K469" s="188" t="s">
        <v>884</v>
      </c>
      <c r="L469" s="188" t="s">
        <v>144</v>
      </c>
      <c r="M469" s="188" t="s">
        <v>885</v>
      </c>
      <c r="N469" s="188" t="s">
        <v>175</v>
      </c>
      <c r="O469" s="188" t="s">
        <v>244</v>
      </c>
      <c r="P469" s="188" t="s">
        <v>111</v>
      </c>
      <c r="Q469" s="188" t="s">
        <v>112</v>
      </c>
      <c r="R469" s="188" t="s">
        <v>21</v>
      </c>
      <c r="S469" s="188" t="s">
        <v>227</v>
      </c>
      <c r="T469" s="188" t="s">
        <v>264</v>
      </c>
      <c r="U469" s="188" t="s">
        <v>122</v>
      </c>
      <c r="V469" s="188" t="s">
        <v>123</v>
      </c>
      <c r="W469" s="188" t="s">
        <v>139</v>
      </c>
      <c r="X469" s="188" t="s">
        <v>457</v>
      </c>
      <c r="Y469" s="188" t="s">
        <v>1040</v>
      </c>
      <c r="Z469" s="0" t="n">
        <v>1</v>
      </c>
      <c r="AA469" s="188" t="s">
        <v>122</v>
      </c>
    </row>
    <row r="470" customFormat="false" ht="15" hidden="false" customHeight="true" outlineLevel="0" collapsed="false">
      <c r="A470" s="0" t="n">
        <v>95</v>
      </c>
      <c r="B470" s="187" t="n">
        <v>46058.1474239166</v>
      </c>
      <c r="C470" s="187" t="n">
        <v>46058.1585234537</v>
      </c>
      <c r="D470" s="188" t="s">
        <v>881</v>
      </c>
      <c r="E470" s="188" t="s">
        <v>882</v>
      </c>
      <c r="F470" s="188" t="s">
        <v>882</v>
      </c>
      <c r="G470" s="188" t="s">
        <v>883</v>
      </c>
      <c r="H470" s="187" t="n">
        <v>46047</v>
      </c>
      <c r="I470" s="188" t="s">
        <v>132</v>
      </c>
      <c r="J470" s="188" t="s">
        <v>295</v>
      </c>
      <c r="K470" s="188" t="s">
        <v>884</v>
      </c>
      <c r="L470" s="188" t="s">
        <v>144</v>
      </c>
      <c r="M470" s="188" t="s">
        <v>885</v>
      </c>
      <c r="N470" s="188" t="s">
        <v>175</v>
      </c>
      <c r="O470" s="188" t="s">
        <v>244</v>
      </c>
      <c r="P470" s="188" t="s">
        <v>111</v>
      </c>
      <c r="Q470" s="188" t="s">
        <v>112</v>
      </c>
      <c r="R470" s="188" t="s">
        <v>21</v>
      </c>
      <c r="S470" s="188" t="s">
        <v>227</v>
      </c>
      <c r="T470" s="188" t="s">
        <v>264</v>
      </c>
      <c r="U470" s="188" t="s">
        <v>122</v>
      </c>
      <c r="V470" s="188" t="s">
        <v>123</v>
      </c>
      <c r="W470" s="188" t="s">
        <v>139</v>
      </c>
      <c r="X470" s="188" t="s">
        <v>457</v>
      </c>
      <c r="Y470" s="188" t="s">
        <v>1040</v>
      </c>
      <c r="Z470" s="0" t="n">
        <v>2</v>
      </c>
      <c r="AA470" s="188" t="s">
        <v>1112</v>
      </c>
    </row>
    <row r="471" customFormat="false" ht="15" hidden="false" customHeight="true" outlineLevel="0" collapsed="false">
      <c r="A471" s="0" t="n">
        <v>96</v>
      </c>
      <c r="B471" s="187" t="n">
        <v>46115.1985228466</v>
      </c>
      <c r="C471" s="187" t="n">
        <v>46115.2193446059</v>
      </c>
      <c r="D471" s="188" t="s">
        <v>888</v>
      </c>
      <c r="E471" s="188" t="s">
        <v>889</v>
      </c>
      <c r="F471" s="188" t="s">
        <v>890</v>
      </c>
      <c r="G471" s="188" t="s">
        <v>891</v>
      </c>
      <c r="H471" s="187" t="n">
        <v>46097</v>
      </c>
      <c r="I471" s="188" t="s">
        <v>325</v>
      </c>
      <c r="J471" s="188" t="s">
        <v>295</v>
      </c>
      <c r="K471" s="188" t="s">
        <v>892</v>
      </c>
      <c r="L471" s="188" t="s">
        <v>130</v>
      </c>
      <c r="M471" s="188" t="s">
        <v>397</v>
      </c>
      <c r="N471" s="188" t="s">
        <v>893</v>
      </c>
      <c r="O471" s="188" t="s">
        <v>107</v>
      </c>
      <c r="P471" s="188" t="s">
        <v>111</v>
      </c>
      <c r="Q471" s="188" t="s">
        <v>112</v>
      </c>
      <c r="R471" s="188" t="s">
        <v>22</v>
      </c>
      <c r="S471" s="188" t="s">
        <v>152</v>
      </c>
      <c r="T471" s="188" t="s">
        <v>121</v>
      </c>
      <c r="V471" s="188" t="s">
        <v>123</v>
      </c>
      <c r="W471" s="188" t="s">
        <v>168</v>
      </c>
      <c r="X471" s="188" t="s">
        <v>381</v>
      </c>
      <c r="Y471" s="188" t="s">
        <v>1035</v>
      </c>
      <c r="Z471" s="0" t="n">
        <v>1</v>
      </c>
      <c r="AA471" s="188" t="s">
        <v>1221</v>
      </c>
    </row>
    <row r="472" customFormat="false" ht="15" hidden="false" customHeight="true" outlineLevel="0" collapsed="false">
      <c r="A472" s="0" t="n">
        <v>96</v>
      </c>
      <c r="B472" s="187" t="n">
        <v>46115.1985228466</v>
      </c>
      <c r="C472" s="187" t="n">
        <v>46115.2193446059</v>
      </c>
      <c r="D472" s="188" t="s">
        <v>888</v>
      </c>
      <c r="E472" s="188" t="s">
        <v>889</v>
      </c>
      <c r="F472" s="188" t="s">
        <v>890</v>
      </c>
      <c r="G472" s="188" t="s">
        <v>891</v>
      </c>
      <c r="H472" s="187" t="n">
        <v>46097</v>
      </c>
      <c r="I472" s="188" t="s">
        <v>325</v>
      </c>
      <c r="J472" s="188" t="s">
        <v>295</v>
      </c>
      <c r="K472" s="188" t="s">
        <v>892</v>
      </c>
      <c r="L472" s="188" t="s">
        <v>130</v>
      </c>
      <c r="M472" s="188" t="s">
        <v>397</v>
      </c>
      <c r="N472" s="188" t="s">
        <v>893</v>
      </c>
      <c r="O472" s="188" t="s">
        <v>107</v>
      </c>
      <c r="P472" s="188" t="s">
        <v>111</v>
      </c>
      <c r="Q472" s="188" t="s">
        <v>112</v>
      </c>
      <c r="R472" s="188" t="s">
        <v>22</v>
      </c>
      <c r="S472" s="188" t="s">
        <v>152</v>
      </c>
      <c r="T472" s="188" t="s">
        <v>121</v>
      </c>
      <c r="V472" s="188" t="s">
        <v>123</v>
      </c>
      <c r="W472" s="188" t="s">
        <v>168</v>
      </c>
      <c r="X472" s="188" t="s">
        <v>381</v>
      </c>
      <c r="Y472" s="188" t="s">
        <v>1035</v>
      </c>
      <c r="Z472" s="0" t="n">
        <v>2</v>
      </c>
      <c r="AA472" s="188" t="s">
        <v>1131</v>
      </c>
    </row>
    <row r="473" customFormat="false" ht="15" hidden="false" customHeight="true" outlineLevel="0" collapsed="false">
      <c r="A473" s="0" t="n">
        <v>96</v>
      </c>
      <c r="B473" s="187" t="n">
        <v>46115.1985228466</v>
      </c>
      <c r="C473" s="187" t="n">
        <v>46115.2193446059</v>
      </c>
      <c r="D473" s="188" t="s">
        <v>888</v>
      </c>
      <c r="E473" s="188" t="s">
        <v>889</v>
      </c>
      <c r="F473" s="188" t="s">
        <v>890</v>
      </c>
      <c r="G473" s="188" t="s">
        <v>891</v>
      </c>
      <c r="H473" s="187" t="n">
        <v>46097</v>
      </c>
      <c r="I473" s="188" t="s">
        <v>325</v>
      </c>
      <c r="J473" s="188" t="s">
        <v>295</v>
      </c>
      <c r="K473" s="188" t="s">
        <v>892</v>
      </c>
      <c r="L473" s="188" t="s">
        <v>130</v>
      </c>
      <c r="M473" s="188" t="s">
        <v>397</v>
      </c>
      <c r="N473" s="188" t="s">
        <v>893</v>
      </c>
      <c r="O473" s="188" t="s">
        <v>107</v>
      </c>
      <c r="P473" s="188" t="s">
        <v>111</v>
      </c>
      <c r="Q473" s="188" t="s">
        <v>112</v>
      </c>
      <c r="R473" s="188" t="s">
        <v>22</v>
      </c>
      <c r="S473" s="188" t="s">
        <v>152</v>
      </c>
      <c r="T473" s="188" t="s">
        <v>121</v>
      </c>
      <c r="V473" s="188" t="s">
        <v>123</v>
      </c>
      <c r="W473" s="188" t="s">
        <v>168</v>
      </c>
      <c r="X473" s="188" t="s">
        <v>381</v>
      </c>
      <c r="Y473" s="188" t="s">
        <v>1037</v>
      </c>
      <c r="Z473" s="0" t="n">
        <v>1</v>
      </c>
      <c r="AA473" s="188" t="s">
        <v>1222</v>
      </c>
    </row>
    <row r="474" customFormat="false" ht="15" hidden="false" customHeight="true" outlineLevel="0" collapsed="false">
      <c r="A474" s="0" t="n">
        <v>96</v>
      </c>
      <c r="B474" s="187" t="n">
        <v>46115.1985228466</v>
      </c>
      <c r="C474" s="187" t="n">
        <v>46115.2193446059</v>
      </c>
      <c r="D474" s="188" t="s">
        <v>888</v>
      </c>
      <c r="E474" s="188" t="s">
        <v>889</v>
      </c>
      <c r="F474" s="188" t="s">
        <v>890</v>
      </c>
      <c r="G474" s="188" t="s">
        <v>891</v>
      </c>
      <c r="H474" s="187" t="n">
        <v>46097</v>
      </c>
      <c r="I474" s="188" t="s">
        <v>325</v>
      </c>
      <c r="J474" s="188" t="s">
        <v>295</v>
      </c>
      <c r="K474" s="188" t="s">
        <v>892</v>
      </c>
      <c r="L474" s="188" t="s">
        <v>130</v>
      </c>
      <c r="M474" s="188" t="s">
        <v>397</v>
      </c>
      <c r="N474" s="188" t="s">
        <v>893</v>
      </c>
      <c r="O474" s="188" t="s">
        <v>107</v>
      </c>
      <c r="P474" s="188" t="s">
        <v>111</v>
      </c>
      <c r="Q474" s="188" t="s">
        <v>112</v>
      </c>
      <c r="R474" s="188" t="s">
        <v>22</v>
      </c>
      <c r="S474" s="188" t="s">
        <v>152</v>
      </c>
      <c r="T474" s="188" t="s">
        <v>121</v>
      </c>
      <c r="V474" s="188" t="s">
        <v>123</v>
      </c>
      <c r="W474" s="188" t="s">
        <v>168</v>
      </c>
      <c r="X474" s="188" t="s">
        <v>381</v>
      </c>
      <c r="Y474" s="188" t="s">
        <v>1040</v>
      </c>
      <c r="Z474" s="0" t="n">
        <v>1</v>
      </c>
      <c r="AA474" s="188" t="s">
        <v>1206</v>
      </c>
    </row>
    <row r="475" customFormat="false" ht="15" hidden="false" customHeight="true" outlineLevel="0" collapsed="false">
      <c r="A475" s="0" t="n">
        <v>97</v>
      </c>
      <c r="B475" s="187" t="n">
        <v>46083.9298963818</v>
      </c>
      <c r="C475" s="187" t="n">
        <v>46083.9334264744</v>
      </c>
      <c r="D475" s="188" t="s">
        <v>895</v>
      </c>
      <c r="E475" s="188" t="s">
        <v>896</v>
      </c>
      <c r="F475" s="188" t="s">
        <v>896</v>
      </c>
      <c r="G475" s="188" t="s">
        <v>897</v>
      </c>
      <c r="H475" s="187" t="n">
        <v>46074</v>
      </c>
      <c r="I475" s="188" t="s">
        <v>336</v>
      </c>
      <c r="J475" s="188" t="s">
        <v>295</v>
      </c>
      <c r="K475" s="188" t="s">
        <v>898</v>
      </c>
      <c r="L475" s="188" t="s">
        <v>144</v>
      </c>
      <c r="M475" s="188" t="s">
        <v>199</v>
      </c>
      <c r="N475" s="188" t="s">
        <v>899</v>
      </c>
      <c r="O475" s="188" t="s">
        <v>278</v>
      </c>
      <c r="P475" s="188" t="s">
        <v>111</v>
      </c>
      <c r="Q475" s="188" t="s">
        <v>145</v>
      </c>
      <c r="R475" s="188" t="s">
        <v>21</v>
      </c>
      <c r="S475" s="188" t="s">
        <v>152</v>
      </c>
      <c r="T475" s="188" t="s">
        <v>352</v>
      </c>
      <c r="V475" s="188" t="s">
        <v>192</v>
      </c>
      <c r="W475" s="188" t="s">
        <v>124</v>
      </c>
      <c r="X475" s="188" t="s">
        <v>250</v>
      </c>
      <c r="Y475" s="188" t="s">
        <v>1035</v>
      </c>
      <c r="Z475" s="0" t="n">
        <v>1</v>
      </c>
      <c r="AA475" s="188" t="s">
        <v>1078</v>
      </c>
    </row>
    <row r="476" customFormat="false" ht="15" hidden="false" customHeight="true" outlineLevel="0" collapsed="false">
      <c r="A476" s="0" t="n">
        <v>97</v>
      </c>
      <c r="B476" s="187" t="n">
        <v>46083.9298963818</v>
      </c>
      <c r="C476" s="187" t="n">
        <v>46083.9334264744</v>
      </c>
      <c r="D476" s="188" t="s">
        <v>895</v>
      </c>
      <c r="E476" s="188" t="s">
        <v>896</v>
      </c>
      <c r="F476" s="188" t="s">
        <v>896</v>
      </c>
      <c r="G476" s="188" t="s">
        <v>897</v>
      </c>
      <c r="H476" s="187" t="n">
        <v>46074</v>
      </c>
      <c r="I476" s="188" t="s">
        <v>336</v>
      </c>
      <c r="J476" s="188" t="s">
        <v>295</v>
      </c>
      <c r="K476" s="188" t="s">
        <v>898</v>
      </c>
      <c r="L476" s="188" t="s">
        <v>144</v>
      </c>
      <c r="M476" s="188" t="s">
        <v>199</v>
      </c>
      <c r="N476" s="188" t="s">
        <v>899</v>
      </c>
      <c r="O476" s="188" t="s">
        <v>278</v>
      </c>
      <c r="P476" s="188" t="s">
        <v>111</v>
      </c>
      <c r="Q476" s="188" t="s">
        <v>145</v>
      </c>
      <c r="R476" s="188" t="s">
        <v>21</v>
      </c>
      <c r="S476" s="188" t="s">
        <v>152</v>
      </c>
      <c r="T476" s="188" t="s">
        <v>352</v>
      </c>
      <c r="V476" s="188" t="s">
        <v>192</v>
      </c>
      <c r="W476" s="188" t="s">
        <v>124</v>
      </c>
      <c r="X476" s="188" t="s">
        <v>250</v>
      </c>
      <c r="Y476" s="188" t="s">
        <v>1035</v>
      </c>
      <c r="Z476" s="0" t="n">
        <v>2</v>
      </c>
      <c r="AA476" s="188" t="s">
        <v>1052</v>
      </c>
    </row>
    <row r="477" customFormat="false" ht="15" hidden="false" customHeight="true" outlineLevel="0" collapsed="false">
      <c r="A477" s="0" t="n">
        <v>97</v>
      </c>
      <c r="B477" s="187" t="n">
        <v>46083.9298963818</v>
      </c>
      <c r="C477" s="187" t="n">
        <v>46083.9334264744</v>
      </c>
      <c r="D477" s="188" t="s">
        <v>895</v>
      </c>
      <c r="E477" s="188" t="s">
        <v>896</v>
      </c>
      <c r="F477" s="188" t="s">
        <v>896</v>
      </c>
      <c r="G477" s="188" t="s">
        <v>897</v>
      </c>
      <c r="H477" s="187" t="n">
        <v>46074</v>
      </c>
      <c r="I477" s="188" t="s">
        <v>336</v>
      </c>
      <c r="J477" s="188" t="s">
        <v>295</v>
      </c>
      <c r="K477" s="188" t="s">
        <v>898</v>
      </c>
      <c r="L477" s="188" t="s">
        <v>144</v>
      </c>
      <c r="M477" s="188" t="s">
        <v>199</v>
      </c>
      <c r="N477" s="188" t="s">
        <v>899</v>
      </c>
      <c r="O477" s="188" t="s">
        <v>278</v>
      </c>
      <c r="P477" s="188" t="s">
        <v>111</v>
      </c>
      <c r="Q477" s="188" t="s">
        <v>145</v>
      </c>
      <c r="R477" s="188" t="s">
        <v>21</v>
      </c>
      <c r="S477" s="188" t="s">
        <v>152</v>
      </c>
      <c r="T477" s="188" t="s">
        <v>352</v>
      </c>
      <c r="V477" s="188" t="s">
        <v>192</v>
      </c>
      <c r="W477" s="188" t="s">
        <v>124</v>
      </c>
      <c r="X477" s="188" t="s">
        <v>250</v>
      </c>
      <c r="Y477" s="188" t="s">
        <v>1037</v>
      </c>
      <c r="Z477" s="0" t="n">
        <v>1</v>
      </c>
      <c r="AA477" s="188" t="s">
        <v>1039</v>
      </c>
    </row>
    <row r="478" customFormat="false" ht="15" hidden="false" customHeight="true" outlineLevel="0" collapsed="false">
      <c r="A478" s="0" t="n">
        <v>97</v>
      </c>
      <c r="B478" s="187" t="n">
        <v>46083.9298963818</v>
      </c>
      <c r="C478" s="187" t="n">
        <v>46083.9334264744</v>
      </c>
      <c r="D478" s="188" t="s">
        <v>895</v>
      </c>
      <c r="E478" s="188" t="s">
        <v>896</v>
      </c>
      <c r="F478" s="188" t="s">
        <v>896</v>
      </c>
      <c r="G478" s="188" t="s">
        <v>897</v>
      </c>
      <c r="H478" s="187" t="n">
        <v>46074</v>
      </c>
      <c r="I478" s="188" t="s">
        <v>336</v>
      </c>
      <c r="J478" s="188" t="s">
        <v>295</v>
      </c>
      <c r="K478" s="188" t="s">
        <v>898</v>
      </c>
      <c r="L478" s="188" t="s">
        <v>144</v>
      </c>
      <c r="M478" s="188" t="s">
        <v>199</v>
      </c>
      <c r="N478" s="188" t="s">
        <v>899</v>
      </c>
      <c r="O478" s="188" t="s">
        <v>278</v>
      </c>
      <c r="P478" s="188" t="s">
        <v>111</v>
      </c>
      <c r="Q478" s="188" t="s">
        <v>145</v>
      </c>
      <c r="R478" s="188" t="s">
        <v>21</v>
      </c>
      <c r="S478" s="188" t="s">
        <v>152</v>
      </c>
      <c r="T478" s="188" t="s">
        <v>352</v>
      </c>
      <c r="V478" s="188" t="s">
        <v>192</v>
      </c>
      <c r="W478" s="188" t="s">
        <v>124</v>
      </c>
      <c r="X478" s="188" t="s">
        <v>250</v>
      </c>
      <c r="Y478" s="188" t="s">
        <v>1037</v>
      </c>
      <c r="Z478" s="0" t="n">
        <v>2</v>
      </c>
      <c r="AA478" s="188" t="s">
        <v>1038</v>
      </c>
    </row>
    <row r="479" customFormat="false" ht="15" hidden="false" customHeight="true" outlineLevel="0" collapsed="false">
      <c r="A479" s="0" t="n">
        <v>97</v>
      </c>
      <c r="B479" s="187" t="n">
        <v>46083.9298963818</v>
      </c>
      <c r="C479" s="187" t="n">
        <v>46083.9334264744</v>
      </c>
      <c r="D479" s="188" t="s">
        <v>895</v>
      </c>
      <c r="E479" s="188" t="s">
        <v>896</v>
      </c>
      <c r="F479" s="188" t="s">
        <v>896</v>
      </c>
      <c r="G479" s="188" t="s">
        <v>897</v>
      </c>
      <c r="H479" s="187" t="n">
        <v>46074</v>
      </c>
      <c r="I479" s="188" t="s">
        <v>336</v>
      </c>
      <c r="J479" s="188" t="s">
        <v>295</v>
      </c>
      <c r="K479" s="188" t="s">
        <v>898</v>
      </c>
      <c r="L479" s="188" t="s">
        <v>144</v>
      </c>
      <c r="M479" s="188" t="s">
        <v>199</v>
      </c>
      <c r="N479" s="188" t="s">
        <v>899</v>
      </c>
      <c r="O479" s="188" t="s">
        <v>278</v>
      </c>
      <c r="P479" s="188" t="s">
        <v>111</v>
      </c>
      <c r="Q479" s="188" t="s">
        <v>145</v>
      </c>
      <c r="R479" s="188" t="s">
        <v>21</v>
      </c>
      <c r="S479" s="188" t="s">
        <v>152</v>
      </c>
      <c r="T479" s="188" t="s">
        <v>352</v>
      </c>
      <c r="V479" s="188" t="s">
        <v>192</v>
      </c>
      <c r="W479" s="188" t="s">
        <v>124</v>
      </c>
      <c r="X479" s="188" t="s">
        <v>250</v>
      </c>
      <c r="Y479" s="188" t="s">
        <v>1040</v>
      </c>
      <c r="Z479" s="0" t="n">
        <v>1</v>
      </c>
      <c r="AA479" s="188" t="s">
        <v>1054</v>
      </c>
    </row>
    <row r="480" customFormat="false" ht="15" hidden="false" customHeight="true" outlineLevel="0" collapsed="false">
      <c r="A480" s="0" t="n">
        <v>98</v>
      </c>
      <c r="B480" s="187" t="n">
        <v>46092.1637607982</v>
      </c>
      <c r="C480" s="187" t="n">
        <v>46092.1804274648</v>
      </c>
      <c r="D480" s="188" t="s">
        <v>902</v>
      </c>
      <c r="E480" s="188" t="s">
        <v>903</v>
      </c>
      <c r="F480" s="188" t="s">
        <v>903</v>
      </c>
      <c r="G480" s="188" t="s">
        <v>904</v>
      </c>
      <c r="H480" s="187" t="n">
        <v>46084</v>
      </c>
      <c r="I480" s="188" t="s">
        <v>132</v>
      </c>
      <c r="J480" s="188" t="s">
        <v>108</v>
      </c>
      <c r="K480" s="188" t="s">
        <v>143</v>
      </c>
      <c r="L480" s="188" t="s">
        <v>296</v>
      </c>
      <c r="M480" s="188" t="s">
        <v>864</v>
      </c>
      <c r="N480" s="188" t="s">
        <v>905</v>
      </c>
      <c r="O480" s="188" t="s">
        <v>713</v>
      </c>
      <c r="P480" s="188" t="s">
        <v>131</v>
      </c>
      <c r="Q480" s="188" t="s">
        <v>112</v>
      </c>
      <c r="R480" s="188" t="s">
        <v>21</v>
      </c>
      <c r="S480" s="188" t="s">
        <v>120</v>
      </c>
      <c r="T480" s="188" t="s">
        <v>121</v>
      </c>
      <c r="V480" s="188" t="s">
        <v>123</v>
      </c>
      <c r="W480" s="188" t="s">
        <v>168</v>
      </c>
      <c r="X480" s="188" t="s">
        <v>374</v>
      </c>
      <c r="Y480" s="188" t="s">
        <v>1035</v>
      </c>
      <c r="Z480" s="0" t="n">
        <v>1</v>
      </c>
      <c r="AA480" s="188" t="s">
        <v>1127</v>
      </c>
    </row>
    <row r="481" customFormat="false" ht="15" hidden="false" customHeight="true" outlineLevel="0" collapsed="false">
      <c r="A481" s="0" t="n">
        <v>98</v>
      </c>
      <c r="B481" s="187" t="n">
        <v>46092.1637607982</v>
      </c>
      <c r="C481" s="187" t="n">
        <v>46092.1804274648</v>
      </c>
      <c r="D481" s="188" t="s">
        <v>902</v>
      </c>
      <c r="E481" s="188" t="s">
        <v>903</v>
      </c>
      <c r="F481" s="188" t="s">
        <v>903</v>
      </c>
      <c r="G481" s="188" t="s">
        <v>904</v>
      </c>
      <c r="H481" s="187" t="n">
        <v>46084</v>
      </c>
      <c r="I481" s="188" t="s">
        <v>132</v>
      </c>
      <c r="J481" s="188" t="s">
        <v>108</v>
      </c>
      <c r="K481" s="188" t="s">
        <v>143</v>
      </c>
      <c r="L481" s="188" t="s">
        <v>296</v>
      </c>
      <c r="M481" s="188" t="s">
        <v>864</v>
      </c>
      <c r="N481" s="188" t="s">
        <v>905</v>
      </c>
      <c r="O481" s="188" t="s">
        <v>713</v>
      </c>
      <c r="P481" s="188" t="s">
        <v>131</v>
      </c>
      <c r="Q481" s="188" t="s">
        <v>112</v>
      </c>
      <c r="R481" s="188" t="s">
        <v>21</v>
      </c>
      <c r="S481" s="188" t="s">
        <v>120</v>
      </c>
      <c r="T481" s="188" t="s">
        <v>121</v>
      </c>
      <c r="V481" s="188" t="s">
        <v>123</v>
      </c>
      <c r="W481" s="188" t="s">
        <v>168</v>
      </c>
      <c r="X481" s="188" t="s">
        <v>374</v>
      </c>
      <c r="Y481" s="188" t="s">
        <v>1037</v>
      </c>
      <c r="Z481" s="0" t="n">
        <v>1</v>
      </c>
      <c r="AA481" s="188" t="s">
        <v>1186</v>
      </c>
    </row>
    <row r="482" customFormat="false" ht="15" hidden="false" customHeight="true" outlineLevel="0" collapsed="false">
      <c r="A482" s="0" t="n">
        <v>98</v>
      </c>
      <c r="B482" s="187" t="n">
        <v>46092.1637607982</v>
      </c>
      <c r="C482" s="187" t="n">
        <v>46092.1804274648</v>
      </c>
      <c r="D482" s="188" t="s">
        <v>902</v>
      </c>
      <c r="E482" s="188" t="s">
        <v>903</v>
      </c>
      <c r="F482" s="188" t="s">
        <v>903</v>
      </c>
      <c r="G482" s="188" t="s">
        <v>904</v>
      </c>
      <c r="H482" s="187" t="n">
        <v>46084</v>
      </c>
      <c r="I482" s="188" t="s">
        <v>132</v>
      </c>
      <c r="J482" s="188" t="s">
        <v>108</v>
      </c>
      <c r="K482" s="188" t="s">
        <v>143</v>
      </c>
      <c r="L482" s="188" t="s">
        <v>296</v>
      </c>
      <c r="M482" s="188" t="s">
        <v>864</v>
      </c>
      <c r="N482" s="188" t="s">
        <v>905</v>
      </c>
      <c r="O482" s="188" t="s">
        <v>713</v>
      </c>
      <c r="P482" s="188" t="s">
        <v>131</v>
      </c>
      <c r="Q482" s="188" t="s">
        <v>112</v>
      </c>
      <c r="R482" s="188" t="s">
        <v>21</v>
      </c>
      <c r="S482" s="188" t="s">
        <v>120</v>
      </c>
      <c r="T482" s="188" t="s">
        <v>121</v>
      </c>
      <c r="V482" s="188" t="s">
        <v>123</v>
      </c>
      <c r="W482" s="188" t="s">
        <v>168</v>
      </c>
      <c r="X482" s="188" t="s">
        <v>374</v>
      </c>
      <c r="Y482" s="188" t="s">
        <v>1037</v>
      </c>
      <c r="Z482" s="0" t="n">
        <v>2</v>
      </c>
      <c r="AA482" s="188" t="s">
        <v>1234</v>
      </c>
    </row>
    <row r="483" customFormat="false" ht="15" hidden="false" customHeight="true" outlineLevel="0" collapsed="false">
      <c r="A483" s="0" t="n">
        <v>98</v>
      </c>
      <c r="B483" s="187" t="n">
        <v>46092.1637607982</v>
      </c>
      <c r="C483" s="187" t="n">
        <v>46092.1804274648</v>
      </c>
      <c r="D483" s="188" t="s">
        <v>902</v>
      </c>
      <c r="E483" s="188" t="s">
        <v>903</v>
      </c>
      <c r="F483" s="188" t="s">
        <v>903</v>
      </c>
      <c r="G483" s="188" t="s">
        <v>904</v>
      </c>
      <c r="H483" s="187" t="n">
        <v>46084</v>
      </c>
      <c r="I483" s="188" t="s">
        <v>132</v>
      </c>
      <c r="J483" s="188" t="s">
        <v>108</v>
      </c>
      <c r="K483" s="188" t="s">
        <v>143</v>
      </c>
      <c r="L483" s="188" t="s">
        <v>296</v>
      </c>
      <c r="M483" s="188" t="s">
        <v>864</v>
      </c>
      <c r="N483" s="188" t="s">
        <v>905</v>
      </c>
      <c r="O483" s="188" t="s">
        <v>713</v>
      </c>
      <c r="P483" s="188" t="s">
        <v>131</v>
      </c>
      <c r="Q483" s="188" t="s">
        <v>112</v>
      </c>
      <c r="R483" s="188" t="s">
        <v>21</v>
      </c>
      <c r="S483" s="188" t="s">
        <v>120</v>
      </c>
      <c r="T483" s="188" t="s">
        <v>121</v>
      </c>
      <c r="V483" s="188" t="s">
        <v>123</v>
      </c>
      <c r="W483" s="188" t="s">
        <v>168</v>
      </c>
      <c r="X483" s="188" t="s">
        <v>374</v>
      </c>
      <c r="Y483" s="188" t="s">
        <v>1040</v>
      </c>
      <c r="Z483" s="0" t="n">
        <v>1</v>
      </c>
      <c r="AA483" s="188" t="s">
        <v>1130</v>
      </c>
    </row>
    <row r="484" customFormat="false" ht="15" hidden="false" customHeight="true" outlineLevel="0" collapsed="false">
      <c r="A484" s="0" t="n">
        <v>98</v>
      </c>
      <c r="B484" s="187" t="n">
        <v>46092.1637607982</v>
      </c>
      <c r="C484" s="187" t="n">
        <v>46092.1804274648</v>
      </c>
      <c r="D484" s="188" t="s">
        <v>902</v>
      </c>
      <c r="E484" s="188" t="s">
        <v>903</v>
      </c>
      <c r="F484" s="188" t="s">
        <v>903</v>
      </c>
      <c r="G484" s="188" t="s">
        <v>904</v>
      </c>
      <c r="H484" s="187" t="n">
        <v>46084</v>
      </c>
      <c r="I484" s="188" t="s">
        <v>132</v>
      </c>
      <c r="J484" s="188" t="s">
        <v>108</v>
      </c>
      <c r="K484" s="188" t="s">
        <v>143</v>
      </c>
      <c r="L484" s="188" t="s">
        <v>296</v>
      </c>
      <c r="M484" s="188" t="s">
        <v>864</v>
      </c>
      <c r="N484" s="188" t="s">
        <v>905</v>
      </c>
      <c r="O484" s="188" t="s">
        <v>713</v>
      </c>
      <c r="P484" s="188" t="s">
        <v>131</v>
      </c>
      <c r="Q484" s="188" t="s">
        <v>112</v>
      </c>
      <c r="R484" s="188" t="s">
        <v>21</v>
      </c>
      <c r="S484" s="188" t="s">
        <v>120</v>
      </c>
      <c r="T484" s="188" t="s">
        <v>121</v>
      </c>
      <c r="V484" s="188" t="s">
        <v>123</v>
      </c>
      <c r="W484" s="188" t="s">
        <v>168</v>
      </c>
      <c r="X484" s="188" t="s">
        <v>374</v>
      </c>
      <c r="Y484" s="188" t="s">
        <v>1040</v>
      </c>
      <c r="Z484" s="0" t="n">
        <v>2</v>
      </c>
      <c r="AA484" s="188" t="s">
        <v>1129</v>
      </c>
    </row>
    <row r="485" customFormat="false" ht="15" hidden="false" customHeight="true" outlineLevel="0" collapsed="false">
      <c r="A485" s="0" t="n">
        <v>99</v>
      </c>
      <c r="B485" s="187" t="n">
        <v>46076.0202156504</v>
      </c>
      <c r="C485" s="187" t="n">
        <v>46076.02859528</v>
      </c>
      <c r="D485" s="188" t="s">
        <v>909</v>
      </c>
      <c r="E485" s="188" t="s">
        <v>910</v>
      </c>
      <c r="F485" s="188" t="s">
        <v>910</v>
      </c>
      <c r="G485" s="188" t="s">
        <v>911</v>
      </c>
      <c r="H485" s="187" t="n">
        <v>46059</v>
      </c>
      <c r="I485" s="188" t="s">
        <v>113</v>
      </c>
      <c r="J485" s="188" t="s">
        <v>108</v>
      </c>
      <c r="K485" s="188" t="s">
        <v>245</v>
      </c>
      <c r="L485" s="188" t="s">
        <v>286</v>
      </c>
      <c r="M485" s="188" t="s">
        <v>864</v>
      </c>
      <c r="N485" s="188" t="s">
        <v>249</v>
      </c>
      <c r="O485" s="188" t="s">
        <v>172</v>
      </c>
      <c r="P485" s="188" t="s">
        <v>111</v>
      </c>
      <c r="Q485" s="188" t="s">
        <v>145</v>
      </c>
      <c r="R485" s="188" t="s">
        <v>24</v>
      </c>
      <c r="S485" s="188" t="s">
        <v>152</v>
      </c>
      <c r="T485" s="188" t="s">
        <v>180</v>
      </c>
      <c r="U485" s="188" t="s">
        <v>122</v>
      </c>
      <c r="V485" s="188" t="s">
        <v>123</v>
      </c>
      <c r="W485" s="188" t="s">
        <v>168</v>
      </c>
      <c r="X485" s="188" t="s">
        <v>214</v>
      </c>
      <c r="Y485" s="188" t="s">
        <v>1035</v>
      </c>
      <c r="Z485" s="0" t="n">
        <v>1</v>
      </c>
      <c r="AA485" s="188" t="s">
        <v>1111</v>
      </c>
    </row>
    <row r="486" customFormat="false" ht="15" hidden="false" customHeight="true" outlineLevel="0" collapsed="false">
      <c r="A486" s="0" t="n">
        <v>99</v>
      </c>
      <c r="B486" s="187" t="n">
        <v>46076.0202156504</v>
      </c>
      <c r="C486" s="187" t="n">
        <v>46076.02859528</v>
      </c>
      <c r="D486" s="188" t="s">
        <v>909</v>
      </c>
      <c r="E486" s="188" t="s">
        <v>910</v>
      </c>
      <c r="F486" s="188" t="s">
        <v>910</v>
      </c>
      <c r="G486" s="188" t="s">
        <v>911</v>
      </c>
      <c r="H486" s="187" t="n">
        <v>46059</v>
      </c>
      <c r="I486" s="188" t="s">
        <v>113</v>
      </c>
      <c r="J486" s="188" t="s">
        <v>108</v>
      </c>
      <c r="K486" s="188" t="s">
        <v>245</v>
      </c>
      <c r="L486" s="188" t="s">
        <v>286</v>
      </c>
      <c r="M486" s="188" t="s">
        <v>864</v>
      </c>
      <c r="N486" s="188" t="s">
        <v>249</v>
      </c>
      <c r="O486" s="188" t="s">
        <v>172</v>
      </c>
      <c r="P486" s="188" t="s">
        <v>111</v>
      </c>
      <c r="Q486" s="188" t="s">
        <v>145</v>
      </c>
      <c r="R486" s="188" t="s">
        <v>24</v>
      </c>
      <c r="S486" s="188" t="s">
        <v>152</v>
      </c>
      <c r="T486" s="188" t="s">
        <v>180</v>
      </c>
      <c r="U486" s="188" t="s">
        <v>122</v>
      </c>
      <c r="V486" s="188" t="s">
        <v>123</v>
      </c>
      <c r="W486" s="188" t="s">
        <v>168</v>
      </c>
      <c r="X486" s="188" t="s">
        <v>214</v>
      </c>
      <c r="Y486" s="188" t="s">
        <v>1035</v>
      </c>
      <c r="Z486" s="0" t="n">
        <v>2</v>
      </c>
      <c r="AA486" s="188" t="s">
        <v>1066</v>
      </c>
    </row>
    <row r="487" customFormat="false" ht="15" hidden="false" customHeight="true" outlineLevel="0" collapsed="false">
      <c r="A487" s="0" t="n">
        <v>99</v>
      </c>
      <c r="B487" s="187" t="n">
        <v>46076.0202156504</v>
      </c>
      <c r="C487" s="187" t="n">
        <v>46076.02859528</v>
      </c>
      <c r="D487" s="188" t="s">
        <v>909</v>
      </c>
      <c r="E487" s="188" t="s">
        <v>910</v>
      </c>
      <c r="F487" s="188" t="s">
        <v>910</v>
      </c>
      <c r="G487" s="188" t="s">
        <v>911</v>
      </c>
      <c r="H487" s="187" t="n">
        <v>46059</v>
      </c>
      <c r="I487" s="188" t="s">
        <v>113</v>
      </c>
      <c r="J487" s="188" t="s">
        <v>108</v>
      </c>
      <c r="K487" s="188" t="s">
        <v>245</v>
      </c>
      <c r="L487" s="188" t="s">
        <v>286</v>
      </c>
      <c r="M487" s="188" t="s">
        <v>864</v>
      </c>
      <c r="N487" s="188" t="s">
        <v>249</v>
      </c>
      <c r="O487" s="188" t="s">
        <v>172</v>
      </c>
      <c r="P487" s="188" t="s">
        <v>111</v>
      </c>
      <c r="Q487" s="188" t="s">
        <v>145</v>
      </c>
      <c r="R487" s="188" t="s">
        <v>24</v>
      </c>
      <c r="S487" s="188" t="s">
        <v>152</v>
      </c>
      <c r="T487" s="188" t="s">
        <v>180</v>
      </c>
      <c r="U487" s="188" t="s">
        <v>122</v>
      </c>
      <c r="V487" s="188" t="s">
        <v>123</v>
      </c>
      <c r="W487" s="188" t="s">
        <v>168</v>
      </c>
      <c r="X487" s="188" t="s">
        <v>214</v>
      </c>
      <c r="Y487" s="188" t="s">
        <v>1035</v>
      </c>
      <c r="Z487" s="0" t="n">
        <v>3</v>
      </c>
      <c r="AA487" s="188" t="s">
        <v>1036</v>
      </c>
    </row>
    <row r="488" customFormat="false" ht="15" hidden="false" customHeight="true" outlineLevel="0" collapsed="false">
      <c r="A488" s="0" t="n">
        <v>99</v>
      </c>
      <c r="B488" s="187" t="n">
        <v>46076.0202156504</v>
      </c>
      <c r="C488" s="187" t="n">
        <v>46076.02859528</v>
      </c>
      <c r="D488" s="188" t="s">
        <v>909</v>
      </c>
      <c r="E488" s="188" t="s">
        <v>910</v>
      </c>
      <c r="F488" s="188" t="s">
        <v>910</v>
      </c>
      <c r="G488" s="188" t="s">
        <v>911</v>
      </c>
      <c r="H488" s="187" t="n">
        <v>46059</v>
      </c>
      <c r="I488" s="188" t="s">
        <v>113</v>
      </c>
      <c r="J488" s="188" t="s">
        <v>108</v>
      </c>
      <c r="K488" s="188" t="s">
        <v>245</v>
      </c>
      <c r="L488" s="188" t="s">
        <v>286</v>
      </c>
      <c r="M488" s="188" t="s">
        <v>864</v>
      </c>
      <c r="N488" s="188" t="s">
        <v>249</v>
      </c>
      <c r="O488" s="188" t="s">
        <v>172</v>
      </c>
      <c r="P488" s="188" t="s">
        <v>111</v>
      </c>
      <c r="Q488" s="188" t="s">
        <v>145</v>
      </c>
      <c r="R488" s="188" t="s">
        <v>24</v>
      </c>
      <c r="S488" s="188" t="s">
        <v>152</v>
      </c>
      <c r="T488" s="188" t="s">
        <v>180</v>
      </c>
      <c r="U488" s="188" t="s">
        <v>122</v>
      </c>
      <c r="V488" s="188" t="s">
        <v>123</v>
      </c>
      <c r="W488" s="188" t="s">
        <v>168</v>
      </c>
      <c r="X488" s="188" t="s">
        <v>214</v>
      </c>
      <c r="Y488" s="188" t="s">
        <v>1037</v>
      </c>
      <c r="Z488" s="0" t="n">
        <v>1</v>
      </c>
      <c r="AA488" s="188" t="s">
        <v>1053</v>
      </c>
    </row>
    <row r="489" customFormat="false" ht="15" hidden="false" customHeight="true" outlineLevel="0" collapsed="false">
      <c r="A489" s="0" t="n">
        <v>99</v>
      </c>
      <c r="B489" s="187" t="n">
        <v>46076.0202156504</v>
      </c>
      <c r="C489" s="187" t="n">
        <v>46076.02859528</v>
      </c>
      <c r="D489" s="188" t="s">
        <v>909</v>
      </c>
      <c r="E489" s="188" t="s">
        <v>910</v>
      </c>
      <c r="F489" s="188" t="s">
        <v>910</v>
      </c>
      <c r="G489" s="188" t="s">
        <v>911</v>
      </c>
      <c r="H489" s="187" t="n">
        <v>46059</v>
      </c>
      <c r="I489" s="188" t="s">
        <v>113</v>
      </c>
      <c r="J489" s="188" t="s">
        <v>108</v>
      </c>
      <c r="K489" s="188" t="s">
        <v>245</v>
      </c>
      <c r="L489" s="188" t="s">
        <v>286</v>
      </c>
      <c r="M489" s="188" t="s">
        <v>864</v>
      </c>
      <c r="N489" s="188" t="s">
        <v>249</v>
      </c>
      <c r="O489" s="188" t="s">
        <v>172</v>
      </c>
      <c r="P489" s="188" t="s">
        <v>111</v>
      </c>
      <c r="Q489" s="188" t="s">
        <v>145</v>
      </c>
      <c r="R489" s="188" t="s">
        <v>24</v>
      </c>
      <c r="S489" s="188" t="s">
        <v>152</v>
      </c>
      <c r="T489" s="188" t="s">
        <v>180</v>
      </c>
      <c r="U489" s="188" t="s">
        <v>122</v>
      </c>
      <c r="V489" s="188" t="s">
        <v>123</v>
      </c>
      <c r="W489" s="188" t="s">
        <v>168</v>
      </c>
      <c r="X489" s="188" t="s">
        <v>214</v>
      </c>
      <c r="Y489" s="188" t="s">
        <v>1037</v>
      </c>
      <c r="Z489" s="0" t="n">
        <v>2</v>
      </c>
      <c r="AA489" s="188" t="s">
        <v>1183</v>
      </c>
    </row>
    <row r="490" customFormat="false" ht="15" hidden="false" customHeight="true" outlineLevel="0" collapsed="false">
      <c r="A490" s="0" t="n">
        <v>99</v>
      </c>
      <c r="B490" s="187" t="n">
        <v>46076.0202156504</v>
      </c>
      <c r="C490" s="187" t="n">
        <v>46076.02859528</v>
      </c>
      <c r="D490" s="188" t="s">
        <v>909</v>
      </c>
      <c r="E490" s="188" t="s">
        <v>910</v>
      </c>
      <c r="F490" s="188" t="s">
        <v>910</v>
      </c>
      <c r="G490" s="188" t="s">
        <v>911</v>
      </c>
      <c r="H490" s="187" t="n">
        <v>46059</v>
      </c>
      <c r="I490" s="188" t="s">
        <v>113</v>
      </c>
      <c r="J490" s="188" t="s">
        <v>108</v>
      </c>
      <c r="K490" s="188" t="s">
        <v>245</v>
      </c>
      <c r="L490" s="188" t="s">
        <v>286</v>
      </c>
      <c r="M490" s="188" t="s">
        <v>864</v>
      </c>
      <c r="N490" s="188" t="s">
        <v>249</v>
      </c>
      <c r="O490" s="188" t="s">
        <v>172</v>
      </c>
      <c r="P490" s="188" t="s">
        <v>111</v>
      </c>
      <c r="Q490" s="188" t="s">
        <v>145</v>
      </c>
      <c r="R490" s="188" t="s">
        <v>24</v>
      </c>
      <c r="S490" s="188" t="s">
        <v>152</v>
      </c>
      <c r="T490" s="188" t="s">
        <v>180</v>
      </c>
      <c r="U490" s="188" t="s">
        <v>122</v>
      </c>
      <c r="V490" s="188" t="s">
        <v>123</v>
      </c>
      <c r="W490" s="188" t="s">
        <v>168</v>
      </c>
      <c r="X490" s="188" t="s">
        <v>214</v>
      </c>
      <c r="Y490" s="188" t="s">
        <v>1040</v>
      </c>
      <c r="Z490" s="0" t="n">
        <v>1</v>
      </c>
      <c r="AA490" s="188" t="s">
        <v>1079</v>
      </c>
    </row>
    <row r="491" customFormat="false" ht="15" hidden="false" customHeight="true" outlineLevel="0" collapsed="false">
      <c r="A491" s="0" t="n">
        <v>99</v>
      </c>
      <c r="B491" s="187" t="n">
        <v>46076.0202156504</v>
      </c>
      <c r="C491" s="187" t="n">
        <v>46076.02859528</v>
      </c>
      <c r="D491" s="188" t="s">
        <v>909</v>
      </c>
      <c r="E491" s="188" t="s">
        <v>910</v>
      </c>
      <c r="F491" s="188" t="s">
        <v>910</v>
      </c>
      <c r="G491" s="188" t="s">
        <v>911</v>
      </c>
      <c r="H491" s="187" t="n">
        <v>46059</v>
      </c>
      <c r="I491" s="188" t="s">
        <v>113</v>
      </c>
      <c r="J491" s="188" t="s">
        <v>108</v>
      </c>
      <c r="K491" s="188" t="s">
        <v>245</v>
      </c>
      <c r="L491" s="188" t="s">
        <v>286</v>
      </c>
      <c r="M491" s="188" t="s">
        <v>864</v>
      </c>
      <c r="N491" s="188" t="s">
        <v>249</v>
      </c>
      <c r="O491" s="188" t="s">
        <v>172</v>
      </c>
      <c r="P491" s="188" t="s">
        <v>111</v>
      </c>
      <c r="Q491" s="188" t="s">
        <v>145</v>
      </c>
      <c r="R491" s="188" t="s">
        <v>24</v>
      </c>
      <c r="S491" s="188" t="s">
        <v>152</v>
      </c>
      <c r="T491" s="188" t="s">
        <v>180</v>
      </c>
      <c r="U491" s="188" t="s">
        <v>122</v>
      </c>
      <c r="V491" s="188" t="s">
        <v>123</v>
      </c>
      <c r="W491" s="188" t="s">
        <v>168</v>
      </c>
      <c r="X491" s="188" t="s">
        <v>214</v>
      </c>
      <c r="Y491" s="188" t="s">
        <v>1040</v>
      </c>
      <c r="Z491" s="0" t="n">
        <v>2</v>
      </c>
      <c r="AA491" s="188" t="s">
        <v>1041</v>
      </c>
    </row>
    <row r="492" customFormat="false" ht="15" hidden="false" customHeight="true" outlineLevel="0" collapsed="false">
      <c r="A492" s="0" t="n">
        <v>100</v>
      </c>
      <c r="B492" s="187" t="n">
        <v>46109.5320587297</v>
      </c>
      <c r="C492" s="187" t="n">
        <v>46109.5389568779</v>
      </c>
      <c r="D492" s="188" t="s">
        <v>915</v>
      </c>
      <c r="E492" s="188" t="s">
        <v>916</v>
      </c>
      <c r="F492" s="188" t="s">
        <v>917</v>
      </c>
      <c r="G492" s="188" t="s">
        <v>918</v>
      </c>
      <c r="H492" s="187" t="n">
        <v>46102</v>
      </c>
      <c r="I492" s="188" t="s">
        <v>113</v>
      </c>
      <c r="J492" s="188" t="s">
        <v>295</v>
      </c>
      <c r="K492" s="188" t="s">
        <v>173</v>
      </c>
      <c r="L492" s="188" t="s">
        <v>184</v>
      </c>
      <c r="M492" s="188" t="s">
        <v>174</v>
      </c>
      <c r="N492" s="188" t="s">
        <v>523</v>
      </c>
      <c r="O492" s="188" t="s">
        <v>107</v>
      </c>
      <c r="P492" s="188" t="s">
        <v>111</v>
      </c>
      <c r="Q492" s="188" t="s">
        <v>198</v>
      </c>
      <c r="R492" s="188" t="s">
        <v>22</v>
      </c>
      <c r="S492" s="188" t="s">
        <v>152</v>
      </c>
      <c r="T492" s="188" t="s">
        <v>121</v>
      </c>
      <c r="V492" s="188" t="s">
        <v>192</v>
      </c>
      <c r="W492" s="188" t="s">
        <v>124</v>
      </c>
      <c r="X492" s="188" t="s">
        <v>271</v>
      </c>
      <c r="Y492" s="188" t="s">
        <v>1035</v>
      </c>
      <c r="Z492" s="0" t="n">
        <v>1</v>
      </c>
      <c r="AA492" s="188" t="s">
        <v>1108</v>
      </c>
    </row>
    <row r="493" customFormat="false" ht="15" hidden="false" customHeight="true" outlineLevel="0" collapsed="false">
      <c r="A493" s="0" t="n">
        <v>100</v>
      </c>
      <c r="B493" s="187" t="n">
        <v>46109.5320587297</v>
      </c>
      <c r="C493" s="187" t="n">
        <v>46109.5389568779</v>
      </c>
      <c r="D493" s="188" t="s">
        <v>915</v>
      </c>
      <c r="E493" s="188" t="s">
        <v>916</v>
      </c>
      <c r="F493" s="188" t="s">
        <v>917</v>
      </c>
      <c r="G493" s="188" t="s">
        <v>918</v>
      </c>
      <c r="H493" s="187" t="n">
        <v>46102</v>
      </c>
      <c r="I493" s="188" t="s">
        <v>113</v>
      </c>
      <c r="J493" s="188" t="s">
        <v>295</v>
      </c>
      <c r="K493" s="188" t="s">
        <v>173</v>
      </c>
      <c r="L493" s="188" t="s">
        <v>184</v>
      </c>
      <c r="M493" s="188" t="s">
        <v>174</v>
      </c>
      <c r="N493" s="188" t="s">
        <v>523</v>
      </c>
      <c r="O493" s="188" t="s">
        <v>107</v>
      </c>
      <c r="P493" s="188" t="s">
        <v>111</v>
      </c>
      <c r="Q493" s="188" t="s">
        <v>198</v>
      </c>
      <c r="R493" s="188" t="s">
        <v>22</v>
      </c>
      <c r="S493" s="188" t="s">
        <v>152</v>
      </c>
      <c r="T493" s="188" t="s">
        <v>121</v>
      </c>
      <c r="V493" s="188" t="s">
        <v>192</v>
      </c>
      <c r="W493" s="188" t="s">
        <v>124</v>
      </c>
      <c r="X493" s="188" t="s">
        <v>271</v>
      </c>
      <c r="Y493" s="188" t="s">
        <v>1035</v>
      </c>
      <c r="Z493" s="0" t="n">
        <v>2</v>
      </c>
      <c r="AA493" s="188" t="s">
        <v>1086</v>
      </c>
    </row>
    <row r="494" customFormat="false" ht="15" hidden="false" customHeight="true" outlineLevel="0" collapsed="false">
      <c r="A494" s="0" t="n">
        <v>100</v>
      </c>
      <c r="B494" s="187" t="n">
        <v>46109.5320587297</v>
      </c>
      <c r="C494" s="187" t="n">
        <v>46109.5389568779</v>
      </c>
      <c r="D494" s="188" t="s">
        <v>915</v>
      </c>
      <c r="E494" s="188" t="s">
        <v>916</v>
      </c>
      <c r="F494" s="188" t="s">
        <v>917</v>
      </c>
      <c r="G494" s="188" t="s">
        <v>918</v>
      </c>
      <c r="H494" s="187" t="n">
        <v>46102</v>
      </c>
      <c r="I494" s="188" t="s">
        <v>113</v>
      </c>
      <c r="J494" s="188" t="s">
        <v>295</v>
      </c>
      <c r="K494" s="188" t="s">
        <v>173</v>
      </c>
      <c r="L494" s="188" t="s">
        <v>184</v>
      </c>
      <c r="M494" s="188" t="s">
        <v>174</v>
      </c>
      <c r="N494" s="188" t="s">
        <v>523</v>
      </c>
      <c r="O494" s="188" t="s">
        <v>107</v>
      </c>
      <c r="P494" s="188" t="s">
        <v>111</v>
      </c>
      <c r="Q494" s="188" t="s">
        <v>198</v>
      </c>
      <c r="R494" s="188" t="s">
        <v>22</v>
      </c>
      <c r="S494" s="188" t="s">
        <v>152</v>
      </c>
      <c r="T494" s="188" t="s">
        <v>121</v>
      </c>
      <c r="V494" s="188" t="s">
        <v>192</v>
      </c>
      <c r="W494" s="188" t="s">
        <v>124</v>
      </c>
      <c r="X494" s="188" t="s">
        <v>271</v>
      </c>
      <c r="Y494" s="188" t="s">
        <v>1035</v>
      </c>
      <c r="Z494" s="0" t="n">
        <v>3</v>
      </c>
      <c r="AA494" s="188" t="s">
        <v>1085</v>
      </c>
    </row>
    <row r="495" customFormat="false" ht="15" hidden="false" customHeight="true" outlineLevel="0" collapsed="false">
      <c r="A495" s="0" t="n">
        <v>100</v>
      </c>
      <c r="B495" s="187" t="n">
        <v>46109.5320587297</v>
      </c>
      <c r="C495" s="187" t="n">
        <v>46109.5389568779</v>
      </c>
      <c r="D495" s="188" t="s">
        <v>915</v>
      </c>
      <c r="E495" s="188" t="s">
        <v>916</v>
      </c>
      <c r="F495" s="188" t="s">
        <v>917</v>
      </c>
      <c r="G495" s="188" t="s">
        <v>918</v>
      </c>
      <c r="H495" s="187" t="n">
        <v>46102</v>
      </c>
      <c r="I495" s="188" t="s">
        <v>113</v>
      </c>
      <c r="J495" s="188" t="s">
        <v>295</v>
      </c>
      <c r="K495" s="188" t="s">
        <v>173</v>
      </c>
      <c r="L495" s="188" t="s">
        <v>184</v>
      </c>
      <c r="M495" s="188" t="s">
        <v>174</v>
      </c>
      <c r="N495" s="188" t="s">
        <v>523</v>
      </c>
      <c r="O495" s="188" t="s">
        <v>107</v>
      </c>
      <c r="P495" s="188" t="s">
        <v>111</v>
      </c>
      <c r="Q495" s="188" t="s">
        <v>198</v>
      </c>
      <c r="R495" s="188" t="s">
        <v>22</v>
      </c>
      <c r="S495" s="188" t="s">
        <v>152</v>
      </c>
      <c r="T495" s="188" t="s">
        <v>121</v>
      </c>
      <c r="V495" s="188" t="s">
        <v>192</v>
      </c>
      <c r="W495" s="188" t="s">
        <v>124</v>
      </c>
      <c r="X495" s="188" t="s">
        <v>271</v>
      </c>
      <c r="Y495" s="188" t="s">
        <v>1037</v>
      </c>
      <c r="Z495" s="0" t="n">
        <v>1</v>
      </c>
      <c r="AA495" s="188" t="s">
        <v>1087</v>
      </c>
    </row>
    <row r="496" customFormat="false" ht="15" hidden="false" customHeight="true" outlineLevel="0" collapsed="false">
      <c r="A496" s="0" t="n">
        <v>100</v>
      </c>
      <c r="B496" s="187" t="n">
        <v>46109.5320587297</v>
      </c>
      <c r="C496" s="187" t="n">
        <v>46109.5389568779</v>
      </c>
      <c r="D496" s="188" t="s">
        <v>915</v>
      </c>
      <c r="E496" s="188" t="s">
        <v>916</v>
      </c>
      <c r="F496" s="188" t="s">
        <v>917</v>
      </c>
      <c r="G496" s="188" t="s">
        <v>918</v>
      </c>
      <c r="H496" s="187" t="n">
        <v>46102</v>
      </c>
      <c r="I496" s="188" t="s">
        <v>113</v>
      </c>
      <c r="J496" s="188" t="s">
        <v>295</v>
      </c>
      <c r="K496" s="188" t="s">
        <v>173</v>
      </c>
      <c r="L496" s="188" t="s">
        <v>184</v>
      </c>
      <c r="M496" s="188" t="s">
        <v>174</v>
      </c>
      <c r="N496" s="188" t="s">
        <v>523</v>
      </c>
      <c r="O496" s="188" t="s">
        <v>107</v>
      </c>
      <c r="P496" s="188" t="s">
        <v>111</v>
      </c>
      <c r="Q496" s="188" t="s">
        <v>198</v>
      </c>
      <c r="R496" s="188" t="s">
        <v>22</v>
      </c>
      <c r="S496" s="188" t="s">
        <v>152</v>
      </c>
      <c r="T496" s="188" t="s">
        <v>121</v>
      </c>
      <c r="V496" s="188" t="s">
        <v>192</v>
      </c>
      <c r="W496" s="188" t="s">
        <v>124</v>
      </c>
      <c r="X496" s="188" t="s">
        <v>271</v>
      </c>
      <c r="Y496" s="188" t="s">
        <v>1037</v>
      </c>
      <c r="Z496" s="0" t="n">
        <v>2</v>
      </c>
      <c r="AA496" s="188" t="s">
        <v>1088</v>
      </c>
    </row>
    <row r="497" customFormat="false" ht="15" hidden="false" customHeight="true" outlineLevel="0" collapsed="false">
      <c r="A497" s="0" t="n">
        <v>100</v>
      </c>
      <c r="B497" s="187" t="n">
        <v>46109.5320587297</v>
      </c>
      <c r="C497" s="187" t="n">
        <v>46109.5389568779</v>
      </c>
      <c r="D497" s="188" t="s">
        <v>915</v>
      </c>
      <c r="E497" s="188" t="s">
        <v>916</v>
      </c>
      <c r="F497" s="188" t="s">
        <v>917</v>
      </c>
      <c r="G497" s="188" t="s">
        <v>918</v>
      </c>
      <c r="H497" s="187" t="n">
        <v>46102</v>
      </c>
      <c r="I497" s="188" t="s">
        <v>113</v>
      </c>
      <c r="J497" s="188" t="s">
        <v>295</v>
      </c>
      <c r="K497" s="188" t="s">
        <v>173</v>
      </c>
      <c r="L497" s="188" t="s">
        <v>184</v>
      </c>
      <c r="M497" s="188" t="s">
        <v>174</v>
      </c>
      <c r="N497" s="188" t="s">
        <v>523</v>
      </c>
      <c r="O497" s="188" t="s">
        <v>107</v>
      </c>
      <c r="P497" s="188" t="s">
        <v>111</v>
      </c>
      <c r="Q497" s="188" t="s">
        <v>198</v>
      </c>
      <c r="R497" s="188" t="s">
        <v>22</v>
      </c>
      <c r="S497" s="188" t="s">
        <v>152</v>
      </c>
      <c r="T497" s="188" t="s">
        <v>121</v>
      </c>
      <c r="V497" s="188" t="s">
        <v>192</v>
      </c>
      <c r="W497" s="188" t="s">
        <v>124</v>
      </c>
      <c r="X497" s="188" t="s">
        <v>271</v>
      </c>
      <c r="Y497" s="188" t="s">
        <v>1040</v>
      </c>
      <c r="Z497" s="0" t="n">
        <v>1</v>
      </c>
      <c r="AA497" s="188" t="s">
        <v>1090</v>
      </c>
    </row>
    <row r="498" customFormat="false" ht="15" hidden="false" customHeight="true" outlineLevel="0" collapsed="false">
      <c r="B498" s="187"/>
      <c r="C498" s="187"/>
      <c r="H498" s="187"/>
    </row>
    <row r="499" customFormat="false" ht="15" hidden="false" customHeight="true" outlineLevel="0" collapsed="false">
      <c r="B499" s="187"/>
      <c r="C499" s="187"/>
      <c r="H499" s="187"/>
    </row>
    <row r="500" customFormat="false" ht="15" hidden="false" customHeight="true" outlineLevel="0" collapsed="false">
      <c r="B500" s="187"/>
      <c r="C500" s="187"/>
      <c r="H500" s="187"/>
    </row>
    <row r="501" customFormat="false" ht="15" hidden="false" customHeight="true" outlineLevel="0" collapsed="false">
      <c r="B501" s="187"/>
      <c r="C501" s="187"/>
      <c r="H501" s="187"/>
    </row>
    <row r="502" customFormat="false" ht="15" hidden="false" customHeight="true" outlineLevel="0" collapsed="false">
      <c r="B502" s="187"/>
      <c r="C502" s="187"/>
      <c r="H502" s="187"/>
    </row>
    <row r="503" customFormat="false" ht="15" hidden="false" customHeight="true" outlineLevel="0" collapsed="false">
      <c r="B503" s="187"/>
      <c r="C503" s="187"/>
      <c r="H503" s="187"/>
    </row>
    <row r="504" customFormat="false" ht="15" hidden="false" customHeight="true" outlineLevel="0" collapsed="false">
      <c r="B504" s="187"/>
      <c r="C504" s="187"/>
      <c r="H504" s="187"/>
    </row>
    <row r="505" customFormat="false" ht="15" hidden="false" customHeight="true" outlineLevel="0" collapsed="false">
      <c r="B505" s="187"/>
      <c r="C505" s="187"/>
      <c r="H505" s="187"/>
    </row>
    <row r="506" customFormat="false" ht="15" hidden="false" customHeight="true" outlineLevel="0" collapsed="false">
      <c r="B506" s="187"/>
      <c r="C506" s="187"/>
      <c r="H506" s="187"/>
    </row>
    <row r="507" customFormat="false" ht="15" hidden="false" customHeight="true" outlineLevel="0" collapsed="false">
      <c r="B507" s="187"/>
      <c r="C507" s="187"/>
      <c r="H507" s="187"/>
    </row>
    <row r="508" customFormat="false" ht="15" hidden="false" customHeight="true" outlineLevel="0" collapsed="false">
      <c r="B508" s="187"/>
      <c r="C508" s="187"/>
      <c r="H508" s="187"/>
    </row>
    <row r="509" customFormat="false" ht="15" hidden="false" customHeight="true" outlineLevel="0" collapsed="false">
      <c r="B509" s="187"/>
      <c r="C509" s="187"/>
      <c r="H509" s="187"/>
    </row>
    <row r="510" customFormat="false" ht="15" hidden="false" customHeight="true" outlineLevel="0" collapsed="false">
      <c r="B510" s="187"/>
      <c r="C510" s="187"/>
      <c r="H510" s="187"/>
    </row>
    <row r="511" customFormat="false" ht="15" hidden="false" customHeight="true" outlineLevel="0" collapsed="false">
      <c r="B511" s="187"/>
      <c r="C511" s="187"/>
      <c r="H511" s="187"/>
    </row>
    <row r="512" customFormat="false" ht="15" hidden="false" customHeight="true" outlineLevel="0" collapsed="false">
      <c r="B512" s="187"/>
      <c r="C512" s="187"/>
      <c r="H512" s="187"/>
    </row>
    <row r="513" customFormat="false" ht="15" hidden="false" customHeight="true" outlineLevel="0" collapsed="false">
      <c r="B513" s="187"/>
      <c r="C513" s="187"/>
      <c r="H513" s="187"/>
    </row>
    <row r="514" customFormat="false" ht="15" hidden="false" customHeight="true" outlineLevel="0" collapsed="false">
      <c r="B514" s="187"/>
      <c r="C514" s="187"/>
      <c r="H514" s="187"/>
    </row>
    <row r="515" customFormat="false" ht="15" hidden="false" customHeight="true" outlineLevel="0" collapsed="false">
      <c r="B515" s="187"/>
      <c r="C515" s="187"/>
      <c r="H515" s="187"/>
    </row>
    <row r="516" customFormat="false" ht="15" hidden="false" customHeight="true" outlineLevel="0" collapsed="false">
      <c r="B516" s="187"/>
      <c r="C516" s="187"/>
      <c r="H516" s="187"/>
    </row>
    <row r="517" customFormat="false" ht="15" hidden="false" customHeight="true" outlineLevel="0" collapsed="false">
      <c r="B517" s="187"/>
      <c r="C517" s="187"/>
      <c r="H517" s="187"/>
    </row>
    <row r="518" customFormat="false" ht="15" hidden="false" customHeight="true" outlineLevel="0" collapsed="false">
      <c r="B518" s="187"/>
      <c r="C518" s="187"/>
      <c r="H518" s="187"/>
    </row>
    <row r="519" customFormat="false" ht="15" hidden="false" customHeight="true" outlineLevel="0" collapsed="false">
      <c r="B519" s="187"/>
      <c r="C519" s="187"/>
      <c r="H519" s="187"/>
    </row>
    <row r="520" customFormat="false" ht="15" hidden="false" customHeight="true" outlineLevel="0" collapsed="false">
      <c r="B520" s="187"/>
      <c r="C520" s="187"/>
      <c r="H520" s="187"/>
    </row>
    <row r="521" customFormat="false" ht="15" hidden="false" customHeight="true" outlineLevel="0" collapsed="false">
      <c r="B521" s="187"/>
      <c r="C521" s="187"/>
      <c r="H521" s="187"/>
    </row>
    <row r="522" customFormat="false" ht="15" hidden="false" customHeight="true" outlineLevel="0" collapsed="false">
      <c r="B522" s="187"/>
      <c r="C522" s="187"/>
      <c r="H522" s="187"/>
    </row>
    <row r="523" customFormat="false" ht="15" hidden="false" customHeight="true" outlineLevel="0" collapsed="false">
      <c r="B523" s="187"/>
      <c r="C523" s="187"/>
      <c r="H523" s="187"/>
    </row>
    <row r="524" customFormat="false" ht="15" hidden="false" customHeight="true" outlineLevel="0" collapsed="false">
      <c r="B524" s="187"/>
      <c r="C524" s="187"/>
      <c r="H524" s="187"/>
    </row>
    <row r="525" customFormat="false" ht="15" hidden="false" customHeight="true" outlineLevel="0" collapsed="false">
      <c r="B525" s="187"/>
      <c r="C525" s="187"/>
      <c r="H525" s="187"/>
    </row>
    <row r="526" customFormat="false" ht="15" hidden="false" customHeight="true" outlineLevel="0" collapsed="false">
      <c r="B526" s="187"/>
      <c r="C526" s="187"/>
      <c r="H526" s="187"/>
    </row>
    <row r="527" customFormat="false" ht="15" hidden="false" customHeight="true" outlineLevel="0" collapsed="false">
      <c r="B527" s="187"/>
      <c r="C527" s="187"/>
      <c r="H527" s="187"/>
    </row>
    <row r="528" customFormat="false" ht="15" hidden="false" customHeight="true" outlineLevel="0" collapsed="false">
      <c r="B528" s="187"/>
      <c r="C528" s="187"/>
      <c r="H528" s="187"/>
    </row>
    <row r="529" customFormat="false" ht="15" hidden="false" customHeight="true" outlineLevel="0" collapsed="false">
      <c r="B529" s="187"/>
      <c r="C529" s="187"/>
      <c r="H529" s="187"/>
    </row>
    <row r="530" customFormat="false" ht="15" hidden="false" customHeight="true" outlineLevel="0" collapsed="false">
      <c r="B530" s="187"/>
      <c r="C530" s="187"/>
      <c r="H530" s="187"/>
    </row>
    <row r="531" customFormat="false" ht="15" hidden="false" customHeight="true" outlineLevel="0" collapsed="false">
      <c r="B531" s="187"/>
      <c r="C531" s="187"/>
      <c r="H531" s="187"/>
    </row>
    <row r="532" customFormat="false" ht="15" hidden="false" customHeight="true" outlineLevel="0" collapsed="false">
      <c r="B532" s="187"/>
      <c r="C532" s="187"/>
      <c r="H532" s="187"/>
    </row>
    <row r="533" customFormat="false" ht="15" hidden="false" customHeight="true" outlineLevel="0" collapsed="false">
      <c r="B533" s="187"/>
      <c r="C533" s="187"/>
      <c r="H533" s="187"/>
    </row>
    <row r="534" customFormat="false" ht="15" hidden="false" customHeight="true" outlineLevel="0" collapsed="false">
      <c r="B534" s="187"/>
      <c r="C534" s="187"/>
      <c r="H534" s="187"/>
    </row>
    <row r="535" customFormat="false" ht="15" hidden="false" customHeight="true" outlineLevel="0" collapsed="false">
      <c r="B535" s="187"/>
      <c r="C535" s="187"/>
      <c r="H535" s="187"/>
    </row>
    <row r="536" customFormat="false" ht="15" hidden="false" customHeight="true" outlineLevel="0" collapsed="false">
      <c r="B536" s="187"/>
      <c r="C536" s="187"/>
      <c r="H536" s="187"/>
    </row>
    <row r="537" customFormat="false" ht="15" hidden="false" customHeight="true" outlineLevel="0" collapsed="false">
      <c r="B537" s="187"/>
      <c r="C537" s="187"/>
      <c r="H537" s="187"/>
    </row>
    <row r="538" customFormat="false" ht="15" hidden="false" customHeight="true" outlineLevel="0" collapsed="false">
      <c r="B538" s="187"/>
      <c r="C538" s="187"/>
      <c r="H538" s="187"/>
    </row>
    <row r="539" customFormat="false" ht="15" hidden="false" customHeight="true" outlineLevel="0" collapsed="false">
      <c r="B539" s="187"/>
      <c r="C539" s="187"/>
      <c r="H539" s="187"/>
    </row>
    <row r="540" customFormat="false" ht="15" hidden="false" customHeight="true" outlineLevel="0" collapsed="false">
      <c r="B540" s="187"/>
      <c r="C540" s="187"/>
      <c r="H540" s="187"/>
    </row>
    <row r="541" customFormat="false" ht="15" hidden="false" customHeight="true" outlineLevel="0" collapsed="false">
      <c r="B541" s="187"/>
      <c r="C541" s="187"/>
      <c r="H541" s="187"/>
    </row>
    <row r="542" customFormat="false" ht="15" hidden="false" customHeight="true" outlineLevel="0" collapsed="false">
      <c r="B542" s="187"/>
      <c r="C542" s="187"/>
      <c r="H542" s="187"/>
    </row>
    <row r="543" customFormat="false" ht="15" hidden="false" customHeight="true" outlineLevel="0" collapsed="false">
      <c r="B543" s="187"/>
      <c r="C543" s="187"/>
      <c r="H543" s="187"/>
    </row>
    <row r="544" customFormat="false" ht="15" hidden="false" customHeight="true" outlineLevel="0" collapsed="false">
      <c r="B544" s="187"/>
      <c r="C544" s="187"/>
      <c r="H544" s="187"/>
    </row>
    <row r="545" customFormat="false" ht="15" hidden="false" customHeight="true" outlineLevel="0" collapsed="false">
      <c r="B545" s="187"/>
      <c r="C545" s="187"/>
      <c r="H545" s="187"/>
    </row>
    <row r="546" customFormat="false" ht="15" hidden="false" customHeight="true" outlineLevel="0" collapsed="false">
      <c r="B546" s="187"/>
      <c r="C546" s="187"/>
      <c r="H546" s="187"/>
    </row>
    <row r="547" customFormat="false" ht="15" hidden="false" customHeight="true" outlineLevel="0" collapsed="false">
      <c r="B547" s="187"/>
      <c r="C547" s="187"/>
      <c r="H547" s="187"/>
    </row>
    <row r="548" customFormat="false" ht="15" hidden="false" customHeight="true" outlineLevel="0" collapsed="false">
      <c r="B548" s="187"/>
      <c r="C548" s="187"/>
      <c r="H548" s="187"/>
    </row>
    <row r="549" customFormat="false" ht="15" hidden="false" customHeight="true" outlineLevel="0" collapsed="false">
      <c r="B549" s="187"/>
      <c r="C549" s="187"/>
      <c r="H549" s="187"/>
    </row>
    <row r="550" customFormat="false" ht="15" hidden="false" customHeight="true" outlineLevel="0" collapsed="false">
      <c r="B550" s="187"/>
      <c r="C550" s="187"/>
      <c r="H550" s="187"/>
    </row>
    <row r="551" customFormat="false" ht="15" hidden="false" customHeight="true" outlineLevel="0" collapsed="false">
      <c r="B551" s="187"/>
      <c r="C551" s="187"/>
      <c r="H551" s="187"/>
    </row>
    <row r="552" customFormat="false" ht="15" hidden="false" customHeight="true" outlineLevel="0" collapsed="false">
      <c r="B552" s="187"/>
      <c r="C552" s="187"/>
      <c r="H552" s="187"/>
    </row>
    <row r="553" customFormat="false" ht="15" hidden="false" customHeight="true" outlineLevel="0" collapsed="false">
      <c r="B553" s="187"/>
      <c r="C553" s="187"/>
      <c r="H553" s="187"/>
    </row>
    <row r="554" customFormat="false" ht="15" hidden="false" customHeight="true" outlineLevel="0" collapsed="false">
      <c r="B554" s="187"/>
      <c r="C554" s="187"/>
      <c r="H554" s="187"/>
    </row>
    <row r="555" customFormat="false" ht="15" hidden="false" customHeight="true" outlineLevel="0" collapsed="false">
      <c r="B555" s="187"/>
      <c r="C555" s="187"/>
      <c r="H555" s="187"/>
    </row>
    <row r="556" customFormat="false" ht="15" hidden="false" customHeight="true" outlineLevel="0" collapsed="false">
      <c r="B556" s="187"/>
      <c r="C556" s="187"/>
      <c r="H556" s="187"/>
    </row>
    <row r="557" customFormat="false" ht="15" hidden="false" customHeight="true" outlineLevel="0" collapsed="false">
      <c r="B557" s="187"/>
      <c r="C557" s="187"/>
      <c r="H557" s="187"/>
    </row>
    <row r="558" customFormat="false" ht="15" hidden="false" customHeight="true" outlineLevel="0" collapsed="false">
      <c r="B558" s="187"/>
      <c r="C558" s="187"/>
      <c r="H558" s="187"/>
    </row>
    <row r="559" customFormat="false" ht="15" hidden="false" customHeight="true" outlineLevel="0" collapsed="false">
      <c r="B559" s="187"/>
      <c r="C559" s="187"/>
      <c r="H559" s="187"/>
    </row>
    <row r="560" customFormat="false" ht="15" hidden="false" customHeight="false" outlineLevel="0" collapsed="false">
      <c r="B560" s="187"/>
      <c r="C560" s="187"/>
      <c r="H560" s="187"/>
    </row>
    <row r="561" customFormat="false" ht="15" hidden="false" customHeight="false" outlineLevel="0" collapsed="false">
      <c r="B561" s="187"/>
      <c r="C561" s="187"/>
      <c r="H561" s="187"/>
    </row>
    <row r="562" customFormat="false" ht="15" hidden="false" customHeight="false" outlineLevel="0" collapsed="false">
      <c r="B562" s="187"/>
      <c r="C562" s="187"/>
      <c r="H562" s="187"/>
    </row>
    <row r="563" customFormat="false" ht="15" hidden="false" customHeight="false" outlineLevel="0" collapsed="false">
      <c r="B563" s="187"/>
      <c r="C563" s="187"/>
      <c r="H563" s="187"/>
    </row>
    <row r="564" customFormat="false" ht="15" hidden="false" customHeight="false" outlineLevel="0" collapsed="false">
      <c r="B564" s="187"/>
      <c r="C564" s="187"/>
      <c r="H564" s="187"/>
    </row>
    <row r="565" customFormat="false" ht="15" hidden="false" customHeight="false" outlineLevel="0" collapsed="false">
      <c r="B565" s="187"/>
      <c r="C565" s="187"/>
      <c r="H565" s="187"/>
    </row>
    <row r="566" customFormat="false" ht="15" hidden="false" customHeight="false" outlineLevel="0" collapsed="false">
      <c r="B566" s="187"/>
      <c r="C566" s="187"/>
      <c r="H566" s="187"/>
    </row>
    <row r="567" customFormat="false" ht="15" hidden="false" customHeight="false" outlineLevel="0" collapsed="false">
      <c r="B567" s="187"/>
      <c r="C567" s="187"/>
      <c r="H567" s="187"/>
    </row>
    <row r="568" customFormat="false" ht="15" hidden="false" customHeight="false" outlineLevel="0" collapsed="false">
      <c r="B568" s="187"/>
      <c r="C568" s="187"/>
      <c r="H568" s="187"/>
    </row>
    <row r="569" customFormat="false" ht="15" hidden="false" customHeight="false" outlineLevel="0" collapsed="false">
      <c r="B569" s="187"/>
      <c r="C569" s="187"/>
      <c r="H569" s="187"/>
    </row>
    <row r="570" customFormat="false" ht="15" hidden="false" customHeight="false" outlineLevel="0" collapsed="false">
      <c r="B570" s="187"/>
      <c r="C570" s="187"/>
      <c r="H570" s="187"/>
    </row>
    <row r="571" customFormat="false" ht="15" hidden="false" customHeight="false" outlineLevel="0" collapsed="false">
      <c r="B571" s="187"/>
      <c r="C571" s="187"/>
      <c r="H571" s="187"/>
    </row>
    <row r="572" customFormat="false" ht="15" hidden="false" customHeight="false" outlineLevel="0" collapsed="false">
      <c r="B572" s="187"/>
      <c r="C572" s="187"/>
      <c r="H572" s="187"/>
    </row>
    <row r="573" customFormat="false" ht="15" hidden="false" customHeight="false" outlineLevel="0" collapsed="false">
      <c r="B573" s="187"/>
      <c r="C573" s="187"/>
      <c r="H573" s="187"/>
    </row>
    <row r="574" customFormat="false" ht="15" hidden="false" customHeight="false" outlineLevel="0" collapsed="false">
      <c r="B574" s="187"/>
      <c r="C574" s="187"/>
      <c r="H574" s="187"/>
    </row>
    <row r="575" customFormat="false" ht="15" hidden="false" customHeight="false" outlineLevel="0" collapsed="false">
      <c r="B575" s="187"/>
      <c r="C575" s="187"/>
      <c r="H575" s="187"/>
    </row>
    <row r="576" customFormat="false" ht="15" hidden="false" customHeight="false" outlineLevel="0" collapsed="false">
      <c r="B576" s="187"/>
      <c r="C576" s="187"/>
      <c r="H576" s="187"/>
    </row>
    <row r="577" customFormat="false" ht="15" hidden="false" customHeight="false" outlineLevel="0" collapsed="false">
      <c r="B577" s="187"/>
      <c r="C577" s="187"/>
      <c r="H577" s="187"/>
    </row>
    <row r="578" customFormat="false" ht="15" hidden="false" customHeight="false" outlineLevel="0" collapsed="false">
      <c r="B578" s="187"/>
      <c r="C578" s="187"/>
      <c r="H578" s="187"/>
    </row>
    <row r="579" customFormat="false" ht="15" hidden="false" customHeight="false" outlineLevel="0" collapsed="false">
      <c r="B579" s="187"/>
      <c r="C579" s="187"/>
      <c r="H579" s="187"/>
    </row>
    <row r="580" customFormat="false" ht="15" hidden="false" customHeight="false" outlineLevel="0" collapsed="false">
      <c r="B580" s="187"/>
      <c r="C580" s="187"/>
      <c r="H580" s="187"/>
    </row>
    <row r="581" customFormat="false" ht="15" hidden="false" customHeight="false" outlineLevel="0" collapsed="false">
      <c r="B581" s="187"/>
      <c r="C581" s="187"/>
      <c r="H581" s="187"/>
    </row>
    <row r="582" customFormat="false" ht="15" hidden="false" customHeight="false" outlineLevel="0" collapsed="false">
      <c r="B582" s="187"/>
      <c r="C582" s="187"/>
      <c r="H582" s="187"/>
    </row>
    <row r="583" customFormat="false" ht="15" hidden="false" customHeight="false" outlineLevel="0" collapsed="false">
      <c r="B583" s="187"/>
      <c r="C583" s="187"/>
      <c r="H583" s="187"/>
    </row>
    <row r="584" customFormat="false" ht="15" hidden="false" customHeight="false" outlineLevel="0" collapsed="false">
      <c r="B584" s="187"/>
      <c r="C584" s="187"/>
      <c r="H584" s="187"/>
    </row>
    <row r="585" customFormat="false" ht="15" hidden="false" customHeight="false" outlineLevel="0" collapsed="false">
      <c r="B585" s="187"/>
      <c r="C585" s="187"/>
      <c r="H585" s="187"/>
    </row>
    <row r="586" customFormat="false" ht="15" hidden="false" customHeight="false" outlineLevel="0" collapsed="false">
      <c r="B586" s="187"/>
      <c r="C586" s="187"/>
      <c r="H586" s="187"/>
    </row>
    <row r="587" customFormat="false" ht="15" hidden="false" customHeight="false" outlineLevel="0" collapsed="false">
      <c r="B587" s="187"/>
      <c r="C587" s="187"/>
      <c r="H587" s="187"/>
    </row>
    <row r="588" customFormat="false" ht="15" hidden="false" customHeight="false" outlineLevel="0" collapsed="false">
      <c r="B588" s="187"/>
      <c r="C588" s="187"/>
      <c r="H588" s="187"/>
    </row>
    <row r="589" customFormat="false" ht="15" hidden="false" customHeight="false" outlineLevel="0" collapsed="false">
      <c r="B589" s="187"/>
      <c r="C589" s="187"/>
      <c r="H589" s="187"/>
    </row>
    <row r="590" customFormat="false" ht="15" hidden="false" customHeight="false" outlineLevel="0" collapsed="false">
      <c r="B590" s="187"/>
      <c r="C590" s="187"/>
      <c r="H590" s="187"/>
    </row>
    <row r="591" customFormat="false" ht="15" hidden="false" customHeight="false" outlineLevel="0" collapsed="false">
      <c r="B591" s="187"/>
      <c r="C591" s="187"/>
      <c r="H591" s="187"/>
    </row>
    <row r="592" customFormat="false" ht="15" hidden="false" customHeight="false" outlineLevel="0" collapsed="false">
      <c r="B592" s="187"/>
      <c r="C592" s="187"/>
      <c r="H592" s="187"/>
    </row>
    <row r="593" customFormat="false" ht="15" hidden="false" customHeight="false" outlineLevel="0" collapsed="false">
      <c r="B593" s="187"/>
      <c r="C593" s="187"/>
      <c r="H593" s="187"/>
    </row>
    <row r="594" customFormat="false" ht="15" hidden="false" customHeight="false" outlineLevel="0" collapsed="false">
      <c r="B594" s="187"/>
      <c r="C594" s="187"/>
      <c r="H594" s="187"/>
    </row>
    <row r="595" customFormat="false" ht="15" hidden="false" customHeight="false" outlineLevel="0" collapsed="false">
      <c r="B595" s="187"/>
      <c r="C595" s="187"/>
      <c r="H595" s="187"/>
    </row>
    <row r="596" customFormat="false" ht="15" hidden="false" customHeight="false" outlineLevel="0" collapsed="false">
      <c r="B596" s="187"/>
      <c r="C596" s="187"/>
      <c r="H596" s="187"/>
    </row>
    <row r="597" customFormat="false" ht="15" hidden="false" customHeight="false" outlineLevel="0" collapsed="false">
      <c r="B597" s="187"/>
      <c r="C597" s="187"/>
      <c r="H597" s="187"/>
    </row>
    <row r="598" customFormat="false" ht="15" hidden="false" customHeight="false" outlineLevel="0" collapsed="false">
      <c r="B598" s="187"/>
      <c r="C598" s="187"/>
      <c r="H598" s="187"/>
    </row>
    <row r="599" customFormat="false" ht="15" hidden="false" customHeight="false" outlineLevel="0" collapsed="false">
      <c r="B599" s="187"/>
      <c r="C599" s="187"/>
      <c r="H599" s="187"/>
    </row>
    <row r="600" customFormat="false" ht="15" hidden="false" customHeight="false" outlineLevel="0" collapsed="false">
      <c r="B600" s="187"/>
      <c r="C600" s="187"/>
      <c r="H600" s="187"/>
    </row>
    <row r="601" customFormat="false" ht="15" hidden="false" customHeight="false" outlineLevel="0" collapsed="false">
      <c r="B601" s="187"/>
      <c r="C601" s="187"/>
      <c r="H601" s="187"/>
    </row>
    <row r="602" customFormat="false" ht="15" hidden="false" customHeight="false" outlineLevel="0" collapsed="false">
      <c r="B602" s="187"/>
      <c r="C602" s="187"/>
      <c r="H602" s="187"/>
    </row>
    <row r="603" customFormat="false" ht="15" hidden="false" customHeight="false" outlineLevel="0" collapsed="false">
      <c r="B603" s="187"/>
      <c r="C603" s="187"/>
      <c r="H603" s="187"/>
    </row>
    <row r="604" customFormat="false" ht="15" hidden="false" customHeight="false" outlineLevel="0" collapsed="false">
      <c r="B604" s="187"/>
      <c r="C604" s="187"/>
      <c r="H604" s="187"/>
    </row>
    <row r="605" customFormat="false" ht="15" hidden="false" customHeight="false" outlineLevel="0" collapsed="false">
      <c r="B605" s="187"/>
      <c r="C605" s="187"/>
      <c r="H605" s="187"/>
    </row>
    <row r="606" customFormat="false" ht="15" hidden="false" customHeight="false" outlineLevel="0" collapsed="false">
      <c r="B606" s="187"/>
      <c r="C606" s="187"/>
      <c r="H606" s="187"/>
    </row>
    <row r="607" customFormat="false" ht="15" hidden="false" customHeight="false" outlineLevel="0" collapsed="false">
      <c r="B607" s="187"/>
      <c r="C607" s="187"/>
      <c r="H607" s="187"/>
    </row>
    <row r="608" customFormat="false" ht="15" hidden="false" customHeight="false" outlineLevel="0" collapsed="false">
      <c r="B608" s="187"/>
      <c r="C608" s="187"/>
      <c r="H608" s="187"/>
    </row>
    <row r="609" customFormat="false" ht="15" hidden="false" customHeight="false" outlineLevel="0" collapsed="false">
      <c r="B609" s="187"/>
      <c r="C609" s="187"/>
      <c r="H609" s="187"/>
    </row>
    <row r="610" customFormat="false" ht="15" hidden="false" customHeight="false" outlineLevel="0" collapsed="false">
      <c r="B610" s="187"/>
      <c r="C610" s="187"/>
      <c r="H610" s="187"/>
    </row>
    <row r="611" customFormat="false" ht="15" hidden="false" customHeight="false" outlineLevel="0" collapsed="false">
      <c r="B611" s="187"/>
      <c r="C611" s="187"/>
      <c r="H611" s="187"/>
    </row>
    <row r="612" customFormat="false" ht="15" hidden="false" customHeight="false" outlineLevel="0" collapsed="false">
      <c r="B612" s="187"/>
      <c r="C612" s="187"/>
      <c r="H612" s="187"/>
    </row>
    <row r="613" customFormat="false" ht="15" hidden="false" customHeight="false" outlineLevel="0" collapsed="false">
      <c r="B613" s="187"/>
      <c r="C613" s="187"/>
      <c r="H613" s="187"/>
    </row>
    <row r="614" customFormat="false" ht="15" hidden="false" customHeight="false" outlineLevel="0" collapsed="false">
      <c r="B614" s="187"/>
      <c r="C614" s="187"/>
      <c r="H614" s="187"/>
    </row>
    <row r="615" customFormat="false" ht="15" hidden="false" customHeight="false" outlineLevel="0" collapsed="false">
      <c r="B615" s="187"/>
      <c r="C615" s="187"/>
      <c r="H615" s="187"/>
    </row>
    <row r="616" customFormat="false" ht="15" hidden="false" customHeight="false" outlineLevel="0" collapsed="false">
      <c r="B616" s="187"/>
      <c r="C616" s="187"/>
      <c r="H616" s="187"/>
    </row>
    <row r="617" customFormat="false" ht="15" hidden="false" customHeight="false" outlineLevel="0" collapsed="false">
      <c r="B617" s="187"/>
      <c r="C617" s="187"/>
      <c r="H617" s="187"/>
    </row>
    <row r="618" customFormat="false" ht="15" hidden="false" customHeight="false" outlineLevel="0" collapsed="false">
      <c r="B618" s="187"/>
      <c r="C618" s="187"/>
      <c r="H618" s="187"/>
    </row>
    <row r="619" customFormat="false" ht="15" hidden="false" customHeight="false" outlineLevel="0" collapsed="false">
      <c r="B619" s="187"/>
      <c r="C619" s="187"/>
      <c r="H619" s="187"/>
    </row>
    <row r="620" customFormat="false" ht="15" hidden="false" customHeight="false" outlineLevel="0" collapsed="false">
      <c r="B620" s="187"/>
      <c r="C620" s="187"/>
      <c r="H620" s="187"/>
    </row>
    <row r="621" customFormat="false" ht="15" hidden="false" customHeight="false" outlineLevel="0" collapsed="false">
      <c r="B621" s="187"/>
      <c r="C621" s="187"/>
      <c r="H621" s="187"/>
    </row>
    <row r="622" customFormat="false" ht="15" hidden="false" customHeight="false" outlineLevel="0" collapsed="false">
      <c r="B622" s="187"/>
      <c r="C622" s="187"/>
      <c r="H622" s="187"/>
    </row>
    <row r="623" customFormat="false" ht="15" hidden="false" customHeight="false" outlineLevel="0" collapsed="false">
      <c r="B623" s="187"/>
      <c r="C623" s="187"/>
      <c r="H623" s="187"/>
    </row>
    <row r="624" customFormat="false" ht="15" hidden="false" customHeight="false" outlineLevel="0" collapsed="false">
      <c r="B624" s="187"/>
      <c r="C624" s="187"/>
      <c r="H624" s="187"/>
    </row>
    <row r="625" customFormat="false" ht="15" hidden="false" customHeight="false" outlineLevel="0" collapsed="false">
      <c r="B625" s="187"/>
      <c r="C625" s="187"/>
      <c r="H625" s="187"/>
    </row>
    <row r="626" customFormat="false" ht="15" hidden="false" customHeight="false" outlineLevel="0" collapsed="false">
      <c r="B626" s="187"/>
      <c r="C626" s="187"/>
      <c r="H626" s="187"/>
    </row>
    <row r="627" customFormat="false" ht="15" hidden="false" customHeight="false" outlineLevel="0" collapsed="false">
      <c r="B627" s="187"/>
      <c r="C627" s="187"/>
      <c r="H627" s="187"/>
    </row>
    <row r="628" customFormat="false" ht="15" hidden="false" customHeight="false" outlineLevel="0" collapsed="false">
      <c r="B628" s="187"/>
      <c r="C628" s="187"/>
      <c r="H628" s="187"/>
    </row>
    <row r="629" customFormat="false" ht="15" hidden="false" customHeight="false" outlineLevel="0" collapsed="false">
      <c r="B629" s="187"/>
      <c r="C629" s="187"/>
      <c r="H629" s="187"/>
    </row>
    <row r="630" customFormat="false" ht="15" hidden="false" customHeight="false" outlineLevel="0" collapsed="false">
      <c r="B630" s="187"/>
      <c r="C630" s="187"/>
      <c r="H630" s="187"/>
    </row>
    <row r="631" customFormat="false" ht="15" hidden="false" customHeight="false" outlineLevel="0" collapsed="false">
      <c r="B631" s="187"/>
      <c r="C631" s="187"/>
      <c r="H631" s="187"/>
    </row>
    <row r="632" customFormat="false" ht="15" hidden="false" customHeight="false" outlineLevel="0" collapsed="false">
      <c r="B632" s="187"/>
      <c r="C632" s="187"/>
      <c r="H632" s="187"/>
    </row>
    <row r="633" customFormat="false" ht="15" hidden="false" customHeight="false" outlineLevel="0" collapsed="false">
      <c r="B633" s="187"/>
      <c r="C633" s="187"/>
      <c r="H633" s="187"/>
    </row>
    <row r="634" customFormat="false" ht="15" hidden="false" customHeight="false" outlineLevel="0" collapsed="false">
      <c r="B634" s="187"/>
      <c r="C634" s="187"/>
      <c r="H634" s="187"/>
    </row>
    <row r="635" customFormat="false" ht="15" hidden="false" customHeight="false" outlineLevel="0" collapsed="false">
      <c r="B635" s="187"/>
      <c r="C635" s="187"/>
      <c r="H635" s="187"/>
    </row>
    <row r="636" customFormat="false" ht="15" hidden="false" customHeight="false" outlineLevel="0" collapsed="false">
      <c r="B636" s="187"/>
      <c r="C636" s="187"/>
      <c r="H636" s="187"/>
    </row>
    <row r="637" customFormat="false" ht="15" hidden="false" customHeight="false" outlineLevel="0" collapsed="false">
      <c r="B637" s="187"/>
      <c r="C637" s="187"/>
      <c r="H637" s="187"/>
    </row>
    <row r="638" customFormat="false" ht="15" hidden="false" customHeight="false" outlineLevel="0" collapsed="false">
      <c r="B638" s="187"/>
      <c r="C638" s="187"/>
      <c r="H638" s="187"/>
    </row>
    <row r="639" customFormat="false" ht="15" hidden="false" customHeight="false" outlineLevel="0" collapsed="false">
      <c r="B639" s="187"/>
      <c r="C639" s="187"/>
      <c r="H639" s="187"/>
    </row>
    <row r="640" customFormat="false" ht="15" hidden="false" customHeight="false" outlineLevel="0" collapsed="false">
      <c r="B640" s="187"/>
      <c r="C640" s="187"/>
      <c r="H640" s="187"/>
    </row>
    <row r="641" customFormat="false" ht="15" hidden="false" customHeight="false" outlineLevel="0" collapsed="false">
      <c r="B641" s="187"/>
      <c r="C641" s="187"/>
      <c r="H641" s="187"/>
    </row>
    <row r="642" customFormat="false" ht="15" hidden="false" customHeight="false" outlineLevel="0" collapsed="false">
      <c r="B642" s="187"/>
      <c r="C642" s="187"/>
      <c r="H642" s="187"/>
    </row>
    <row r="643" customFormat="false" ht="15" hidden="false" customHeight="false" outlineLevel="0" collapsed="false">
      <c r="B643" s="187"/>
      <c r="C643" s="187"/>
      <c r="H643" s="187"/>
    </row>
    <row r="644" customFormat="false" ht="15" hidden="false" customHeight="false" outlineLevel="0" collapsed="false">
      <c r="B644" s="187"/>
      <c r="C644" s="187"/>
      <c r="H644" s="187"/>
    </row>
    <row r="645" customFormat="false" ht="15" hidden="false" customHeight="false" outlineLevel="0" collapsed="false">
      <c r="B645" s="187"/>
      <c r="C645" s="187"/>
      <c r="H645" s="187"/>
    </row>
    <row r="646" customFormat="false" ht="15" hidden="false" customHeight="false" outlineLevel="0" collapsed="false">
      <c r="B646" s="187"/>
      <c r="C646" s="187"/>
      <c r="H646" s="187"/>
    </row>
    <row r="647" customFormat="false" ht="15" hidden="false" customHeight="false" outlineLevel="0" collapsed="false">
      <c r="B647" s="187"/>
      <c r="C647" s="187"/>
      <c r="H647" s="187"/>
    </row>
    <row r="648" customFormat="false" ht="15" hidden="false" customHeight="false" outlineLevel="0" collapsed="false">
      <c r="B648" s="187"/>
      <c r="C648" s="187"/>
      <c r="H648" s="187"/>
    </row>
    <row r="649" customFormat="false" ht="15" hidden="false" customHeight="false" outlineLevel="0" collapsed="false">
      <c r="B649" s="187"/>
      <c r="C649" s="187"/>
      <c r="H649" s="187"/>
    </row>
    <row r="650" customFormat="false" ht="15" hidden="false" customHeight="false" outlineLevel="0" collapsed="false">
      <c r="B650" s="187"/>
      <c r="C650" s="187"/>
      <c r="H650" s="187"/>
    </row>
    <row r="651" customFormat="false" ht="15" hidden="false" customHeight="false" outlineLevel="0" collapsed="false">
      <c r="B651" s="187"/>
      <c r="C651" s="187"/>
      <c r="H651" s="187"/>
    </row>
    <row r="652" customFormat="false" ht="15" hidden="false" customHeight="false" outlineLevel="0" collapsed="false">
      <c r="B652" s="187"/>
      <c r="C652" s="187"/>
      <c r="H652" s="187"/>
    </row>
    <row r="653" customFormat="false" ht="15" hidden="false" customHeight="false" outlineLevel="0" collapsed="false">
      <c r="B653" s="187"/>
      <c r="C653" s="187"/>
      <c r="H653" s="187"/>
    </row>
    <row r="654" customFormat="false" ht="15" hidden="false" customHeight="false" outlineLevel="0" collapsed="false">
      <c r="B654" s="187"/>
      <c r="C654" s="187"/>
      <c r="H654" s="187"/>
    </row>
    <row r="655" customFormat="false" ht="15" hidden="false" customHeight="false" outlineLevel="0" collapsed="false">
      <c r="B655" s="187"/>
      <c r="C655" s="187"/>
      <c r="H655" s="187"/>
    </row>
    <row r="656" customFormat="false" ht="15" hidden="false" customHeight="false" outlineLevel="0" collapsed="false">
      <c r="B656" s="187"/>
      <c r="C656" s="187"/>
      <c r="H656" s="187"/>
    </row>
    <row r="657" customFormat="false" ht="15" hidden="false" customHeight="false" outlineLevel="0" collapsed="false">
      <c r="B657" s="187"/>
      <c r="C657" s="187"/>
      <c r="H657" s="187"/>
    </row>
    <row r="658" customFormat="false" ht="15" hidden="false" customHeight="false" outlineLevel="0" collapsed="false">
      <c r="B658" s="187"/>
      <c r="C658" s="187"/>
      <c r="H658" s="187"/>
    </row>
    <row r="659" customFormat="false" ht="15" hidden="false" customHeight="false" outlineLevel="0" collapsed="false">
      <c r="B659" s="187"/>
      <c r="C659" s="187"/>
      <c r="H659" s="187"/>
    </row>
    <row r="660" customFormat="false" ht="15" hidden="false" customHeight="false" outlineLevel="0" collapsed="false">
      <c r="B660" s="187"/>
      <c r="C660" s="187"/>
      <c r="H660" s="187"/>
    </row>
    <row r="661" customFormat="false" ht="15" hidden="false" customHeight="false" outlineLevel="0" collapsed="false">
      <c r="B661" s="187"/>
      <c r="C661" s="187"/>
      <c r="H661" s="187"/>
    </row>
    <row r="662" customFormat="false" ht="15" hidden="false" customHeight="false" outlineLevel="0" collapsed="false">
      <c r="B662" s="187"/>
      <c r="C662" s="187"/>
      <c r="H662" s="187"/>
    </row>
    <row r="663" customFormat="false" ht="15" hidden="false" customHeight="false" outlineLevel="0" collapsed="false">
      <c r="B663" s="187"/>
      <c r="C663" s="187"/>
      <c r="H663" s="187"/>
    </row>
    <row r="664" customFormat="false" ht="15" hidden="false" customHeight="false" outlineLevel="0" collapsed="false">
      <c r="B664" s="187"/>
      <c r="C664" s="187"/>
      <c r="H664" s="187"/>
    </row>
    <row r="665" customFormat="false" ht="15" hidden="false" customHeight="false" outlineLevel="0" collapsed="false">
      <c r="B665" s="187"/>
      <c r="C665" s="187"/>
      <c r="H665" s="187"/>
    </row>
    <row r="666" customFormat="false" ht="15" hidden="false" customHeight="false" outlineLevel="0" collapsed="false">
      <c r="B666" s="187"/>
      <c r="C666" s="187"/>
      <c r="H666" s="187"/>
    </row>
    <row r="667" customFormat="false" ht="15" hidden="false" customHeight="false" outlineLevel="0" collapsed="false">
      <c r="B667" s="187"/>
      <c r="C667" s="187"/>
      <c r="H667" s="187"/>
    </row>
    <row r="668" customFormat="false" ht="15" hidden="false" customHeight="false" outlineLevel="0" collapsed="false">
      <c r="B668" s="187"/>
      <c r="C668" s="187"/>
      <c r="H668" s="187"/>
    </row>
    <row r="669" customFormat="false" ht="15" hidden="false" customHeight="false" outlineLevel="0" collapsed="false">
      <c r="B669" s="187"/>
      <c r="C669" s="187"/>
      <c r="H669" s="187"/>
    </row>
    <row r="670" customFormat="false" ht="15" hidden="false" customHeight="false" outlineLevel="0" collapsed="false">
      <c r="B670" s="187"/>
      <c r="C670" s="187"/>
      <c r="H670" s="187"/>
    </row>
    <row r="671" customFormat="false" ht="15" hidden="false" customHeight="false" outlineLevel="0" collapsed="false">
      <c r="B671" s="187"/>
      <c r="C671" s="187"/>
      <c r="H671" s="187"/>
    </row>
    <row r="672" customFormat="false" ht="15" hidden="false" customHeight="false" outlineLevel="0" collapsed="false">
      <c r="B672" s="187"/>
      <c r="C672" s="187"/>
      <c r="H672" s="187"/>
    </row>
    <row r="673" customFormat="false" ht="15" hidden="false" customHeight="false" outlineLevel="0" collapsed="false">
      <c r="B673" s="187"/>
      <c r="C673" s="187"/>
      <c r="H673" s="187"/>
    </row>
    <row r="674" customFormat="false" ht="15" hidden="false" customHeight="false" outlineLevel="0" collapsed="false">
      <c r="B674" s="187"/>
      <c r="C674" s="187"/>
      <c r="H674" s="187"/>
    </row>
    <row r="675" customFormat="false" ht="15" hidden="false" customHeight="false" outlineLevel="0" collapsed="false">
      <c r="B675" s="187"/>
      <c r="C675" s="187"/>
      <c r="H675" s="187"/>
    </row>
    <row r="676" customFormat="false" ht="15" hidden="false" customHeight="false" outlineLevel="0" collapsed="false">
      <c r="B676" s="187"/>
      <c r="C676" s="187"/>
      <c r="H676" s="187"/>
    </row>
    <row r="677" customFormat="false" ht="15" hidden="false" customHeight="false" outlineLevel="0" collapsed="false">
      <c r="B677" s="187"/>
      <c r="C677" s="187"/>
      <c r="H677" s="187"/>
    </row>
    <row r="678" customFormat="false" ht="15" hidden="false" customHeight="false" outlineLevel="0" collapsed="false">
      <c r="B678" s="187"/>
      <c r="C678" s="187"/>
      <c r="H678" s="187"/>
    </row>
    <row r="679" customFormat="false" ht="15" hidden="false" customHeight="false" outlineLevel="0" collapsed="false">
      <c r="B679" s="187"/>
      <c r="C679" s="187"/>
      <c r="H679" s="187"/>
    </row>
    <row r="680" customFormat="false" ht="15" hidden="false" customHeight="false" outlineLevel="0" collapsed="false">
      <c r="B680" s="187"/>
      <c r="C680" s="187"/>
      <c r="H680" s="187"/>
    </row>
    <row r="681" customFormat="false" ht="15" hidden="false" customHeight="false" outlineLevel="0" collapsed="false">
      <c r="B681" s="187"/>
      <c r="C681" s="187"/>
      <c r="H681" s="187"/>
    </row>
    <row r="682" customFormat="false" ht="15" hidden="false" customHeight="false" outlineLevel="0" collapsed="false">
      <c r="B682" s="187"/>
      <c r="C682" s="187"/>
      <c r="H682" s="187"/>
    </row>
    <row r="683" customFormat="false" ht="15" hidden="false" customHeight="false" outlineLevel="0" collapsed="false">
      <c r="B683" s="187"/>
      <c r="C683" s="187"/>
      <c r="H683" s="187"/>
    </row>
    <row r="684" customFormat="false" ht="15" hidden="false" customHeight="false" outlineLevel="0" collapsed="false">
      <c r="B684" s="187"/>
      <c r="C684" s="187"/>
      <c r="H684" s="187"/>
    </row>
    <row r="685" customFormat="false" ht="15" hidden="false" customHeight="false" outlineLevel="0" collapsed="false">
      <c r="B685" s="187"/>
      <c r="C685" s="187"/>
      <c r="H685" s="187"/>
    </row>
    <row r="686" customFormat="false" ht="15" hidden="false" customHeight="false" outlineLevel="0" collapsed="false">
      <c r="B686" s="187"/>
      <c r="C686" s="187"/>
      <c r="H686" s="187"/>
    </row>
    <row r="687" customFormat="false" ht="15" hidden="false" customHeight="false" outlineLevel="0" collapsed="false">
      <c r="B687" s="187"/>
      <c r="C687" s="187"/>
      <c r="H687" s="187"/>
    </row>
    <row r="688" customFormat="false" ht="15" hidden="false" customHeight="false" outlineLevel="0" collapsed="false">
      <c r="B688" s="187"/>
      <c r="C688" s="187"/>
      <c r="H688" s="187"/>
    </row>
    <row r="689" customFormat="false" ht="15" hidden="false" customHeight="false" outlineLevel="0" collapsed="false">
      <c r="B689" s="187"/>
      <c r="C689" s="187"/>
      <c r="H689" s="187"/>
    </row>
    <row r="690" customFormat="false" ht="15" hidden="false" customHeight="false" outlineLevel="0" collapsed="false">
      <c r="B690" s="187"/>
      <c r="C690" s="187"/>
      <c r="H690" s="187"/>
    </row>
    <row r="691" customFormat="false" ht="15" hidden="false" customHeight="false" outlineLevel="0" collapsed="false">
      <c r="B691" s="187"/>
      <c r="C691" s="187"/>
      <c r="H691" s="187"/>
    </row>
    <row r="692" customFormat="false" ht="15" hidden="false" customHeight="false" outlineLevel="0" collapsed="false">
      <c r="B692" s="187"/>
      <c r="C692" s="187"/>
      <c r="H692" s="187"/>
    </row>
    <row r="693" customFormat="false" ht="15" hidden="false" customHeight="false" outlineLevel="0" collapsed="false">
      <c r="B693" s="187"/>
      <c r="C693" s="187"/>
      <c r="H693" s="187"/>
    </row>
    <row r="694" customFormat="false" ht="15" hidden="false" customHeight="false" outlineLevel="0" collapsed="false">
      <c r="B694" s="187"/>
      <c r="C694" s="187"/>
      <c r="H694" s="187"/>
    </row>
    <row r="695" customFormat="false" ht="15" hidden="false" customHeight="false" outlineLevel="0" collapsed="false">
      <c r="B695" s="187"/>
      <c r="C695" s="187"/>
      <c r="H695" s="187"/>
    </row>
    <row r="696" customFormat="false" ht="15" hidden="false" customHeight="false" outlineLevel="0" collapsed="false">
      <c r="B696" s="187"/>
      <c r="C696" s="187"/>
      <c r="H696" s="187"/>
    </row>
    <row r="697" customFormat="false" ht="15" hidden="false" customHeight="false" outlineLevel="0" collapsed="false">
      <c r="B697" s="187"/>
      <c r="C697" s="187"/>
      <c r="H697" s="187"/>
    </row>
    <row r="698" customFormat="false" ht="15" hidden="false" customHeight="false" outlineLevel="0" collapsed="false">
      <c r="B698" s="187"/>
      <c r="C698" s="187"/>
      <c r="H698" s="187"/>
    </row>
    <row r="699" customFormat="false" ht="15" hidden="false" customHeight="false" outlineLevel="0" collapsed="false">
      <c r="B699" s="187"/>
      <c r="C699" s="187"/>
      <c r="H699" s="187"/>
    </row>
    <row r="700" customFormat="false" ht="15" hidden="false" customHeight="false" outlineLevel="0" collapsed="false">
      <c r="B700" s="187"/>
      <c r="C700" s="187"/>
      <c r="H700" s="187"/>
    </row>
    <row r="701" customFormat="false" ht="15" hidden="false" customHeight="false" outlineLevel="0" collapsed="false">
      <c r="B701" s="187"/>
      <c r="C701" s="187"/>
      <c r="H701" s="187"/>
    </row>
    <row r="702" customFormat="false" ht="15" hidden="false" customHeight="false" outlineLevel="0" collapsed="false">
      <c r="B702" s="187"/>
      <c r="C702" s="187"/>
      <c r="H702" s="187"/>
    </row>
    <row r="703" customFormat="false" ht="15" hidden="false" customHeight="false" outlineLevel="0" collapsed="false">
      <c r="B703" s="187"/>
      <c r="C703" s="187"/>
      <c r="H703" s="187"/>
    </row>
    <row r="704" customFormat="false" ht="15" hidden="false" customHeight="false" outlineLevel="0" collapsed="false">
      <c r="B704" s="187"/>
      <c r="C704" s="187"/>
      <c r="H704" s="187"/>
    </row>
    <row r="705" customFormat="false" ht="15" hidden="false" customHeight="false" outlineLevel="0" collapsed="false">
      <c r="B705" s="187"/>
      <c r="C705" s="187"/>
      <c r="H705" s="187"/>
    </row>
    <row r="706" customFormat="false" ht="15" hidden="false" customHeight="false" outlineLevel="0" collapsed="false">
      <c r="B706" s="187"/>
      <c r="C706" s="187"/>
      <c r="H706" s="187"/>
    </row>
    <row r="707" customFormat="false" ht="15" hidden="false" customHeight="false" outlineLevel="0" collapsed="false">
      <c r="B707" s="187"/>
      <c r="C707" s="187"/>
      <c r="H707" s="187"/>
    </row>
    <row r="708" customFormat="false" ht="15" hidden="false" customHeight="false" outlineLevel="0" collapsed="false">
      <c r="B708" s="187"/>
      <c r="C708" s="187"/>
      <c r="H708" s="187"/>
    </row>
    <row r="709" customFormat="false" ht="15" hidden="false" customHeight="false" outlineLevel="0" collapsed="false">
      <c r="B709" s="187"/>
      <c r="C709" s="187"/>
      <c r="H709" s="187"/>
    </row>
    <row r="710" customFormat="false" ht="15" hidden="false" customHeight="false" outlineLevel="0" collapsed="false">
      <c r="B710" s="187"/>
      <c r="C710" s="187"/>
      <c r="H710" s="187"/>
    </row>
    <row r="711" customFormat="false" ht="15" hidden="false" customHeight="false" outlineLevel="0" collapsed="false">
      <c r="B711" s="187"/>
      <c r="C711" s="187"/>
      <c r="H711" s="187"/>
    </row>
    <row r="712" customFormat="false" ht="15" hidden="false" customHeight="false" outlineLevel="0" collapsed="false">
      <c r="B712" s="187"/>
      <c r="C712" s="187"/>
      <c r="H712" s="187"/>
    </row>
    <row r="713" customFormat="false" ht="15" hidden="false" customHeight="false" outlineLevel="0" collapsed="false">
      <c r="B713" s="187"/>
      <c r="C713" s="187"/>
      <c r="H713" s="187"/>
    </row>
    <row r="714" customFormat="false" ht="15" hidden="false" customHeight="false" outlineLevel="0" collapsed="false">
      <c r="B714" s="187"/>
      <c r="C714" s="187"/>
      <c r="H714" s="187"/>
    </row>
    <row r="715" customFormat="false" ht="15" hidden="false" customHeight="false" outlineLevel="0" collapsed="false">
      <c r="B715" s="187"/>
      <c r="C715" s="187"/>
      <c r="H715" s="187"/>
    </row>
    <row r="716" customFormat="false" ht="15" hidden="false" customHeight="false" outlineLevel="0" collapsed="false">
      <c r="B716" s="187"/>
      <c r="C716" s="187"/>
      <c r="H716" s="187"/>
    </row>
    <row r="717" customFormat="false" ht="15" hidden="false" customHeight="false" outlineLevel="0" collapsed="false">
      <c r="B717" s="187"/>
      <c r="C717" s="187"/>
      <c r="H717" s="187"/>
    </row>
    <row r="718" customFormat="false" ht="15" hidden="false" customHeight="false" outlineLevel="0" collapsed="false">
      <c r="B718" s="187"/>
      <c r="C718" s="187"/>
      <c r="H718" s="187"/>
    </row>
    <row r="719" customFormat="false" ht="15" hidden="false" customHeight="false" outlineLevel="0" collapsed="false">
      <c r="B719" s="187"/>
      <c r="C719" s="187"/>
      <c r="H719" s="187"/>
    </row>
    <row r="720" customFormat="false" ht="15" hidden="false" customHeight="false" outlineLevel="0" collapsed="false">
      <c r="B720" s="187"/>
      <c r="C720" s="187"/>
      <c r="H720" s="187"/>
    </row>
    <row r="721" customFormat="false" ht="15" hidden="false" customHeight="false" outlineLevel="0" collapsed="false">
      <c r="B721" s="187"/>
      <c r="C721" s="187"/>
      <c r="H721" s="187"/>
    </row>
    <row r="722" customFormat="false" ht="15" hidden="false" customHeight="false" outlineLevel="0" collapsed="false">
      <c r="B722" s="187"/>
      <c r="C722" s="187"/>
      <c r="H722" s="187"/>
    </row>
    <row r="723" customFormat="false" ht="15" hidden="false" customHeight="false" outlineLevel="0" collapsed="false">
      <c r="B723" s="187"/>
      <c r="C723" s="187"/>
      <c r="H723" s="187"/>
    </row>
    <row r="724" customFormat="false" ht="15" hidden="false" customHeight="false" outlineLevel="0" collapsed="false">
      <c r="B724" s="187"/>
      <c r="C724" s="187"/>
      <c r="H724" s="187"/>
    </row>
    <row r="725" customFormat="false" ht="15" hidden="false" customHeight="false" outlineLevel="0" collapsed="false">
      <c r="B725" s="187"/>
      <c r="C725" s="187"/>
      <c r="H725" s="187"/>
    </row>
    <row r="726" customFormat="false" ht="15" hidden="false" customHeight="false" outlineLevel="0" collapsed="false">
      <c r="B726" s="187"/>
      <c r="C726" s="187"/>
      <c r="H726" s="187"/>
    </row>
    <row r="727" customFormat="false" ht="15" hidden="false" customHeight="false" outlineLevel="0" collapsed="false">
      <c r="B727" s="187"/>
      <c r="C727" s="187"/>
      <c r="H727" s="187"/>
    </row>
    <row r="728" customFormat="false" ht="15" hidden="false" customHeight="false" outlineLevel="0" collapsed="false">
      <c r="B728" s="187"/>
      <c r="C728" s="187"/>
      <c r="H728" s="187"/>
    </row>
    <row r="729" customFormat="false" ht="15" hidden="false" customHeight="false" outlineLevel="0" collapsed="false">
      <c r="B729" s="187"/>
      <c r="C729" s="187"/>
      <c r="H729" s="187"/>
    </row>
    <row r="730" customFormat="false" ht="15" hidden="false" customHeight="false" outlineLevel="0" collapsed="false">
      <c r="B730" s="187"/>
      <c r="C730" s="187"/>
      <c r="H730" s="187"/>
    </row>
    <row r="731" customFormat="false" ht="15" hidden="false" customHeight="false" outlineLevel="0" collapsed="false">
      <c r="B731" s="187"/>
      <c r="C731" s="187"/>
      <c r="H731" s="187"/>
    </row>
    <row r="732" customFormat="false" ht="15" hidden="false" customHeight="false" outlineLevel="0" collapsed="false">
      <c r="B732" s="187"/>
      <c r="C732" s="187"/>
      <c r="H732" s="187"/>
    </row>
    <row r="733" customFormat="false" ht="15" hidden="false" customHeight="false" outlineLevel="0" collapsed="false">
      <c r="B733" s="187"/>
      <c r="C733" s="187"/>
      <c r="H733" s="187"/>
    </row>
    <row r="734" customFormat="false" ht="15" hidden="false" customHeight="false" outlineLevel="0" collapsed="false">
      <c r="B734" s="187"/>
      <c r="C734" s="187"/>
      <c r="H734" s="187"/>
    </row>
    <row r="735" customFormat="false" ht="15" hidden="false" customHeight="false" outlineLevel="0" collapsed="false">
      <c r="B735" s="187"/>
      <c r="C735" s="187"/>
      <c r="H735" s="187"/>
    </row>
    <row r="736" customFormat="false" ht="15" hidden="false" customHeight="false" outlineLevel="0" collapsed="false">
      <c r="B736" s="187"/>
      <c r="C736" s="187"/>
      <c r="H736" s="187"/>
    </row>
    <row r="737" customFormat="false" ht="15" hidden="false" customHeight="false" outlineLevel="0" collapsed="false">
      <c r="B737" s="187"/>
      <c r="C737" s="187"/>
      <c r="H737" s="187"/>
    </row>
    <row r="738" customFormat="false" ht="15" hidden="false" customHeight="false" outlineLevel="0" collapsed="false">
      <c r="B738" s="187"/>
      <c r="C738" s="187"/>
      <c r="H738" s="187"/>
    </row>
    <row r="739" customFormat="false" ht="15" hidden="false" customHeight="false" outlineLevel="0" collapsed="false">
      <c r="B739" s="187"/>
      <c r="C739" s="187"/>
      <c r="H739" s="187"/>
    </row>
    <row r="740" customFormat="false" ht="15" hidden="false" customHeight="false" outlineLevel="0" collapsed="false">
      <c r="B740" s="187"/>
      <c r="C740" s="187"/>
      <c r="H740" s="187"/>
    </row>
    <row r="741" customFormat="false" ht="15" hidden="false" customHeight="false" outlineLevel="0" collapsed="false">
      <c r="B741" s="187"/>
      <c r="C741" s="187"/>
      <c r="H741" s="187"/>
    </row>
    <row r="742" customFormat="false" ht="15" hidden="false" customHeight="false" outlineLevel="0" collapsed="false">
      <c r="B742" s="187"/>
      <c r="C742" s="187"/>
      <c r="H742" s="187"/>
    </row>
    <row r="743" customFormat="false" ht="15" hidden="false" customHeight="false" outlineLevel="0" collapsed="false">
      <c r="B743" s="187"/>
      <c r="C743" s="187"/>
      <c r="H743" s="187"/>
    </row>
    <row r="744" customFormat="false" ht="15" hidden="false" customHeight="false" outlineLevel="0" collapsed="false">
      <c r="B744" s="187"/>
      <c r="C744" s="187"/>
      <c r="H744" s="187"/>
    </row>
    <row r="745" customFormat="false" ht="15" hidden="false" customHeight="false" outlineLevel="0" collapsed="false">
      <c r="B745" s="187"/>
      <c r="C745" s="187"/>
      <c r="H745" s="187"/>
    </row>
    <row r="746" customFormat="false" ht="15" hidden="false" customHeight="false" outlineLevel="0" collapsed="false">
      <c r="B746" s="187"/>
      <c r="C746" s="187"/>
      <c r="H746" s="187"/>
    </row>
    <row r="747" customFormat="false" ht="15" hidden="false" customHeight="false" outlineLevel="0" collapsed="false">
      <c r="B747" s="187"/>
      <c r="C747" s="187"/>
      <c r="H747" s="187"/>
    </row>
    <row r="748" customFormat="false" ht="15" hidden="false" customHeight="false" outlineLevel="0" collapsed="false">
      <c r="B748" s="187"/>
      <c r="C748" s="187"/>
      <c r="H748" s="187"/>
    </row>
    <row r="749" customFormat="false" ht="15" hidden="false" customHeight="false" outlineLevel="0" collapsed="false">
      <c r="B749" s="187"/>
      <c r="C749" s="187"/>
      <c r="H749" s="187"/>
    </row>
    <row r="750" customFormat="false" ht="15" hidden="false" customHeight="false" outlineLevel="0" collapsed="false">
      <c r="B750" s="187"/>
      <c r="C750" s="187"/>
      <c r="H750" s="187"/>
    </row>
    <row r="751" customFormat="false" ht="15" hidden="false" customHeight="false" outlineLevel="0" collapsed="false">
      <c r="B751" s="187"/>
      <c r="C751" s="187"/>
      <c r="H751" s="187"/>
    </row>
    <row r="752" customFormat="false" ht="15" hidden="false" customHeight="false" outlineLevel="0" collapsed="false">
      <c r="B752" s="187"/>
      <c r="C752" s="187"/>
      <c r="H752" s="187"/>
    </row>
    <row r="753" customFormat="false" ht="15" hidden="false" customHeight="false" outlineLevel="0" collapsed="false">
      <c r="B753" s="187"/>
      <c r="C753" s="187"/>
      <c r="H753" s="187"/>
    </row>
    <row r="754" customFormat="false" ht="15" hidden="false" customHeight="false" outlineLevel="0" collapsed="false">
      <c r="B754" s="187"/>
      <c r="C754" s="187"/>
      <c r="H754" s="187"/>
    </row>
    <row r="755" customFormat="false" ht="15" hidden="false" customHeight="false" outlineLevel="0" collapsed="false">
      <c r="B755" s="187"/>
      <c r="C755" s="187"/>
      <c r="H755" s="187"/>
    </row>
    <row r="756" customFormat="false" ht="15" hidden="false" customHeight="false" outlineLevel="0" collapsed="false">
      <c r="B756" s="187"/>
      <c r="C756" s="187"/>
      <c r="H756" s="187"/>
    </row>
    <row r="757" customFormat="false" ht="15" hidden="false" customHeight="false" outlineLevel="0" collapsed="false">
      <c r="B757" s="187"/>
      <c r="C757" s="187"/>
      <c r="H757" s="187"/>
    </row>
    <row r="758" customFormat="false" ht="15" hidden="false" customHeight="false" outlineLevel="0" collapsed="false">
      <c r="B758" s="187"/>
      <c r="C758" s="187"/>
      <c r="H758" s="187"/>
    </row>
    <row r="759" customFormat="false" ht="15" hidden="false" customHeight="false" outlineLevel="0" collapsed="false">
      <c r="B759" s="187"/>
      <c r="C759" s="187"/>
      <c r="H759" s="187"/>
    </row>
    <row r="760" customFormat="false" ht="15" hidden="false" customHeight="false" outlineLevel="0" collapsed="false">
      <c r="B760" s="187"/>
      <c r="C760" s="187"/>
      <c r="H760" s="187"/>
    </row>
    <row r="761" customFormat="false" ht="15" hidden="false" customHeight="false" outlineLevel="0" collapsed="false">
      <c r="B761" s="187"/>
      <c r="C761" s="187"/>
      <c r="H761" s="187"/>
    </row>
    <row r="762" customFormat="false" ht="15" hidden="false" customHeight="false" outlineLevel="0" collapsed="false">
      <c r="B762" s="187"/>
      <c r="C762" s="187"/>
      <c r="H762" s="187"/>
    </row>
    <row r="763" customFormat="false" ht="15" hidden="false" customHeight="false" outlineLevel="0" collapsed="false">
      <c r="B763" s="187"/>
      <c r="C763" s="187"/>
      <c r="H763" s="187"/>
    </row>
    <row r="764" customFormat="false" ht="15" hidden="false" customHeight="false" outlineLevel="0" collapsed="false">
      <c r="B764" s="187"/>
      <c r="C764" s="187"/>
      <c r="H764" s="187"/>
    </row>
    <row r="765" customFormat="false" ht="15" hidden="false" customHeight="false" outlineLevel="0" collapsed="false">
      <c r="B765" s="187"/>
      <c r="C765" s="187"/>
      <c r="H765" s="187"/>
    </row>
    <row r="766" customFormat="false" ht="15" hidden="false" customHeight="false" outlineLevel="0" collapsed="false">
      <c r="B766" s="187"/>
      <c r="C766" s="187"/>
      <c r="H766" s="187"/>
    </row>
    <row r="767" customFormat="false" ht="15" hidden="false" customHeight="false" outlineLevel="0" collapsed="false">
      <c r="B767" s="187"/>
      <c r="C767" s="187"/>
      <c r="H767" s="187"/>
    </row>
    <row r="768" customFormat="false" ht="15" hidden="false" customHeight="false" outlineLevel="0" collapsed="false">
      <c r="B768" s="187"/>
      <c r="C768" s="187"/>
      <c r="H768" s="187"/>
    </row>
    <row r="769" customFormat="false" ht="15" hidden="false" customHeight="false" outlineLevel="0" collapsed="false">
      <c r="B769" s="187"/>
      <c r="C769" s="187"/>
      <c r="H769" s="187"/>
    </row>
    <row r="770" customFormat="false" ht="15" hidden="false" customHeight="false" outlineLevel="0" collapsed="false">
      <c r="B770" s="187"/>
      <c r="C770" s="187"/>
      <c r="H770" s="187"/>
    </row>
    <row r="771" customFormat="false" ht="15" hidden="false" customHeight="false" outlineLevel="0" collapsed="false">
      <c r="B771" s="187"/>
      <c r="C771" s="187"/>
      <c r="H771" s="187"/>
    </row>
    <row r="772" customFormat="false" ht="15" hidden="false" customHeight="false" outlineLevel="0" collapsed="false">
      <c r="B772" s="187"/>
      <c r="C772" s="187"/>
      <c r="H772" s="187"/>
    </row>
    <row r="773" customFormat="false" ht="15" hidden="false" customHeight="false" outlineLevel="0" collapsed="false">
      <c r="B773" s="187"/>
      <c r="C773" s="187"/>
      <c r="H773" s="187"/>
    </row>
    <row r="774" customFormat="false" ht="15" hidden="false" customHeight="false" outlineLevel="0" collapsed="false">
      <c r="B774" s="187"/>
      <c r="C774" s="187"/>
      <c r="H774" s="187"/>
    </row>
    <row r="775" customFormat="false" ht="15" hidden="false" customHeight="false" outlineLevel="0" collapsed="false">
      <c r="B775" s="187"/>
      <c r="C775" s="187"/>
      <c r="H775" s="187"/>
    </row>
    <row r="776" customFormat="false" ht="15" hidden="false" customHeight="false" outlineLevel="0" collapsed="false">
      <c r="B776" s="187"/>
      <c r="C776" s="187"/>
      <c r="H776" s="187"/>
    </row>
    <row r="777" customFormat="false" ht="15" hidden="false" customHeight="false" outlineLevel="0" collapsed="false">
      <c r="B777" s="187"/>
      <c r="C777" s="187"/>
      <c r="H777" s="187"/>
    </row>
    <row r="778" customFormat="false" ht="15" hidden="false" customHeight="false" outlineLevel="0" collapsed="false">
      <c r="B778" s="187"/>
      <c r="C778" s="187"/>
      <c r="H778" s="187"/>
    </row>
    <row r="779" customFormat="false" ht="15" hidden="false" customHeight="false" outlineLevel="0" collapsed="false">
      <c r="B779" s="187"/>
      <c r="C779" s="187"/>
      <c r="H779" s="187"/>
    </row>
    <row r="780" customFormat="false" ht="15" hidden="false" customHeight="false" outlineLevel="0" collapsed="false">
      <c r="B780" s="187"/>
      <c r="C780" s="187"/>
      <c r="H780" s="187"/>
    </row>
    <row r="781" customFormat="false" ht="15" hidden="false" customHeight="false" outlineLevel="0" collapsed="false">
      <c r="B781" s="187"/>
      <c r="C781" s="187"/>
      <c r="H781" s="187"/>
    </row>
    <row r="782" customFormat="false" ht="15" hidden="false" customHeight="false" outlineLevel="0" collapsed="false">
      <c r="B782" s="187"/>
      <c r="C782" s="187"/>
      <c r="H782" s="187"/>
    </row>
    <row r="783" customFormat="false" ht="15" hidden="false" customHeight="false" outlineLevel="0" collapsed="false">
      <c r="B783" s="187"/>
      <c r="C783" s="187"/>
      <c r="H783" s="187"/>
    </row>
    <row r="784" customFormat="false" ht="15" hidden="false" customHeight="false" outlineLevel="0" collapsed="false">
      <c r="B784" s="187"/>
      <c r="C784" s="187"/>
      <c r="H784" s="187"/>
    </row>
    <row r="785" customFormat="false" ht="15" hidden="false" customHeight="false" outlineLevel="0" collapsed="false">
      <c r="B785" s="187"/>
      <c r="C785" s="187"/>
      <c r="H785" s="187"/>
    </row>
    <row r="786" customFormat="false" ht="15" hidden="false" customHeight="false" outlineLevel="0" collapsed="false">
      <c r="B786" s="187"/>
      <c r="C786" s="187"/>
      <c r="H786" s="187"/>
    </row>
    <row r="787" customFormat="false" ht="15" hidden="false" customHeight="false" outlineLevel="0" collapsed="false">
      <c r="B787" s="187"/>
      <c r="C787" s="187"/>
      <c r="H787" s="187"/>
    </row>
    <row r="788" customFormat="false" ht="15" hidden="false" customHeight="false" outlineLevel="0" collapsed="false">
      <c r="B788" s="187"/>
      <c r="C788" s="187"/>
      <c r="H788" s="187"/>
    </row>
    <row r="789" customFormat="false" ht="15" hidden="false" customHeight="false" outlineLevel="0" collapsed="false">
      <c r="B789" s="187"/>
      <c r="C789" s="187"/>
      <c r="H789" s="187"/>
    </row>
    <row r="790" customFormat="false" ht="15" hidden="false" customHeight="false" outlineLevel="0" collapsed="false">
      <c r="B790" s="187"/>
      <c r="C790" s="187"/>
      <c r="H790" s="187"/>
    </row>
    <row r="791" customFormat="false" ht="15" hidden="false" customHeight="false" outlineLevel="0" collapsed="false">
      <c r="B791" s="187"/>
      <c r="C791" s="187"/>
      <c r="H791" s="187"/>
    </row>
    <row r="792" customFormat="false" ht="15" hidden="false" customHeight="false" outlineLevel="0" collapsed="false">
      <c r="B792" s="187"/>
      <c r="C792" s="187"/>
      <c r="H792" s="187"/>
    </row>
    <row r="793" customFormat="false" ht="15" hidden="false" customHeight="false" outlineLevel="0" collapsed="false">
      <c r="B793" s="187"/>
      <c r="C793" s="187"/>
      <c r="H793" s="187"/>
    </row>
    <row r="794" customFormat="false" ht="15" hidden="false" customHeight="false" outlineLevel="0" collapsed="false">
      <c r="B794" s="187"/>
      <c r="C794" s="187"/>
      <c r="H794" s="187"/>
    </row>
    <row r="795" customFormat="false" ht="15" hidden="false" customHeight="false" outlineLevel="0" collapsed="false">
      <c r="B795" s="187"/>
      <c r="C795" s="187"/>
      <c r="H795" s="187"/>
    </row>
    <row r="4990" customFormat="false" ht="22.5" hidden="false" customHeight="true" outlineLevel="0" collapsed="false"/>
    <row r="4991" customFormat="false" ht="9.75" hidden="false" customHeight="true" outlineLevel="0" collapsed="false"/>
    <row r="4992" customFormat="false" ht="10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A168" activeCellId="0" sqref="A16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84" width="13.15"/>
    <col collapsed="false" customWidth="true" hidden="false" outlineLevel="0" max="3" min="3" style="184" width="14.29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17"/>
    <col collapsed="false" customWidth="true" hidden="false" outlineLevel="0" max="8" min="8" style="184" width="12.86"/>
    <col collapsed="false" customWidth="true" hidden="false" outlineLevel="0" max="9" min="9" style="0" width="31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37"/>
    <col collapsed="false" customWidth="true" hidden="false" outlineLevel="0" max="13" min="13" style="0" width="25"/>
    <col collapsed="false" customWidth="true" hidden="false" outlineLevel="0" max="14" min="14" style="0" width="45"/>
    <col collapsed="false" customWidth="true" hidden="false" outlineLevel="0" max="15" min="15" style="0" width="31"/>
    <col collapsed="false" customWidth="true" hidden="false" outlineLevel="0" max="16" min="16" style="0" width="12"/>
    <col collapsed="false" customWidth="true" hidden="false" outlineLevel="0" max="17" min="17" style="0" width="27"/>
    <col collapsed="false" customWidth="true" hidden="false" outlineLevel="0" max="18" min="18" style="0" width="17"/>
    <col collapsed="false" customWidth="true" hidden="false" outlineLevel="0" max="19" min="19" style="0" width="19"/>
    <col collapsed="false" customWidth="true" hidden="false" outlineLevel="0" max="21" min="20" style="0" width="45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5" min="24" style="0" width="30"/>
    <col collapsed="false" customWidth="true" hidden="false" outlineLevel="0" max="26" min="26" style="0" width="63.42"/>
    <col collapsed="false" customWidth="true" hidden="false" outlineLevel="0" max="28" min="27" style="0" width="24.42"/>
    <col collapsed="false" customWidth="true" hidden="false" outlineLevel="0" max="29" min="29" style="0" width="46.42"/>
    <col collapsed="false" customWidth="true" hidden="false" outlineLevel="0" max="31" min="30" style="0" width="56.29"/>
    <col collapsed="false" customWidth="true" hidden="false" outlineLevel="0" max="32" min="32" style="0" width="56"/>
    <col collapsed="false" customWidth="true" hidden="false" outlineLevel="0" max="33" min="33" style="0" width="94.42"/>
    <col collapsed="false" customWidth="true" hidden="false" outlineLevel="0" max="34" min="34" style="0" width="37.29"/>
    <col collapsed="false" customWidth="true" hidden="false" outlineLevel="0" max="35" min="35" style="0" width="64.85"/>
    <col collapsed="false" customWidth="true" hidden="false" outlineLevel="0" max="36" min="36" style="0" width="58.14"/>
    <col collapsed="false" customWidth="true" hidden="false" outlineLevel="0" max="37" min="37" style="0" width="45"/>
  </cols>
  <sheetData>
    <row r="1" customFormat="false" ht="30.75" hidden="false" customHeight="true" outlineLevel="0" collapsed="false">
      <c r="A1" s="190" t="s">
        <v>0</v>
      </c>
      <c r="B1" s="191" t="s">
        <v>1</v>
      </c>
      <c r="C1" s="191" t="s">
        <v>2</v>
      </c>
      <c r="D1" s="192" t="s">
        <v>3</v>
      </c>
      <c r="E1" s="192" t="s">
        <v>4</v>
      </c>
      <c r="F1" s="192" t="s">
        <v>5</v>
      </c>
      <c r="G1" s="192" t="s">
        <v>6</v>
      </c>
      <c r="H1" s="191" t="s">
        <v>7</v>
      </c>
      <c r="I1" s="192" t="s">
        <v>14</v>
      </c>
      <c r="J1" s="192" t="s">
        <v>9</v>
      </c>
      <c r="K1" s="192" t="s">
        <v>1029</v>
      </c>
      <c r="L1" s="192" t="s">
        <v>1030</v>
      </c>
      <c r="M1" s="192" t="s">
        <v>1031</v>
      </c>
      <c r="N1" s="192" t="s">
        <v>1032</v>
      </c>
      <c r="O1" s="192" t="s">
        <v>8</v>
      </c>
      <c r="P1" s="192" t="s">
        <v>12</v>
      </c>
      <c r="Q1" s="192" t="s">
        <v>13</v>
      </c>
      <c r="R1" s="192" t="s">
        <v>20</v>
      </c>
      <c r="S1" s="192" t="s">
        <v>95</v>
      </c>
      <c r="T1" s="192" t="s">
        <v>96</v>
      </c>
      <c r="U1" s="192" t="s">
        <v>97</v>
      </c>
      <c r="V1" s="192" t="s">
        <v>98</v>
      </c>
      <c r="W1" s="192" t="s">
        <v>99</v>
      </c>
      <c r="X1" s="192" t="s">
        <v>1235</v>
      </c>
      <c r="Y1" s="192" t="s">
        <v>1236</v>
      </c>
      <c r="Z1" s="192" t="s">
        <v>1035</v>
      </c>
      <c r="AA1" s="188" t="s">
        <v>1237</v>
      </c>
      <c r="AB1" s="188" t="s">
        <v>1238</v>
      </c>
      <c r="AC1" s="188" t="s">
        <v>1239</v>
      </c>
      <c r="AD1" s="188" t="s">
        <v>1240</v>
      </c>
      <c r="AE1" s="188" t="s">
        <v>1241</v>
      </c>
      <c r="AF1" s="188" t="s">
        <v>1242</v>
      </c>
      <c r="AG1" s="192" t="s">
        <v>1040</v>
      </c>
      <c r="AH1" s="188" t="s">
        <v>1243</v>
      </c>
      <c r="AI1" s="188" t="s">
        <v>1244</v>
      </c>
      <c r="AJ1" s="188" t="s">
        <v>1245</v>
      </c>
      <c r="AK1" s="193" t="s">
        <v>1144</v>
      </c>
      <c r="AL1" s="188" t="s">
        <v>1246</v>
      </c>
    </row>
    <row r="2" customFormat="false" ht="15" hidden="false" customHeight="true" outlineLevel="0" collapsed="false">
      <c r="A2" s="0" t="n">
        <v>1</v>
      </c>
      <c r="B2" s="184" t="n">
        <v>46150.5185496249</v>
      </c>
      <c r="C2" s="184" t="n">
        <v>46150.5350889768</v>
      </c>
      <c r="D2" s="188" t="s">
        <v>103</v>
      </c>
      <c r="E2" s="188" t="s">
        <v>104</v>
      </c>
      <c r="F2" s="188" t="s">
        <v>105</v>
      </c>
      <c r="G2" s="188" t="s">
        <v>106</v>
      </c>
      <c r="H2" s="184" t="n">
        <v>46142</v>
      </c>
      <c r="I2" s="188" t="s">
        <v>113</v>
      </c>
      <c r="J2" s="188" t="s">
        <v>108</v>
      </c>
      <c r="K2" s="188" t="s">
        <v>109</v>
      </c>
      <c r="L2" s="188" t="s">
        <v>110</v>
      </c>
      <c r="M2" s="188" t="s">
        <v>114</v>
      </c>
      <c r="N2" s="188" t="s">
        <v>115</v>
      </c>
      <c r="O2" s="188" t="s">
        <v>107</v>
      </c>
      <c r="P2" s="188" t="s">
        <v>111</v>
      </c>
      <c r="Q2" s="188" t="s">
        <v>112</v>
      </c>
      <c r="R2" s="188" t="s">
        <v>22</v>
      </c>
      <c r="S2" s="188" t="s">
        <v>120</v>
      </c>
      <c r="T2" s="188" t="s">
        <v>121</v>
      </c>
      <c r="U2" s="188" t="s">
        <v>122</v>
      </c>
      <c r="V2" s="188" t="s">
        <v>123</v>
      </c>
      <c r="W2" s="188" t="s">
        <v>124</v>
      </c>
      <c r="X2" s="188" t="s">
        <v>116</v>
      </c>
      <c r="Y2" s="188" t="s">
        <v>116</v>
      </c>
      <c r="Z2" s="188" t="s">
        <v>1036</v>
      </c>
      <c r="AG2" s="188" t="s">
        <v>122</v>
      </c>
      <c r="AH2" s="188" t="s">
        <v>1041</v>
      </c>
    </row>
    <row r="3" customFormat="false" ht="15" hidden="false" customHeight="true" outlineLevel="0" collapsed="false">
      <c r="A3" s="0" t="n">
        <v>2</v>
      </c>
      <c r="B3" s="184" t="n">
        <v>46110.8195408993</v>
      </c>
      <c r="C3" s="184" t="n">
        <v>46110.8400501586</v>
      </c>
      <c r="D3" s="188" t="s">
        <v>125</v>
      </c>
      <c r="E3" s="188" t="s">
        <v>126</v>
      </c>
      <c r="F3" s="188" t="s">
        <v>126</v>
      </c>
      <c r="G3" s="188" t="s">
        <v>127</v>
      </c>
      <c r="H3" s="184" t="n">
        <v>46093</v>
      </c>
      <c r="I3" s="188" t="s">
        <v>132</v>
      </c>
      <c r="J3" s="188" t="s">
        <v>128</v>
      </c>
      <c r="K3" s="188" t="s">
        <v>129</v>
      </c>
      <c r="L3" s="188" t="s">
        <v>130</v>
      </c>
      <c r="M3" s="188" t="s">
        <v>133</v>
      </c>
      <c r="N3" s="188" t="s">
        <v>134</v>
      </c>
      <c r="O3" s="188" t="s">
        <v>107</v>
      </c>
      <c r="P3" s="188" t="s">
        <v>131</v>
      </c>
      <c r="Q3" s="188" t="s">
        <v>112</v>
      </c>
      <c r="R3" s="188" t="s">
        <v>22</v>
      </c>
      <c r="S3" s="188" t="s">
        <v>120</v>
      </c>
      <c r="T3" s="188" t="s">
        <v>121</v>
      </c>
      <c r="V3" s="188" t="s">
        <v>123</v>
      </c>
      <c r="W3" s="188" t="s">
        <v>139</v>
      </c>
      <c r="X3" s="188" t="s">
        <v>135</v>
      </c>
      <c r="Y3" s="188" t="s">
        <v>135</v>
      </c>
      <c r="Z3" s="188" t="s">
        <v>1042</v>
      </c>
      <c r="AA3" s="188" t="s">
        <v>1043</v>
      </c>
      <c r="AB3" s="188" t="s">
        <v>1044</v>
      </c>
      <c r="AG3" s="188" t="s">
        <v>1046</v>
      </c>
      <c r="AH3" s="188" t="s">
        <v>122</v>
      </c>
    </row>
    <row r="4" customFormat="false" ht="15" hidden="false" customHeight="true" outlineLevel="0" collapsed="false">
      <c r="A4" s="0" t="n">
        <v>3</v>
      </c>
      <c r="B4" s="184" t="n">
        <v>46143.6908287966</v>
      </c>
      <c r="C4" s="184" t="n">
        <v>46143.7094977781</v>
      </c>
      <c r="D4" s="188" t="s">
        <v>140</v>
      </c>
      <c r="E4" s="188" t="s">
        <v>141</v>
      </c>
      <c r="F4" s="188" t="s">
        <v>141</v>
      </c>
      <c r="G4" s="188" t="s">
        <v>142</v>
      </c>
      <c r="H4" s="184" t="n">
        <v>46131</v>
      </c>
      <c r="I4" s="188" t="s">
        <v>113</v>
      </c>
      <c r="J4" s="188" t="s">
        <v>128</v>
      </c>
      <c r="K4" s="188" t="s">
        <v>143</v>
      </c>
      <c r="L4" s="188" t="s">
        <v>144</v>
      </c>
      <c r="M4" s="188" t="s">
        <v>146</v>
      </c>
      <c r="N4" s="188" t="s">
        <v>147</v>
      </c>
      <c r="O4" s="188" t="s">
        <v>107</v>
      </c>
      <c r="P4" s="188" t="s">
        <v>131</v>
      </c>
      <c r="Q4" s="188" t="s">
        <v>145</v>
      </c>
      <c r="R4" s="188" t="s">
        <v>22</v>
      </c>
      <c r="S4" s="188" t="s">
        <v>152</v>
      </c>
      <c r="T4" s="188" t="s">
        <v>121</v>
      </c>
      <c r="U4" s="188" t="s">
        <v>153</v>
      </c>
      <c r="V4" s="188" t="s">
        <v>123</v>
      </c>
      <c r="W4" s="188" t="s">
        <v>124</v>
      </c>
      <c r="X4" s="188" t="s">
        <v>148</v>
      </c>
      <c r="Y4" s="188" t="s">
        <v>148</v>
      </c>
      <c r="Z4" s="188" t="s">
        <v>1047</v>
      </c>
      <c r="AG4" s="188" t="s">
        <v>1050</v>
      </c>
      <c r="AH4" s="188" t="s">
        <v>1051</v>
      </c>
    </row>
    <row r="5" customFormat="false" ht="15" hidden="false" customHeight="true" outlineLevel="0" collapsed="false">
      <c r="A5" s="0" t="n">
        <v>4</v>
      </c>
      <c r="B5" s="184" t="n">
        <v>46115.8000054981</v>
      </c>
      <c r="C5" s="184" t="n">
        <v>46115.80466985</v>
      </c>
      <c r="D5" s="188" t="s">
        <v>154</v>
      </c>
      <c r="E5" s="188" t="s">
        <v>155</v>
      </c>
      <c r="F5" s="188" t="s">
        <v>155</v>
      </c>
      <c r="G5" s="188" t="s">
        <v>156</v>
      </c>
      <c r="H5" s="184" t="n">
        <v>46114</v>
      </c>
      <c r="I5" s="188" t="s">
        <v>113</v>
      </c>
      <c r="J5" s="188" t="s">
        <v>108</v>
      </c>
      <c r="K5" s="188" t="s">
        <v>158</v>
      </c>
      <c r="L5" s="188" t="s">
        <v>159</v>
      </c>
      <c r="M5" s="188" t="s">
        <v>160</v>
      </c>
      <c r="N5" s="188" t="s">
        <v>161</v>
      </c>
      <c r="O5" s="188" t="s">
        <v>157</v>
      </c>
      <c r="P5" s="188" t="s">
        <v>111</v>
      </c>
      <c r="Q5" s="188" t="s">
        <v>112</v>
      </c>
      <c r="R5" s="188" t="s">
        <v>22</v>
      </c>
      <c r="S5" s="188" t="s">
        <v>152</v>
      </c>
      <c r="T5" s="188" t="s">
        <v>165</v>
      </c>
      <c r="U5" s="188" t="s">
        <v>166</v>
      </c>
      <c r="V5" s="188" t="s">
        <v>167</v>
      </c>
      <c r="W5" s="188" t="s">
        <v>168</v>
      </c>
      <c r="X5" s="188" t="s">
        <v>116</v>
      </c>
      <c r="Y5" s="188" t="s">
        <v>116</v>
      </c>
      <c r="Z5" s="188" t="s">
        <v>1052</v>
      </c>
      <c r="AG5" s="188" t="s">
        <v>1054</v>
      </c>
      <c r="AH5" s="188" t="s">
        <v>1041</v>
      </c>
    </row>
    <row r="6" customFormat="false" ht="15" hidden="false" customHeight="true" outlineLevel="0" collapsed="false">
      <c r="A6" s="0" t="n">
        <v>5</v>
      </c>
      <c r="B6" s="184" t="n">
        <v>46084.5274476523</v>
      </c>
      <c r="C6" s="184" t="n">
        <v>46084.5439754301</v>
      </c>
      <c r="D6" s="188" t="s">
        <v>169</v>
      </c>
      <c r="E6" s="188" t="s">
        <v>170</v>
      </c>
      <c r="F6" s="188" t="s">
        <v>170</v>
      </c>
      <c r="G6" s="188" t="s">
        <v>171</v>
      </c>
      <c r="H6" s="184" t="n">
        <v>46080</v>
      </c>
      <c r="I6" s="188" t="s">
        <v>113</v>
      </c>
      <c r="J6" s="188" t="s">
        <v>108</v>
      </c>
      <c r="K6" s="188" t="s">
        <v>173</v>
      </c>
      <c r="L6" s="188" t="s">
        <v>144</v>
      </c>
      <c r="M6" s="188" t="s">
        <v>174</v>
      </c>
      <c r="N6" s="188" t="s">
        <v>175</v>
      </c>
      <c r="O6" s="188" t="s">
        <v>172</v>
      </c>
      <c r="P6" s="188" t="s">
        <v>111</v>
      </c>
      <c r="Q6" s="188" t="s">
        <v>112</v>
      </c>
      <c r="R6" s="188" t="s">
        <v>22</v>
      </c>
      <c r="S6" s="188" t="s">
        <v>152</v>
      </c>
      <c r="T6" s="188" t="s">
        <v>180</v>
      </c>
      <c r="U6" s="188" t="s">
        <v>122</v>
      </c>
      <c r="V6" s="188" t="s">
        <v>123</v>
      </c>
      <c r="W6" s="188" t="s">
        <v>124</v>
      </c>
      <c r="X6" s="188" t="s">
        <v>176</v>
      </c>
      <c r="Y6" s="188" t="s">
        <v>176</v>
      </c>
      <c r="Z6" s="188" t="s">
        <v>1055</v>
      </c>
      <c r="AA6" s="188" t="s">
        <v>1056</v>
      </c>
      <c r="AB6" s="188" t="s">
        <v>1057</v>
      </c>
      <c r="AG6" s="188" t="s">
        <v>1059</v>
      </c>
    </row>
    <row r="7" customFormat="false" ht="27.75" hidden="false" customHeight="true" outlineLevel="0" collapsed="false">
      <c r="A7" s="0" t="n">
        <v>6</v>
      </c>
      <c r="B7" s="184" t="n">
        <v>46050.7383417041</v>
      </c>
      <c r="C7" s="184" t="n">
        <v>46050.7471148523</v>
      </c>
      <c r="D7" s="188" t="s">
        <v>181</v>
      </c>
      <c r="E7" s="188" t="s">
        <v>182</v>
      </c>
      <c r="F7" s="188" t="s">
        <v>182</v>
      </c>
      <c r="G7" s="188" t="s">
        <v>183</v>
      </c>
      <c r="H7" s="184" t="n">
        <v>46030</v>
      </c>
      <c r="I7" s="188" t="s">
        <v>113</v>
      </c>
      <c r="J7" s="188" t="s">
        <v>128</v>
      </c>
      <c r="K7" s="188" t="s">
        <v>143</v>
      </c>
      <c r="L7" s="188" t="s">
        <v>184</v>
      </c>
      <c r="M7" s="188" t="s">
        <v>185</v>
      </c>
      <c r="N7" s="131" t="s">
        <v>186</v>
      </c>
      <c r="O7" s="188" t="s">
        <v>172</v>
      </c>
      <c r="P7" s="188" t="s">
        <v>111</v>
      </c>
      <c r="Q7" s="188" t="s">
        <v>112</v>
      </c>
      <c r="R7" s="188" t="s">
        <v>21</v>
      </c>
      <c r="S7" s="188" t="s">
        <v>152</v>
      </c>
      <c r="T7" s="188" t="s">
        <v>121</v>
      </c>
      <c r="U7" s="188" t="s">
        <v>191</v>
      </c>
      <c r="V7" s="188" t="s">
        <v>192</v>
      </c>
      <c r="W7" s="188" t="s">
        <v>124</v>
      </c>
      <c r="X7" s="188" t="s">
        <v>187</v>
      </c>
      <c r="Y7" s="188" t="s">
        <v>187</v>
      </c>
      <c r="Z7" s="188" t="s">
        <v>1060</v>
      </c>
      <c r="AG7" s="188" t="s">
        <v>1062</v>
      </c>
    </row>
    <row r="8" customFormat="false" ht="15" hidden="false" customHeight="true" outlineLevel="0" collapsed="false">
      <c r="A8" s="0" t="n">
        <v>7</v>
      </c>
      <c r="B8" s="184" t="n">
        <v>46144.0024456155</v>
      </c>
      <c r="C8" s="184" t="n">
        <v>46144.0150382081</v>
      </c>
      <c r="D8" s="188" t="s">
        <v>193</v>
      </c>
      <c r="E8" s="188" t="s">
        <v>194</v>
      </c>
      <c r="F8" s="188" t="s">
        <v>194</v>
      </c>
      <c r="G8" s="188" t="s">
        <v>195</v>
      </c>
      <c r="H8" s="184" t="n">
        <v>46141</v>
      </c>
      <c r="I8" s="188" t="s">
        <v>113</v>
      </c>
      <c r="J8" s="188" t="s">
        <v>108</v>
      </c>
      <c r="K8" s="188" t="s">
        <v>196</v>
      </c>
      <c r="L8" s="188" t="s">
        <v>197</v>
      </c>
      <c r="M8" s="188" t="s">
        <v>199</v>
      </c>
      <c r="N8" s="188" t="s">
        <v>200</v>
      </c>
      <c r="O8" s="188" t="s">
        <v>107</v>
      </c>
      <c r="P8" s="188" t="s">
        <v>111</v>
      </c>
      <c r="Q8" s="188" t="s">
        <v>198</v>
      </c>
      <c r="R8" s="188" t="s">
        <v>22</v>
      </c>
      <c r="S8" s="188" t="s">
        <v>152</v>
      </c>
      <c r="T8" s="188" t="s">
        <v>121</v>
      </c>
      <c r="U8" s="188" t="s">
        <v>204</v>
      </c>
      <c r="V8" s="188" t="s">
        <v>123</v>
      </c>
      <c r="W8" s="188" t="s">
        <v>168</v>
      </c>
      <c r="X8" s="188" t="s">
        <v>148</v>
      </c>
      <c r="Y8" s="188" t="s">
        <v>148</v>
      </c>
      <c r="Z8" s="188" t="s">
        <v>1063</v>
      </c>
      <c r="AG8" s="188" t="s">
        <v>1065</v>
      </c>
      <c r="AH8" s="188" t="s">
        <v>1051</v>
      </c>
    </row>
    <row r="9" customFormat="false" ht="15" hidden="false" customHeight="true" outlineLevel="0" collapsed="false">
      <c r="A9" s="0" t="n">
        <v>8</v>
      </c>
      <c r="B9" s="184" t="n">
        <v>46056.5936416143</v>
      </c>
      <c r="C9" s="184" t="n">
        <v>46056.5953777255</v>
      </c>
      <c r="D9" s="188" t="s">
        <v>206</v>
      </c>
      <c r="E9" s="188" t="s">
        <v>207</v>
      </c>
      <c r="F9" s="188" t="s">
        <v>207</v>
      </c>
      <c r="G9" s="188" t="s">
        <v>208</v>
      </c>
      <c r="H9" s="184" t="n">
        <v>46049</v>
      </c>
      <c r="I9" s="188" t="s">
        <v>113</v>
      </c>
      <c r="J9" s="188" t="s">
        <v>108</v>
      </c>
      <c r="K9" s="188" t="s">
        <v>209</v>
      </c>
      <c r="L9" s="188" t="s">
        <v>210</v>
      </c>
      <c r="M9" s="188" t="s">
        <v>212</v>
      </c>
      <c r="N9" s="188" t="s">
        <v>213</v>
      </c>
      <c r="O9" s="188" t="s">
        <v>107</v>
      </c>
      <c r="P9" s="188" t="s">
        <v>211</v>
      </c>
      <c r="Q9" s="188" t="s">
        <v>112</v>
      </c>
      <c r="R9" s="188" t="s">
        <v>24</v>
      </c>
      <c r="S9" s="188" t="s">
        <v>152</v>
      </c>
      <c r="T9" s="188" t="s">
        <v>121</v>
      </c>
      <c r="U9" s="188" t="s">
        <v>218</v>
      </c>
      <c r="V9" s="188" t="s">
        <v>123</v>
      </c>
      <c r="W9" s="188" t="s">
        <v>124</v>
      </c>
      <c r="X9" s="188" t="s">
        <v>214</v>
      </c>
      <c r="Y9" s="188" t="s">
        <v>214</v>
      </c>
      <c r="Z9" s="188" t="s">
        <v>1066</v>
      </c>
      <c r="AA9" s="188" t="s">
        <v>1036</v>
      </c>
      <c r="AG9" s="188" t="s">
        <v>1041</v>
      </c>
      <c r="AH9" s="188" t="s">
        <v>122</v>
      </c>
    </row>
    <row r="10" customFormat="false" ht="15" hidden="false" customHeight="true" outlineLevel="0" collapsed="false">
      <c r="A10" s="0" t="n">
        <v>9</v>
      </c>
      <c r="B10" s="184" t="n">
        <v>46068.906883864</v>
      </c>
      <c r="C10" s="184" t="n">
        <v>46068.9101709011</v>
      </c>
      <c r="D10" s="188" t="s">
        <v>220</v>
      </c>
      <c r="E10" s="188" t="s">
        <v>221</v>
      </c>
      <c r="F10" s="188" t="s">
        <v>221</v>
      </c>
      <c r="G10" s="188" t="s">
        <v>222</v>
      </c>
      <c r="H10" s="184" t="n">
        <v>46049</v>
      </c>
      <c r="I10" s="188" t="s">
        <v>113</v>
      </c>
      <c r="J10" s="188" t="s">
        <v>128</v>
      </c>
      <c r="K10" s="188" t="s">
        <v>143</v>
      </c>
      <c r="L10" s="188" t="s">
        <v>197</v>
      </c>
      <c r="M10" s="188" t="s">
        <v>144</v>
      </c>
      <c r="N10" s="188" t="s">
        <v>147</v>
      </c>
      <c r="O10" s="188" t="s">
        <v>107</v>
      </c>
      <c r="P10" s="188" t="s">
        <v>111</v>
      </c>
      <c r="Q10" s="188" t="s">
        <v>112</v>
      </c>
      <c r="R10" s="188" t="s">
        <v>24</v>
      </c>
      <c r="S10" s="188" t="s">
        <v>227</v>
      </c>
      <c r="T10" s="188" t="s">
        <v>228</v>
      </c>
      <c r="U10" s="188" t="s">
        <v>122</v>
      </c>
      <c r="V10" s="188" t="s">
        <v>192</v>
      </c>
      <c r="W10" s="188" t="s">
        <v>124</v>
      </c>
      <c r="X10" s="188" t="s">
        <v>223</v>
      </c>
      <c r="Y10" s="188" t="s">
        <v>223</v>
      </c>
      <c r="Z10" s="188" t="s">
        <v>1067</v>
      </c>
      <c r="AA10" s="188" t="s">
        <v>1068</v>
      </c>
      <c r="AB10" s="188" t="s">
        <v>1069</v>
      </c>
      <c r="AG10" s="188" t="s">
        <v>1072</v>
      </c>
      <c r="AH10" s="188" t="s">
        <v>1073</v>
      </c>
    </row>
    <row r="11" customFormat="false" ht="15" hidden="false" customHeight="true" outlineLevel="0" collapsed="false">
      <c r="A11" s="0" t="n">
        <v>10</v>
      </c>
      <c r="B11" s="184" t="n">
        <v>46174.9108039311</v>
      </c>
      <c r="C11" s="184" t="n">
        <v>46174.9204567089</v>
      </c>
      <c r="D11" s="188" t="s">
        <v>229</v>
      </c>
      <c r="E11" s="188" t="s">
        <v>230</v>
      </c>
      <c r="F11" s="188" t="s">
        <v>230</v>
      </c>
      <c r="G11" s="188" t="s">
        <v>231</v>
      </c>
      <c r="H11" s="184" t="n">
        <v>46163</v>
      </c>
      <c r="I11" s="188" t="s">
        <v>113</v>
      </c>
      <c r="J11" s="188" t="s">
        <v>108</v>
      </c>
      <c r="K11" s="188" t="s">
        <v>232</v>
      </c>
      <c r="L11" s="188" t="s">
        <v>233</v>
      </c>
      <c r="M11" s="188" t="s">
        <v>234</v>
      </c>
      <c r="N11" s="188" t="s">
        <v>235</v>
      </c>
      <c r="O11" s="188" t="s">
        <v>172</v>
      </c>
      <c r="P11" s="188" t="s">
        <v>111</v>
      </c>
      <c r="Q11" s="188" t="s">
        <v>145</v>
      </c>
      <c r="R11" s="188" t="s">
        <v>24</v>
      </c>
      <c r="S11" s="188" t="s">
        <v>152</v>
      </c>
      <c r="T11" s="188" t="s">
        <v>180</v>
      </c>
      <c r="U11" s="188" t="s">
        <v>239</v>
      </c>
      <c r="V11" s="188" t="s">
        <v>192</v>
      </c>
      <c r="W11" s="188" t="s">
        <v>168</v>
      </c>
      <c r="X11" s="188" t="s">
        <v>223</v>
      </c>
      <c r="Y11" s="188" t="s">
        <v>223</v>
      </c>
      <c r="Z11" s="188" t="s">
        <v>1074</v>
      </c>
      <c r="AA11" s="188" t="s">
        <v>1075</v>
      </c>
      <c r="AG11" s="188" t="s">
        <v>1073</v>
      </c>
      <c r="AH11" s="188" t="s">
        <v>1077</v>
      </c>
    </row>
    <row r="12" customFormat="false" ht="15" hidden="false" customHeight="true" outlineLevel="0" collapsed="false">
      <c r="A12" s="0" t="n">
        <v>11</v>
      </c>
      <c r="B12" s="184" t="n">
        <v>46103.1910089645</v>
      </c>
      <c r="C12" s="184" t="n">
        <v>46103.1989487793</v>
      </c>
      <c r="D12" s="188" t="s">
        <v>240</v>
      </c>
      <c r="E12" s="188" t="s">
        <v>241</v>
      </c>
      <c r="F12" s="188" t="s">
        <v>242</v>
      </c>
      <c r="G12" s="188" t="s">
        <v>243</v>
      </c>
      <c r="H12" s="184" t="n">
        <v>46099</v>
      </c>
      <c r="I12" s="188" t="s">
        <v>113</v>
      </c>
      <c r="J12" s="188" t="s">
        <v>108</v>
      </c>
      <c r="K12" s="188" t="s">
        <v>245</v>
      </c>
      <c r="L12" s="188" t="s">
        <v>246</v>
      </c>
      <c r="M12" s="188" t="s">
        <v>248</v>
      </c>
      <c r="N12" s="188" t="s">
        <v>249</v>
      </c>
      <c r="O12" s="188" t="s">
        <v>244</v>
      </c>
      <c r="P12" s="188" t="s">
        <v>111</v>
      </c>
      <c r="Q12" s="188" t="s">
        <v>247</v>
      </c>
      <c r="R12" s="188" t="s">
        <v>21</v>
      </c>
      <c r="S12" s="188" t="s">
        <v>120</v>
      </c>
      <c r="T12" s="188" t="s">
        <v>121</v>
      </c>
      <c r="V12" s="188" t="s">
        <v>192</v>
      </c>
      <c r="W12" s="188" t="s">
        <v>168</v>
      </c>
      <c r="X12" s="188" t="s">
        <v>250</v>
      </c>
      <c r="Y12" s="188" t="s">
        <v>250</v>
      </c>
      <c r="Z12" s="188" t="s">
        <v>1036</v>
      </c>
      <c r="AA12" s="188" t="s">
        <v>1078</v>
      </c>
      <c r="AB12" s="188" t="s">
        <v>1066</v>
      </c>
      <c r="AG12" s="188" t="s">
        <v>1079</v>
      </c>
      <c r="AH12" s="188" t="s">
        <v>122</v>
      </c>
    </row>
    <row r="13" customFormat="false" ht="15" hidden="false" customHeight="true" outlineLevel="0" collapsed="false">
      <c r="A13" s="0" t="n">
        <v>12</v>
      </c>
      <c r="B13" s="184" t="n">
        <v>46156.1307431978</v>
      </c>
      <c r="C13" s="184" t="n">
        <v>46156.1377339385</v>
      </c>
      <c r="D13" s="188" t="s">
        <v>254</v>
      </c>
      <c r="E13" s="188" t="s">
        <v>255</v>
      </c>
      <c r="F13" s="188" t="s">
        <v>255</v>
      </c>
      <c r="G13" s="188" t="s">
        <v>256</v>
      </c>
      <c r="H13" s="184" t="n">
        <v>46151</v>
      </c>
      <c r="I13" s="188" t="s">
        <v>132</v>
      </c>
      <c r="J13" s="188" t="s">
        <v>108</v>
      </c>
      <c r="K13" s="188" t="s">
        <v>257</v>
      </c>
      <c r="L13" s="188" t="s">
        <v>159</v>
      </c>
      <c r="M13" s="188" t="s">
        <v>258</v>
      </c>
      <c r="N13" s="188" t="s">
        <v>259</v>
      </c>
      <c r="O13" s="188" t="s">
        <v>157</v>
      </c>
      <c r="P13" s="188" t="s">
        <v>131</v>
      </c>
      <c r="Q13" s="188" t="s">
        <v>145</v>
      </c>
      <c r="R13" s="188" t="s">
        <v>24</v>
      </c>
      <c r="S13" s="188" t="s">
        <v>120</v>
      </c>
      <c r="T13" s="188" t="s">
        <v>264</v>
      </c>
      <c r="U13" s="188" t="s">
        <v>122</v>
      </c>
      <c r="V13" s="188" t="s">
        <v>123</v>
      </c>
      <c r="W13" s="188" t="s">
        <v>124</v>
      </c>
      <c r="X13" s="188" t="s">
        <v>260</v>
      </c>
      <c r="Y13" s="188" t="s">
        <v>260</v>
      </c>
      <c r="Z13" s="188" t="s">
        <v>1080</v>
      </c>
      <c r="AA13" s="188" t="s">
        <v>1081</v>
      </c>
      <c r="AG13" s="188" t="s">
        <v>1083</v>
      </c>
      <c r="AH13" s="188" t="s">
        <v>1084</v>
      </c>
    </row>
    <row r="14" customFormat="false" ht="15" hidden="false" customHeight="true" outlineLevel="0" collapsed="false">
      <c r="A14" s="0" t="n">
        <v>13</v>
      </c>
      <c r="B14" s="184" t="n">
        <v>46166.8905935323</v>
      </c>
      <c r="C14" s="184" t="n">
        <v>46166.9040541804</v>
      </c>
      <c r="D14" s="188" t="s">
        <v>265</v>
      </c>
      <c r="E14" s="188" t="s">
        <v>266</v>
      </c>
      <c r="F14" s="188" t="s">
        <v>266</v>
      </c>
      <c r="G14" s="188" t="s">
        <v>267</v>
      </c>
      <c r="H14" s="184" t="n">
        <v>46149</v>
      </c>
      <c r="I14" s="188" t="s">
        <v>113</v>
      </c>
      <c r="J14" s="188" t="s">
        <v>108</v>
      </c>
      <c r="K14" s="188" t="s">
        <v>232</v>
      </c>
      <c r="L14" s="188" t="s">
        <v>268</v>
      </c>
      <c r="M14" s="188" t="s">
        <v>269</v>
      </c>
      <c r="N14" s="188" t="s">
        <v>270</v>
      </c>
      <c r="O14" s="188" t="s">
        <v>172</v>
      </c>
      <c r="P14" s="188" t="s">
        <v>111</v>
      </c>
      <c r="Q14" s="188" t="s">
        <v>198</v>
      </c>
      <c r="R14" s="188" t="s">
        <v>22</v>
      </c>
      <c r="S14" s="188" t="s">
        <v>152</v>
      </c>
      <c r="T14" s="188" t="s">
        <v>228</v>
      </c>
      <c r="U14" s="188" t="s">
        <v>122</v>
      </c>
      <c r="V14" s="188" t="s">
        <v>192</v>
      </c>
      <c r="W14" s="188" t="s">
        <v>124</v>
      </c>
      <c r="X14" s="188" t="s">
        <v>271</v>
      </c>
      <c r="Y14" s="188" t="s">
        <v>271</v>
      </c>
      <c r="Z14" s="188" t="s">
        <v>1085</v>
      </c>
      <c r="AA14" s="188" t="s">
        <v>1086</v>
      </c>
      <c r="AG14" s="188" t="s">
        <v>1089</v>
      </c>
      <c r="AH14" s="188" t="s">
        <v>1090</v>
      </c>
    </row>
    <row r="15" customFormat="false" ht="15" hidden="false" customHeight="true" outlineLevel="0" collapsed="false">
      <c r="A15" s="0" t="n">
        <v>14</v>
      </c>
      <c r="B15" s="184" t="n">
        <v>46083.081247715</v>
      </c>
      <c r="C15" s="184" t="n">
        <v>46083.090460678</v>
      </c>
      <c r="D15" s="188" t="s">
        <v>275</v>
      </c>
      <c r="E15" s="188" t="s">
        <v>276</v>
      </c>
      <c r="F15" s="188" t="s">
        <v>276</v>
      </c>
      <c r="G15" s="188" t="s">
        <v>277</v>
      </c>
      <c r="H15" s="184" t="n">
        <v>46080</v>
      </c>
      <c r="I15" s="188" t="s">
        <v>113</v>
      </c>
      <c r="J15" s="188" t="s">
        <v>108</v>
      </c>
      <c r="K15" s="188" t="s">
        <v>245</v>
      </c>
      <c r="L15" s="188" t="s">
        <v>144</v>
      </c>
      <c r="M15" s="188" t="s">
        <v>279</v>
      </c>
      <c r="N15" s="188" t="s">
        <v>280</v>
      </c>
      <c r="O15" s="188" t="s">
        <v>278</v>
      </c>
      <c r="P15" s="188" t="s">
        <v>111</v>
      </c>
      <c r="Q15" s="188" t="s">
        <v>112</v>
      </c>
      <c r="R15" s="188" t="s">
        <v>24</v>
      </c>
      <c r="S15" s="188" t="s">
        <v>120</v>
      </c>
      <c r="T15" s="188" t="s">
        <v>180</v>
      </c>
      <c r="V15" s="188" t="s">
        <v>192</v>
      </c>
      <c r="W15" s="188" t="s">
        <v>124</v>
      </c>
      <c r="X15" s="188" t="s">
        <v>223</v>
      </c>
      <c r="Y15" s="188" t="s">
        <v>223</v>
      </c>
      <c r="Z15" s="188" t="s">
        <v>1091</v>
      </c>
      <c r="AA15" s="188" t="s">
        <v>1068</v>
      </c>
      <c r="AB15" s="188" t="s">
        <v>1092</v>
      </c>
      <c r="AG15" s="188" t="s">
        <v>1073</v>
      </c>
      <c r="AH15" s="188" t="s">
        <v>1072</v>
      </c>
    </row>
    <row r="16" customFormat="false" ht="15" hidden="false" customHeight="true" outlineLevel="0" collapsed="false">
      <c r="A16" s="0" t="n">
        <v>15</v>
      </c>
      <c r="B16" s="184" t="n">
        <v>46075.6162244653</v>
      </c>
      <c r="C16" s="184" t="n">
        <v>46075.6332267801</v>
      </c>
      <c r="D16" s="188" t="s">
        <v>283</v>
      </c>
      <c r="E16" s="188" t="s">
        <v>284</v>
      </c>
      <c r="F16" s="188" t="s">
        <v>284</v>
      </c>
      <c r="G16" s="188" t="s">
        <v>285</v>
      </c>
      <c r="H16" s="184" t="n">
        <v>46055</v>
      </c>
      <c r="I16" s="188" t="s">
        <v>113</v>
      </c>
      <c r="J16" s="188" t="s">
        <v>108</v>
      </c>
      <c r="K16" s="188" t="s">
        <v>143</v>
      </c>
      <c r="L16" s="188" t="s">
        <v>130</v>
      </c>
      <c r="M16" s="188" t="s">
        <v>286</v>
      </c>
      <c r="N16" s="188" t="s">
        <v>287</v>
      </c>
      <c r="O16" s="188" t="s">
        <v>244</v>
      </c>
      <c r="P16" s="188" t="s">
        <v>111</v>
      </c>
      <c r="Q16" s="188" t="s">
        <v>112</v>
      </c>
      <c r="R16" s="188" t="s">
        <v>22</v>
      </c>
      <c r="S16" s="188" t="s">
        <v>120</v>
      </c>
      <c r="T16" s="188" t="s">
        <v>121</v>
      </c>
      <c r="U16" s="188" t="s">
        <v>291</v>
      </c>
      <c r="V16" s="188" t="s">
        <v>192</v>
      </c>
      <c r="W16" s="188" t="s">
        <v>124</v>
      </c>
      <c r="X16" s="188" t="s">
        <v>148</v>
      </c>
      <c r="Y16" s="188" t="s">
        <v>148</v>
      </c>
      <c r="Z16" s="188" t="s">
        <v>1093</v>
      </c>
      <c r="AA16" s="188" t="s">
        <v>1063</v>
      </c>
      <c r="AG16" s="188" t="s">
        <v>1065</v>
      </c>
    </row>
    <row r="17" customFormat="false" ht="15" hidden="false" customHeight="true" outlineLevel="0" collapsed="false">
      <c r="A17" s="0" t="n">
        <v>16</v>
      </c>
      <c r="B17" s="184" t="n">
        <v>46082.6784350535</v>
      </c>
      <c r="C17" s="184" t="n">
        <v>46082.6930299609</v>
      </c>
      <c r="D17" s="188" t="s">
        <v>292</v>
      </c>
      <c r="E17" s="188" t="s">
        <v>293</v>
      </c>
      <c r="F17" s="188" t="s">
        <v>293</v>
      </c>
      <c r="G17" s="188" t="s">
        <v>294</v>
      </c>
      <c r="H17" s="184" t="n">
        <v>46079</v>
      </c>
      <c r="I17" s="188" t="s">
        <v>113</v>
      </c>
      <c r="J17" s="188" t="s">
        <v>295</v>
      </c>
      <c r="K17" s="188" t="s">
        <v>257</v>
      </c>
      <c r="L17" s="188" t="s">
        <v>296</v>
      </c>
      <c r="M17" s="188" t="s">
        <v>174</v>
      </c>
      <c r="N17" s="188" t="s">
        <v>297</v>
      </c>
      <c r="O17" s="188" t="s">
        <v>172</v>
      </c>
      <c r="P17" s="188" t="s">
        <v>111</v>
      </c>
      <c r="Q17" s="188" t="s">
        <v>145</v>
      </c>
      <c r="R17" s="188" t="s">
        <v>22</v>
      </c>
      <c r="S17" s="188" t="s">
        <v>152</v>
      </c>
      <c r="T17" s="188" t="s">
        <v>121</v>
      </c>
      <c r="U17" s="188" t="s">
        <v>122</v>
      </c>
      <c r="V17" s="188" t="s">
        <v>123</v>
      </c>
      <c r="W17" s="188" t="s">
        <v>124</v>
      </c>
      <c r="X17" s="188" t="s">
        <v>298</v>
      </c>
      <c r="Y17" s="188" t="s">
        <v>298</v>
      </c>
      <c r="Z17" s="188" t="s">
        <v>1094</v>
      </c>
      <c r="AA17" s="188" t="s">
        <v>1095</v>
      </c>
      <c r="AB17" s="188" t="s">
        <v>1096</v>
      </c>
      <c r="AG17" s="188" t="s">
        <v>1098</v>
      </c>
      <c r="AH17" s="188" t="s">
        <v>1099</v>
      </c>
    </row>
    <row r="18" customFormat="false" ht="15" hidden="false" customHeight="true" outlineLevel="0" collapsed="false">
      <c r="A18" s="0" t="n">
        <v>17</v>
      </c>
      <c r="B18" s="184" t="n">
        <v>46153.44103556</v>
      </c>
      <c r="C18" s="184" t="n">
        <v>46153.451498523</v>
      </c>
      <c r="D18" s="188" t="s">
        <v>302</v>
      </c>
      <c r="E18" s="188" t="s">
        <v>303</v>
      </c>
      <c r="F18" s="188" t="s">
        <v>303</v>
      </c>
      <c r="G18" s="188" t="s">
        <v>304</v>
      </c>
      <c r="H18" s="184" t="n">
        <v>46147</v>
      </c>
      <c r="I18" s="188" t="s">
        <v>305</v>
      </c>
      <c r="J18" s="188" t="s">
        <v>108</v>
      </c>
      <c r="K18" s="188" t="s">
        <v>245</v>
      </c>
      <c r="L18" s="188" t="s">
        <v>197</v>
      </c>
      <c r="M18" s="188" t="s">
        <v>185</v>
      </c>
      <c r="N18" s="188" t="s">
        <v>306</v>
      </c>
      <c r="O18" s="188" t="s">
        <v>107</v>
      </c>
      <c r="P18" s="188" t="s">
        <v>111</v>
      </c>
      <c r="Q18" s="188" t="s">
        <v>112</v>
      </c>
      <c r="R18" s="188" t="s">
        <v>21</v>
      </c>
      <c r="S18" s="188" t="s">
        <v>152</v>
      </c>
      <c r="T18" s="188" t="s">
        <v>121</v>
      </c>
      <c r="V18" s="188" t="s">
        <v>192</v>
      </c>
      <c r="W18" s="188" t="s">
        <v>124</v>
      </c>
      <c r="X18" s="188" t="s">
        <v>307</v>
      </c>
      <c r="Y18" s="188" t="s">
        <v>307</v>
      </c>
      <c r="Z18" s="188" t="s">
        <v>1100</v>
      </c>
      <c r="AA18" s="188" t="s">
        <v>1101</v>
      </c>
      <c r="AB18" s="188" t="s">
        <v>1102</v>
      </c>
      <c r="AG18" s="188" t="s">
        <v>1105</v>
      </c>
      <c r="AH18" s="188" t="s">
        <v>1106</v>
      </c>
    </row>
    <row r="19" customFormat="false" ht="15" hidden="false" customHeight="true" outlineLevel="0" collapsed="false">
      <c r="A19" s="0" t="n">
        <v>18</v>
      </c>
      <c r="B19" s="184" t="n">
        <v>46082.1562983596</v>
      </c>
      <c r="C19" s="184" t="n">
        <v>46082.1724326189</v>
      </c>
      <c r="D19" s="188" t="s">
        <v>311</v>
      </c>
      <c r="E19" s="188" t="s">
        <v>312</v>
      </c>
      <c r="F19" s="188" t="s">
        <v>313</v>
      </c>
      <c r="G19" s="188" t="s">
        <v>314</v>
      </c>
      <c r="H19" s="184" t="n">
        <v>46070</v>
      </c>
      <c r="I19" s="188" t="s">
        <v>113</v>
      </c>
      <c r="J19" s="188" t="s">
        <v>295</v>
      </c>
      <c r="K19" s="188" t="s">
        <v>315</v>
      </c>
      <c r="L19" s="188" t="s">
        <v>159</v>
      </c>
      <c r="M19" s="188" t="s">
        <v>212</v>
      </c>
      <c r="N19" s="188" t="s">
        <v>316</v>
      </c>
      <c r="O19" s="188" t="s">
        <v>244</v>
      </c>
      <c r="P19" s="188" t="s">
        <v>111</v>
      </c>
      <c r="Q19" s="188" t="s">
        <v>112</v>
      </c>
      <c r="R19" s="188" t="s">
        <v>22</v>
      </c>
      <c r="S19" s="188" t="s">
        <v>320</v>
      </c>
      <c r="T19" s="188" t="s">
        <v>121</v>
      </c>
      <c r="U19" s="188" t="s">
        <v>321</v>
      </c>
      <c r="V19" s="188" t="s">
        <v>123</v>
      </c>
      <c r="W19" s="188" t="s">
        <v>124</v>
      </c>
      <c r="X19" s="188" t="s">
        <v>271</v>
      </c>
      <c r="Y19" s="188" t="s">
        <v>271</v>
      </c>
      <c r="Z19" s="188" t="s">
        <v>1107</v>
      </c>
      <c r="AA19" s="188" t="s">
        <v>1108</v>
      </c>
      <c r="AG19" s="188" t="s">
        <v>1089</v>
      </c>
      <c r="AH19" s="188" t="s">
        <v>122</v>
      </c>
    </row>
    <row r="20" customFormat="false" ht="15" hidden="false" customHeight="true" outlineLevel="0" collapsed="false">
      <c r="A20" s="0" t="n">
        <v>19</v>
      </c>
      <c r="B20" s="184" t="n">
        <v>46123.8868805544</v>
      </c>
      <c r="C20" s="184" t="n">
        <v>46123.8939175915</v>
      </c>
      <c r="D20" s="188" t="s">
        <v>322</v>
      </c>
      <c r="E20" s="188" t="s">
        <v>323</v>
      </c>
      <c r="F20" s="188" t="s">
        <v>323</v>
      </c>
      <c r="G20" s="188" t="s">
        <v>324</v>
      </c>
      <c r="H20" s="184" t="n">
        <v>46120</v>
      </c>
      <c r="I20" s="188" t="s">
        <v>325</v>
      </c>
      <c r="J20" s="188" t="s">
        <v>108</v>
      </c>
      <c r="K20" s="188" t="s">
        <v>257</v>
      </c>
      <c r="L20" s="188" t="s">
        <v>268</v>
      </c>
      <c r="M20" s="188" t="s">
        <v>326</v>
      </c>
      <c r="N20" s="188" t="s">
        <v>259</v>
      </c>
      <c r="O20" s="188" t="s">
        <v>244</v>
      </c>
      <c r="P20" s="188" t="s">
        <v>111</v>
      </c>
      <c r="Q20" s="188" t="s">
        <v>247</v>
      </c>
      <c r="R20" s="188" t="s">
        <v>25</v>
      </c>
      <c r="S20" s="188" t="s">
        <v>120</v>
      </c>
      <c r="T20" s="188" t="s">
        <v>180</v>
      </c>
      <c r="U20" s="188" t="s">
        <v>122</v>
      </c>
      <c r="V20" s="188" t="s">
        <v>167</v>
      </c>
      <c r="W20" s="188" t="s">
        <v>124</v>
      </c>
      <c r="X20" s="188" t="s">
        <v>327</v>
      </c>
      <c r="Y20" s="188" t="s">
        <v>327</v>
      </c>
      <c r="Z20" s="188" t="s">
        <v>1052</v>
      </c>
      <c r="AA20" s="188" t="s">
        <v>1111</v>
      </c>
      <c r="AB20" s="188" t="s">
        <v>1066</v>
      </c>
      <c r="AG20" s="188" t="s">
        <v>1112</v>
      </c>
    </row>
    <row r="21" customFormat="false" ht="15" hidden="false" customHeight="true" outlineLevel="0" collapsed="false">
      <c r="A21" s="0" t="n">
        <v>20</v>
      </c>
      <c r="B21" s="184" t="n">
        <v>46148.331821902</v>
      </c>
      <c r="C21" s="184" t="n">
        <v>46148.3414399576</v>
      </c>
      <c r="D21" s="188" t="s">
        <v>332</v>
      </c>
      <c r="E21" s="188" t="s">
        <v>333</v>
      </c>
      <c r="F21" s="188" t="s">
        <v>333</v>
      </c>
      <c r="G21" s="188" t="s">
        <v>334</v>
      </c>
      <c r="H21" s="184" t="n">
        <v>46137</v>
      </c>
      <c r="I21" s="188" t="s">
        <v>336</v>
      </c>
      <c r="J21" s="188" t="s">
        <v>295</v>
      </c>
      <c r="K21" s="188" t="s">
        <v>335</v>
      </c>
      <c r="L21" s="188" t="s">
        <v>159</v>
      </c>
      <c r="M21" s="188" t="s">
        <v>337</v>
      </c>
      <c r="N21" s="188" t="s">
        <v>338</v>
      </c>
      <c r="O21" s="188" t="s">
        <v>107</v>
      </c>
      <c r="P21" s="188" t="s">
        <v>131</v>
      </c>
      <c r="Q21" s="188" t="s">
        <v>112</v>
      </c>
      <c r="R21" s="188" t="s">
        <v>22</v>
      </c>
      <c r="S21" s="188" t="s">
        <v>120</v>
      </c>
      <c r="T21" s="188" t="s">
        <v>180</v>
      </c>
      <c r="V21" s="188" t="s">
        <v>167</v>
      </c>
      <c r="W21" s="188" t="s">
        <v>124</v>
      </c>
      <c r="X21" s="188" t="s">
        <v>339</v>
      </c>
      <c r="Y21" s="188" t="s">
        <v>339</v>
      </c>
      <c r="Z21" s="188" t="s">
        <v>1113</v>
      </c>
      <c r="AG21" s="188" t="s">
        <v>1116</v>
      </c>
      <c r="AH21" s="188" t="s">
        <v>1117</v>
      </c>
    </row>
    <row r="22" customFormat="false" ht="270" hidden="false" customHeight="true" outlineLevel="0" collapsed="false">
      <c r="A22" s="0" t="n">
        <v>21</v>
      </c>
      <c r="B22" s="184" t="n">
        <v>46215.6224446918</v>
      </c>
      <c r="C22" s="184" t="n">
        <v>46215.639666914</v>
      </c>
      <c r="D22" s="188" t="s">
        <v>343</v>
      </c>
      <c r="E22" s="188" t="s">
        <v>344</v>
      </c>
      <c r="F22" s="188" t="s">
        <v>344</v>
      </c>
      <c r="G22" s="188" t="s">
        <v>345</v>
      </c>
      <c r="H22" s="184" t="n">
        <v>46200</v>
      </c>
      <c r="I22" s="188" t="s">
        <v>325</v>
      </c>
      <c r="J22" s="188" t="s">
        <v>108</v>
      </c>
      <c r="K22" s="188" t="s">
        <v>158</v>
      </c>
      <c r="L22" s="188" t="s">
        <v>346</v>
      </c>
      <c r="M22" s="188" t="s">
        <v>258</v>
      </c>
      <c r="N22" s="188" t="s">
        <v>347</v>
      </c>
      <c r="O22" s="188" t="s">
        <v>157</v>
      </c>
      <c r="P22" s="188" t="s">
        <v>111</v>
      </c>
      <c r="Q22" s="188" t="s">
        <v>145</v>
      </c>
      <c r="R22" s="188" t="s">
        <v>21</v>
      </c>
      <c r="S22" s="188" t="s">
        <v>152</v>
      </c>
      <c r="T22" s="188" t="s">
        <v>352</v>
      </c>
      <c r="U22" s="131"/>
      <c r="V22" s="188" t="s">
        <v>123</v>
      </c>
      <c r="W22" s="188" t="s">
        <v>124</v>
      </c>
      <c r="X22" s="188" t="s">
        <v>348</v>
      </c>
      <c r="Y22" s="188" t="s">
        <v>348</v>
      </c>
      <c r="Z22" s="188" t="s">
        <v>1118</v>
      </c>
      <c r="AG22" s="188" t="s">
        <v>1120</v>
      </c>
    </row>
    <row r="23" customFormat="false" ht="54.75" hidden="false" customHeight="true" outlineLevel="0" collapsed="false">
      <c r="A23" s="0" t="n">
        <v>22</v>
      </c>
      <c r="B23" s="184" t="n">
        <v>46054.1708730951</v>
      </c>
      <c r="C23" s="184" t="n">
        <v>46054.1853754099</v>
      </c>
      <c r="D23" s="188" t="s">
        <v>353</v>
      </c>
      <c r="E23" s="188" t="s">
        <v>354</v>
      </c>
      <c r="F23" s="188" t="s">
        <v>354</v>
      </c>
      <c r="G23" s="188" t="s">
        <v>355</v>
      </c>
      <c r="H23" s="184" t="n">
        <v>46037</v>
      </c>
      <c r="I23" s="188" t="s">
        <v>113</v>
      </c>
      <c r="J23" s="188" t="s">
        <v>295</v>
      </c>
      <c r="K23" s="188" t="s">
        <v>356</v>
      </c>
      <c r="L23" s="188" t="s">
        <v>346</v>
      </c>
      <c r="M23" s="188" t="s">
        <v>357</v>
      </c>
      <c r="N23" s="188" t="s">
        <v>219</v>
      </c>
      <c r="O23" s="188" t="s">
        <v>172</v>
      </c>
      <c r="P23" s="188" t="s">
        <v>111</v>
      </c>
      <c r="Q23" s="188" t="s">
        <v>145</v>
      </c>
      <c r="R23" s="188" t="s">
        <v>24</v>
      </c>
      <c r="S23" s="188" t="s">
        <v>152</v>
      </c>
      <c r="T23" s="188" t="s">
        <v>121</v>
      </c>
      <c r="U23" s="131" t="s">
        <v>122</v>
      </c>
      <c r="V23" s="188" t="s">
        <v>123</v>
      </c>
      <c r="W23" s="188" t="s">
        <v>124</v>
      </c>
      <c r="X23" s="188" t="s">
        <v>223</v>
      </c>
      <c r="Y23" s="188" t="s">
        <v>223</v>
      </c>
      <c r="Z23" s="188" t="s">
        <v>1069</v>
      </c>
      <c r="AG23" s="188" t="s">
        <v>1122</v>
      </c>
      <c r="AH23" s="188" t="s">
        <v>1072</v>
      </c>
    </row>
    <row r="24" customFormat="false" ht="81.75" hidden="false" customHeight="true" outlineLevel="0" collapsed="false">
      <c r="A24" s="0" t="n">
        <v>23</v>
      </c>
      <c r="B24" s="184" t="n">
        <v>46211.1993861761</v>
      </c>
      <c r="C24" s="184" t="n">
        <v>46211.2158908058</v>
      </c>
      <c r="D24" s="188" t="s">
        <v>361</v>
      </c>
      <c r="E24" s="188" t="s">
        <v>362</v>
      </c>
      <c r="F24" s="188" t="s">
        <v>362</v>
      </c>
      <c r="G24" s="188" t="s">
        <v>363</v>
      </c>
      <c r="H24" s="184" t="n">
        <v>46211</v>
      </c>
      <c r="I24" s="188" t="s">
        <v>113</v>
      </c>
      <c r="J24" s="188" t="s">
        <v>108</v>
      </c>
      <c r="K24" s="188" t="s">
        <v>364</v>
      </c>
      <c r="L24" s="188" t="s">
        <v>197</v>
      </c>
      <c r="M24" s="188" t="s">
        <v>365</v>
      </c>
      <c r="N24" s="188" t="s">
        <v>174</v>
      </c>
      <c r="O24" s="188" t="s">
        <v>244</v>
      </c>
      <c r="P24" s="188" t="s">
        <v>111</v>
      </c>
      <c r="Q24" s="188" t="s">
        <v>145</v>
      </c>
      <c r="R24" s="188" t="s">
        <v>22</v>
      </c>
      <c r="S24" s="188" t="s">
        <v>120</v>
      </c>
      <c r="T24" s="188" t="s">
        <v>180</v>
      </c>
      <c r="U24" s="131" t="s">
        <v>369</v>
      </c>
      <c r="V24" s="188" t="s">
        <v>192</v>
      </c>
      <c r="W24" s="188" t="s">
        <v>124</v>
      </c>
      <c r="X24" s="188" t="s">
        <v>135</v>
      </c>
      <c r="Y24" s="188" t="s">
        <v>135</v>
      </c>
      <c r="Z24" s="188" t="s">
        <v>1042</v>
      </c>
      <c r="AG24" s="188" t="s">
        <v>1124</v>
      </c>
    </row>
    <row r="25" customFormat="false" ht="95.25" hidden="false" customHeight="true" outlineLevel="0" collapsed="false">
      <c r="A25" s="0" t="n">
        <v>24</v>
      </c>
      <c r="B25" s="184" t="n">
        <v>46192.697419737</v>
      </c>
      <c r="C25" s="184" t="n">
        <v>46192.7060424222</v>
      </c>
      <c r="D25" s="188" t="s">
        <v>371</v>
      </c>
      <c r="E25" s="188" t="s">
        <v>372</v>
      </c>
      <c r="F25" s="188" t="s">
        <v>372</v>
      </c>
      <c r="G25" s="188" t="s">
        <v>373</v>
      </c>
      <c r="H25" s="184" t="n">
        <v>46173</v>
      </c>
      <c r="I25" s="188" t="s">
        <v>113</v>
      </c>
      <c r="J25" s="188" t="s">
        <v>108</v>
      </c>
      <c r="K25" s="188" t="s">
        <v>143</v>
      </c>
      <c r="L25" s="188" t="s">
        <v>346</v>
      </c>
      <c r="M25" s="188" t="s">
        <v>365</v>
      </c>
      <c r="N25" s="188" t="s">
        <v>259</v>
      </c>
      <c r="O25" s="188" t="s">
        <v>260</v>
      </c>
      <c r="P25" s="188" t="s">
        <v>111</v>
      </c>
      <c r="Q25" s="188" t="s">
        <v>112</v>
      </c>
      <c r="R25" s="188" t="s">
        <v>21</v>
      </c>
      <c r="S25" s="188" t="s">
        <v>152</v>
      </c>
      <c r="T25" s="188" t="s">
        <v>121</v>
      </c>
      <c r="U25" s="131" t="s">
        <v>122</v>
      </c>
      <c r="V25" s="188" t="s">
        <v>192</v>
      </c>
      <c r="W25" s="188" t="s">
        <v>168</v>
      </c>
      <c r="X25" s="188" t="s">
        <v>374</v>
      </c>
      <c r="Y25" s="188" t="s">
        <v>374</v>
      </c>
      <c r="Z25" s="188" t="s">
        <v>1125</v>
      </c>
      <c r="AA25" s="188" t="s">
        <v>1126</v>
      </c>
      <c r="AB25" s="188" t="s">
        <v>1127</v>
      </c>
      <c r="AG25" s="188" t="s">
        <v>1129</v>
      </c>
      <c r="AH25" s="188" t="s">
        <v>1130</v>
      </c>
    </row>
    <row r="26" customFormat="false" ht="95.25" hidden="false" customHeight="true" outlineLevel="0" collapsed="false">
      <c r="A26" s="0" t="n">
        <v>25</v>
      </c>
      <c r="B26" s="184" t="n">
        <v>46061.7065936661</v>
      </c>
      <c r="C26" s="184" t="n">
        <v>46061.7115126475</v>
      </c>
      <c r="D26" s="188" t="s">
        <v>378</v>
      </c>
      <c r="E26" s="188" t="s">
        <v>379</v>
      </c>
      <c r="F26" s="188" t="s">
        <v>379</v>
      </c>
      <c r="G26" s="188" t="s">
        <v>380</v>
      </c>
      <c r="H26" s="184" t="n">
        <v>46059</v>
      </c>
      <c r="I26" s="188" t="s">
        <v>325</v>
      </c>
      <c r="J26" s="188" t="s">
        <v>295</v>
      </c>
      <c r="K26" s="188" t="s">
        <v>232</v>
      </c>
      <c r="L26" s="188" t="s">
        <v>296</v>
      </c>
      <c r="M26" s="188" t="s">
        <v>258</v>
      </c>
      <c r="N26" s="188" t="s">
        <v>115</v>
      </c>
      <c r="O26" s="188" t="s">
        <v>107</v>
      </c>
      <c r="P26" s="188" t="s">
        <v>111</v>
      </c>
      <c r="Q26" s="188" t="s">
        <v>145</v>
      </c>
      <c r="R26" s="188" t="s">
        <v>22</v>
      </c>
      <c r="S26" s="188" t="s">
        <v>152</v>
      </c>
      <c r="T26" s="188" t="s">
        <v>180</v>
      </c>
      <c r="U26" s="131" t="s">
        <v>385</v>
      </c>
      <c r="V26" s="188" t="s">
        <v>167</v>
      </c>
      <c r="W26" s="188" t="s">
        <v>139</v>
      </c>
      <c r="X26" s="188" t="s">
        <v>381</v>
      </c>
      <c r="Y26" s="188" t="s">
        <v>381</v>
      </c>
      <c r="Z26" s="188" t="s">
        <v>1131</v>
      </c>
      <c r="AG26" s="188" t="s">
        <v>1134</v>
      </c>
      <c r="AH26" s="188" t="s">
        <v>1135</v>
      </c>
    </row>
    <row r="27" customFormat="false" ht="15" hidden="false" customHeight="true" outlineLevel="0" collapsed="false">
      <c r="A27" s="0" t="n">
        <v>26</v>
      </c>
      <c r="B27" s="184" t="n">
        <v>46122.9906841998</v>
      </c>
      <c r="C27" s="184" t="n">
        <v>46123.0099897554</v>
      </c>
      <c r="D27" s="188" t="s">
        <v>386</v>
      </c>
      <c r="E27" s="188" t="s">
        <v>387</v>
      </c>
      <c r="F27" s="188" t="s">
        <v>387</v>
      </c>
      <c r="G27" s="188" t="s">
        <v>388</v>
      </c>
      <c r="H27" s="184" t="n">
        <v>46102</v>
      </c>
      <c r="I27" s="188" t="s">
        <v>113</v>
      </c>
      <c r="J27" s="188" t="s">
        <v>108</v>
      </c>
      <c r="K27" s="188" t="s">
        <v>245</v>
      </c>
      <c r="L27" s="188" t="s">
        <v>389</v>
      </c>
      <c r="M27" s="188" t="s">
        <v>391</v>
      </c>
      <c r="N27" s="188" t="s">
        <v>280</v>
      </c>
      <c r="O27" s="188" t="s">
        <v>172</v>
      </c>
      <c r="P27" s="188" t="s">
        <v>390</v>
      </c>
      <c r="Q27" s="188" t="s">
        <v>112</v>
      </c>
      <c r="R27" s="188" t="s">
        <v>21</v>
      </c>
      <c r="S27" s="188" t="s">
        <v>152</v>
      </c>
      <c r="T27" s="188" t="s">
        <v>121</v>
      </c>
      <c r="U27" s="188" t="s">
        <v>122</v>
      </c>
      <c r="V27" s="188" t="s">
        <v>167</v>
      </c>
      <c r="W27" s="188" t="s">
        <v>168</v>
      </c>
      <c r="X27" s="188" t="s">
        <v>348</v>
      </c>
      <c r="Y27" s="188" t="s">
        <v>348</v>
      </c>
      <c r="Z27" s="188" t="s">
        <v>1136</v>
      </c>
      <c r="AA27" s="188" t="s">
        <v>1137</v>
      </c>
      <c r="AG27" s="188" t="s">
        <v>1138</v>
      </c>
    </row>
    <row r="28" customFormat="false" ht="15" hidden="false" customHeight="true" outlineLevel="0" collapsed="false">
      <c r="A28" s="0" t="n">
        <v>27</v>
      </c>
      <c r="B28" s="184" t="n">
        <v>46077.5152060533</v>
      </c>
      <c r="C28" s="184" t="n">
        <v>46077.5178796644</v>
      </c>
      <c r="D28" s="188" t="s">
        <v>394</v>
      </c>
      <c r="E28" s="188" t="s">
        <v>395</v>
      </c>
      <c r="F28" s="188" t="s">
        <v>395</v>
      </c>
      <c r="G28" s="188" t="s">
        <v>396</v>
      </c>
      <c r="H28" s="184" t="n">
        <v>46058</v>
      </c>
      <c r="I28" s="188" t="s">
        <v>113</v>
      </c>
      <c r="J28" s="188" t="s">
        <v>108</v>
      </c>
      <c r="K28" s="188" t="s">
        <v>143</v>
      </c>
      <c r="L28" s="188" t="s">
        <v>346</v>
      </c>
      <c r="M28" s="188" t="s">
        <v>397</v>
      </c>
      <c r="N28" s="188" t="s">
        <v>398</v>
      </c>
      <c r="O28" s="188" t="s">
        <v>278</v>
      </c>
      <c r="P28" s="188" t="s">
        <v>111</v>
      </c>
      <c r="Q28" s="188" t="s">
        <v>247</v>
      </c>
      <c r="R28" s="188" t="s">
        <v>21</v>
      </c>
      <c r="S28" s="188" t="s">
        <v>152</v>
      </c>
      <c r="T28" s="188" t="s">
        <v>400</v>
      </c>
      <c r="U28" s="188" t="s">
        <v>401</v>
      </c>
      <c r="V28" s="188" t="s">
        <v>167</v>
      </c>
      <c r="W28" s="188" t="s">
        <v>124</v>
      </c>
      <c r="X28" s="188" t="s">
        <v>187</v>
      </c>
      <c r="Y28" s="188" t="s">
        <v>187</v>
      </c>
      <c r="Z28" s="188" t="s">
        <v>1060</v>
      </c>
      <c r="AG28" s="188" t="s">
        <v>1062</v>
      </c>
    </row>
    <row r="29" customFormat="false" ht="15" hidden="false" customHeight="true" outlineLevel="0" collapsed="false">
      <c r="A29" s="0" t="n">
        <v>28</v>
      </c>
      <c r="B29" s="184" t="n">
        <v>46167.3981445814</v>
      </c>
      <c r="C29" s="184" t="n">
        <v>46167.4162464333</v>
      </c>
      <c r="D29" s="188" t="s">
        <v>402</v>
      </c>
      <c r="E29" s="188" t="s">
        <v>403</v>
      </c>
      <c r="F29" s="188" t="s">
        <v>403</v>
      </c>
      <c r="G29" s="188" t="s">
        <v>404</v>
      </c>
      <c r="H29" s="184" t="n">
        <v>46152</v>
      </c>
      <c r="I29" s="188" t="s">
        <v>305</v>
      </c>
      <c r="J29" s="188" t="s">
        <v>108</v>
      </c>
      <c r="K29" s="188" t="s">
        <v>245</v>
      </c>
      <c r="L29" s="188" t="s">
        <v>286</v>
      </c>
      <c r="M29" s="188" t="s">
        <v>406</v>
      </c>
      <c r="N29" s="188" t="s">
        <v>407</v>
      </c>
      <c r="O29" s="188" t="s">
        <v>405</v>
      </c>
      <c r="P29" s="188" t="s">
        <v>211</v>
      </c>
      <c r="Q29" s="188" t="s">
        <v>112</v>
      </c>
      <c r="R29" s="188" t="s">
        <v>22</v>
      </c>
      <c r="S29" s="188" t="s">
        <v>320</v>
      </c>
      <c r="T29" s="188" t="s">
        <v>121</v>
      </c>
      <c r="U29" s="188" t="s">
        <v>122</v>
      </c>
      <c r="V29" s="188" t="s">
        <v>123</v>
      </c>
      <c r="W29" s="188" t="s">
        <v>124</v>
      </c>
      <c r="X29" s="188" t="s">
        <v>339</v>
      </c>
      <c r="Y29" s="188" t="s">
        <v>339</v>
      </c>
      <c r="Z29" s="188" t="s">
        <v>1140</v>
      </c>
      <c r="AA29" s="188" t="s">
        <v>1141</v>
      </c>
      <c r="AG29" s="188" t="s">
        <v>122</v>
      </c>
      <c r="AH29" s="188" t="s">
        <v>1117</v>
      </c>
    </row>
    <row r="30" customFormat="false" ht="15" hidden="false" customHeight="true" outlineLevel="0" collapsed="false">
      <c r="A30" s="0" t="n">
        <v>29</v>
      </c>
      <c r="B30" s="184" t="n">
        <v>46154.2280905382</v>
      </c>
      <c r="C30" s="184" t="n">
        <v>46154.2339470197</v>
      </c>
      <c r="D30" s="188" t="s">
        <v>410</v>
      </c>
      <c r="E30" s="188" t="s">
        <v>411</v>
      </c>
      <c r="F30" s="188" t="s">
        <v>411</v>
      </c>
      <c r="G30" s="188" t="s">
        <v>412</v>
      </c>
      <c r="H30" s="184" t="n">
        <v>46142</v>
      </c>
      <c r="I30" s="188" t="s">
        <v>113</v>
      </c>
      <c r="J30" s="188" t="s">
        <v>295</v>
      </c>
      <c r="K30" s="188" t="s">
        <v>413</v>
      </c>
      <c r="L30" s="188" t="s">
        <v>389</v>
      </c>
      <c r="M30" s="188" t="s">
        <v>234</v>
      </c>
      <c r="N30" s="188" t="s">
        <v>414</v>
      </c>
      <c r="O30" s="188" t="s">
        <v>107</v>
      </c>
      <c r="P30" s="188" t="s">
        <v>111</v>
      </c>
      <c r="Q30" s="188" t="s">
        <v>145</v>
      </c>
      <c r="R30" s="188" t="s">
        <v>24</v>
      </c>
      <c r="S30" s="188" t="s">
        <v>120</v>
      </c>
      <c r="T30" s="188" t="s">
        <v>121</v>
      </c>
      <c r="U30" s="188" t="s">
        <v>122</v>
      </c>
      <c r="V30" s="188" t="s">
        <v>167</v>
      </c>
      <c r="W30" s="188" t="s">
        <v>124</v>
      </c>
      <c r="X30" s="188" t="s">
        <v>223</v>
      </c>
      <c r="Y30" s="188" t="s">
        <v>223</v>
      </c>
      <c r="Z30" s="188" t="s">
        <v>1074</v>
      </c>
      <c r="AA30" s="188" t="s">
        <v>1069</v>
      </c>
      <c r="AG30" s="188" t="s">
        <v>1122</v>
      </c>
      <c r="AH30" s="188" t="s">
        <v>1077</v>
      </c>
    </row>
    <row r="31" customFormat="false" ht="15" hidden="false" customHeight="true" outlineLevel="0" collapsed="false">
      <c r="A31" s="0" t="n">
        <v>30</v>
      </c>
      <c r="B31" s="184" t="n">
        <v>46203.3556611131</v>
      </c>
      <c r="C31" s="184" t="n">
        <v>46203.3664712983</v>
      </c>
      <c r="D31" s="188" t="s">
        <v>418</v>
      </c>
      <c r="E31" s="188" t="s">
        <v>419</v>
      </c>
      <c r="F31" s="188" t="s">
        <v>420</v>
      </c>
      <c r="G31" s="188" t="s">
        <v>421</v>
      </c>
      <c r="H31" s="184" t="n">
        <v>46193</v>
      </c>
      <c r="I31" s="188" t="s">
        <v>113</v>
      </c>
      <c r="J31" s="188" t="s">
        <v>128</v>
      </c>
      <c r="K31" s="188" t="s">
        <v>257</v>
      </c>
      <c r="L31" s="188" t="s">
        <v>389</v>
      </c>
      <c r="M31" s="188" t="s">
        <v>337</v>
      </c>
      <c r="N31" s="188" t="s">
        <v>422</v>
      </c>
      <c r="O31" s="188" t="s">
        <v>157</v>
      </c>
      <c r="P31" s="188" t="s">
        <v>131</v>
      </c>
      <c r="Q31" s="188" t="s">
        <v>112</v>
      </c>
      <c r="R31" s="188" t="s">
        <v>24</v>
      </c>
      <c r="S31" s="188" t="s">
        <v>120</v>
      </c>
      <c r="T31" s="188" t="s">
        <v>121</v>
      </c>
      <c r="U31" s="188" t="s">
        <v>426</v>
      </c>
      <c r="V31" s="188" t="s">
        <v>123</v>
      </c>
      <c r="W31" s="188" t="s">
        <v>124</v>
      </c>
      <c r="X31" s="188" t="s">
        <v>223</v>
      </c>
      <c r="Y31" s="188" t="s">
        <v>223</v>
      </c>
      <c r="Z31" s="188" t="s">
        <v>1074</v>
      </c>
      <c r="AA31" s="188" t="s">
        <v>1092</v>
      </c>
      <c r="AB31" s="188" t="s">
        <v>1075</v>
      </c>
      <c r="AG31" s="188" t="s">
        <v>1077</v>
      </c>
    </row>
    <row r="32" customFormat="false" ht="15" hidden="false" customHeight="true" outlineLevel="0" collapsed="false">
      <c r="A32" s="0" t="n">
        <v>31</v>
      </c>
      <c r="B32" s="184" t="n">
        <v>46116.2156208971</v>
      </c>
      <c r="C32" s="184" t="n">
        <v>46116.2212690452</v>
      </c>
      <c r="D32" s="188" t="s">
        <v>427</v>
      </c>
      <c r="E32" s="188" t="s">
        <v>428</v>
      </c>
      <c r="F32" s="188" t="s">
        <v>428</v>
      </c>
      <c r="G32" s="188" t="s">
        <v>429</v>
      </c>
      <c r="H32" s="184" t="n">
        <v>46097</v>
      </c>
      <c r="I32" s="188" t="s">
        <v>113</v>
      </c>
      <c r="J32" s="188" t="s">
        <v>108</v>
      </c>
      <c r="K32" s="188" t="s">
        <v>430</v>
      </c>
      <c r="L32" s="188" t="s">
        <v>431</v>
      </c>
      <c r="M32" s="188" t="s">
        <v>234</v>
      </c>
      <c r="N32" s="188" t="s">
        <v>432</v>
      </c>
      <c r="O32" s="188" t="s">
        <v>157</v>
      </c>
      <c r="P32" s="188" t="s">
        <v>111</v>
      </c>
      <c r="Q32" s="188" t="s">
        <v>112</v>
      </c>
      <c r="R32" s="188" t="s">
        <v>24</v>
      </c>
      <c r="S32" s="188" t="s">
        <v>120</v>
      </c>
      <c r="T32" s="188" t="s">
        <v>121</v>
      </c>
      <c r="U32" s="188" t="s">
        <v>122</v>
      </c>
      <c r="V32" s="188" t="s">
        <v>123</v>
      </c>
      <c r="W32" s="188" t="s">
        <v>124</v>
      </c>
      <c r="X32" s="188" t="s">
        <v>214</v>
      </c>
      <c r="Y32" s="188" t="s">
        <v>214</v>
      </c>
      <c r="Z32" s="188" t="s">
        <v>1036</v>
      </c>
      <c r="AA32" s="188" t="s">
        <v>1078</v>
      </c>
      <c r="AG32" s="188" t="s">
        <v>1112</v>
      </c>
      <c r="AH32" s="188" t="s">
        <v>1079</v>
      </c>
    </row>
    <row r="33" customFormat="false" ht="15" hidden="false" customHeight="true" outlineLevel="0" collapsed="false">
      <c r="A33" s="0" t="n">
        <v>32</v>
      </c>
      <c r="B33" s="184" t="n">
        <v>46141.1884776632</v>
      </c>
      <c r="C33" s="184" t="n">
        <v>46141.2034892373</v>
      </c>
      <c r="D33" s="188" t="s">
        <v>436</v>
      </c>
      <c r="E33" s="188" t="s">
        <v>437</v>
      </c>
      <c r="F33" s="188" t="s">
        <v>437</v>
      </c>
      <c r="G33" s="188" t="s">
        <v>438</v>
      </c>
      <c r="H33" s="184" t="n">
        <v>46132</v>
      </c>
      <c r="I33" s="188" t="s">
        <v>132</v>
      </c>
      <c r="J33" s="188" t="s">
        <v>295</v>
      </c>
      <c r="K33" s="188" t="s">
        <v>173</v>
      </c>
      <c r="L33" s="188" t="s">
        <v>197</v>
      </c>
      <c r="M33" s="188" t="s">
        <v>439</v>
      </c>
      <c r="N33" s="188" t="s">
        <v>440</v>
      </c>
      <c r="O33" s="188" t="s">
        <v>107</v>
      </c>
      <c r="P33" s="188" t="s">
        <v>211</v>
      </c>
      <c r="Q33" s="188" t="s">
        <v>145</v>
      </c>
      <c r="R33" s="188" t="s">
        <v>23</v>
      </c>
      <c r="S33" s="188" t="s">
        <v>152</v>
      </c>
      <c r="T33" s="188" t="s">
        <v>121</v>
      </c>
      <c r="U33" s="188" t="s">
        <v>122</v>
      </c>
      <c r="V33" s="188" t="s">
        <v>192</v>
      </c>
      <c r="W33" s="188" t="s">
        <v>124</v>
      </c>
      <c r="X33" s="188" t="s">
        <v>442</v>
      </c>
      <c r="Y33" s="188" t="s">
        <v>442</v>
      </c>
      <c r="AK33" s="188" t="s">
        <v>441</v>
      </c>
    </row>
    <row r="34" customFormat="false" ht="15" hidden="false" customHeight="true" outlineLevel="0" collapsed="false">
      <c r="A34" s="0" t="n">
        <v>33</v>
      </c>
      <c r="B34" s="184" t="n">
        <v>46046.7680284287</v>
      </c>
      <c r="C34" s="184" t="n">
        <v>46046.7703432436</v>
      </c>
      <c r="D34" s="188" t="s">
        <v>443</v>
      </c>
      <c r="E34" s="188" t="s">
        <v>444</v>
      </c>
      <c r="F34" s="188" t="s">
        <v>444</v>
      </c>
      <c r="G34" s="188" t="s">
        <v>445</v>
      </c>
      <c r="H34" s="184" t="n">
        <v>46045</v>
      </c>
      <c r="I34" s="188" t="s">
        <v>113</v>
      </c>
      <c r="J34" s="188" t="s">
        <v>295</v>
      </c>
      <c r="K34" s="188" t="s">
        <v>446</v>
      </c>
      <c r="L34" s="188" t="s">
        <v>130</v>
      </c>
      <c r="M34" s="188" t="s">
        <v>447</v>
      </c>
      <c r="N34" s="188" t="s">
        <v>249</v>
      </c>
      <c r="O34" s="188" t="s">
        <v>244</v>
      </c>
      <c r="P34" s="188" t="s">
        <v>111</v>
      </c>
      <c r="Q34" s="188" t="s">
        <v>112</v>
      </c>
      <c r="R34" s="188" t="s">
        <v>24</v>
      </c>
      <c r="S34" s="188" t="s">
        <v>227</v>
      </c>
      <c r="T34" s="188" t="s">
        <v>121</v>
      </c>
      <c r="U34" s="188" t="s">
        <v>452</v>
      </c>
      <c r="V34" s="188" t="s">
        <v>192</v>
      </c>
      <c r="W34" s="188" t="s">
        <v>139</v>
      </c>
      <c r="X34" s="188" t="s">
        <v>448</v>
      </c>
      <c r="Y34" s="188" t="s">
        <v>448</v>
      </c>
      <c r="Z34" s="188" t="s">
        <v>1145</v>
      </c>
      <c r="AA34" s="188" t="s">
        <v>1146</v>
      </c>
      <c r="AB34" s="188" t="s">
        <v>1147</v>
      </c>
      <c r="AG34" s="188" t="s">
        <v>1150</v>
      </c>
      <c r="AH34" s="188" t="s">
        <v>1151</v>
      </c>
    </row>
    <row r="35" customFormat="false" ht="15" hidden="false" customHeight="true" outlineLevel="0" collapsed="false">
      <c r="A35" s="0" t="n">
        <v>34</v>
      </c>
      <c r="B35" s="184" t="n">
        <v>46046.7432538721</v>
      </c>
      <c r="C35" s="184" t="n">
        <v>46046.744966835</v>
      </c>
      <c r="D35" s="188" t="s">
        <v>453</v>
      </c>
      <c r="E35" s="188" t="s">
        <v>454</v>
      </c>
      <c r="F35" s="188" t="s">
        <v>454</v>
      </c>
      <c r="G35" s="188" t="s">
        <v>455</v>
      </c>
      <c r="H35" s="184" t="n">
        <v>46032</v>
      </c>
      <c r="I35" s="188" t="s">
        <v>113</v>
      </c>
      <c r="J35" s="188" t="s">
        <v>295</v>
      </c>
      <c r="K35" s="188" t="s">
        <v>456</v>
      </c>
      <c r="L35" s="188" t="s">
        <v>210</v>
      </c>
      <c r="M35" s="188" t="s">
        <v>114</v>
      </c>
      <c r="N35" s="188" t="s">
        <v>287</v>
      </c>
      <c r="O35" s="188" t="s">
        <v>172</v>
      </c>
      <c r="P35" s="188" t="s">
        <v>131</v>
      </c>
      <c r="Q35" s="188" t="s">
        <v>247</v>
      </c>
      <c r="R35" s="188" t="s">
        <v>21</v>
      </c>
      <c r="S35" s="188" t="s">
        <v>152</v>
      </c>
      <c r="T35" s="188" t="s">
        <v>228</v>
      </c>
      <c r="V35" s="188" t="s">
        <v>123</v>
      </c>
      <c r="W35" s="188" t="s">
        <v>168</v>
      </c>
      <c r="X35" s="188" t="s">
        <v>457</v>
      </c>
      <c r="Y35" s="188" t="s">
        <v>457</v>
      </c>
      <c r="Z35" s="188" t="s">
        <v>1036</v>
      </c>
      <c r="AA35" s="188" t="s">
        <v>1078</v>
      </c>
      <c r="AG35" s="188" t="s">
        <v>1054</v>
      </c>
      <c r="AH35" s="188" t="s">
        <v>122</v>
      </c>
    </row>
    <row r="36" customFormat="false" ht="15" hidden="false" customHeight="true" outlineLevel="0" collapsed="false">
      <c r="A36" s="0" t="n">
        <v>35</v>
      </c>
      <c r="B36" s="184" t="n">
        <v>46057.9599289997</v>
      </c>
      <c r="C36" s="184" t="n">
        <v>46057.9789220552</v>
      </c>
      <c r="D36" s="188" t="s">
        <v>459</v>
      </c>
      <c r="E36" s="188" t="s">
        <v>460</v>
      </c>
      <c r="F36" s="188" t="s">
        <v>460</v>
      </c>
      <c r="G36" s="188" t="s">
        <v>461</v>
      </c>
      <c r="H36" s="184" t="n">
        <v>46044</v>
      </c>
      <c r="I36" s="188" t="s">
        <v>113</v>
      </c>
      <c r="J36" s="188" t="s">
        <v>295</v>
      </c>
      <c r="K36" s="188" t="s">
        <v>462</v>
      </c>
      <c r="L36" s="188" t="s">
        <v>389</v>
      </c>
      <c r="M36" s="188" t="s">
        <v>397</v>
      </c>
      <c r="N36" s="188" t="s">
        <v>227</v>
      </c>
      <c r="O36" s="188" t="s">
        <v>244</v>
      </c>
      <c r="P36" s="188" t="s">
        <v>111</v>
      </c>
      <c r="Q36" s="188" t="s">
        <v>247</v>
      </c>
      <c r="R36" s="188" t="s">
        <v>22</v>
      </c>
      <c r="S36" s="188" t="s">
        <v>152</v>
      </c>
      <c r="T36" s="188" t="s">
        <v>121</v>
      </c>
      <c r="U36" s="188" t="s">
        <v>122</v>
      </c>
      <c r="V36" s="188" t="s">
        <v>192</v>
      </c>
      <c r="W36" s="188" t="s">
        <v>124</v>
      </c>
      <c r="X36" s="188" t="s">
        <v>381</v>
      </c>
      <c r="Y36" s="188" t="s">
        <v>381</v>
      </c>
      <c r="Z36" s="188" t="s">
        <v>1152</v>
      </c>
      <c r="AG36" s="188" t="s">
        <v>1153</v>
      </c>
      <c r="AH36" s="188" t="s">
        <v>1134</v>
      </c>
    </row>
    <row r="37" customFormat="false" ht="15" hidden="false" customHeight="true" outlineLevel="0" collapsed="false">
      <c r="A37" s="0" t="n">
        <v>36</v>
      </c>
      <c r="B37" s="184" t="n">
        <v>46181.1947224028</v>
      </c>
      <c r="C37" s="184" t="n">
        <v>46181.214757125</v>
      </c>
      <c r="D37" s="188" t="s">
        <v>466</v>
      </c>
      <c r="E37" s="188" t="s">
        <v>467</v>
      </c>
      <c r="F37" s="188" t="s">
        <v>467</v>
      </c>
      <c r="G37" s="188" t="s">
        <v>468</v>
      </c>
      <c r="H37" s="184" t="n">
        <v>46177</v>
      </c>
      <c r="I37" s="188" t="s">
        <v>325</v>
      </c>
      <c r="J37" s="188" t="s">
        <v>108</v>
      </c>
      <c r="K37" s="188" t="s">
        <v>143</v>
      </c>
      <c r="L37" s="188" t="s">
        <v>286</v>
      </c>
      <c r="M37" s="188" t="s">
        <v>447</v>
      </c>
      <c r="N37" s="188" t="s">
        <v>469</v>
      </c>
      <c r="O37" s="188" t="s">
        <v>278</v>
      </c>
      <c r="P37" s="188" t="s">
        <v>131</v>
      </c>
      <c r="Q37" s="188" t="s">
        <v>112</v>
      </c>
      <c r="R37" s="188" t="s">
        <v>21</v>
      </c>
      <c r="S37" s="188" t="s">
        <v>152</v>
      </c>
      <c r="T37" s="188" t="s">
        <v>352</v>
      </c>
      <c r="V37" s="188" t="s">
        <v>123</v>
      </c>
      <c r="W37" s="188" t="s">
        <v>124</v>
      </c>
      <c r="X37" s="188" t="s">
        <v>307</v>
      </c>
      <c r="Y37" s="188" t="s">
        <v>307</v>
      </c>
      <c r="Z37" s="188" t="s">
        <v>1102</v>
      </c>
      <c r="AG37" s="188" t="s">
        <v>1105</v>
      </c>
    </row>
    <row r="38" customFormat="false" ht="15" hidden="false" customHeight="true" outlineLevel="0" collapsed="false">
      <c r="A38" s="0" t="n">
        <v>37</v>
      </c>
      <c r="B38" s="184" t="n">
        <v>46154.0879018118</v>
      </c>
      <c r="C38" s="184" t="n">
        <v>46154.1005754229</v>
      </c>
      <c r="D38" s="188" t="s">
        <v>473</v>
      </c>
      <c r="E38" s="188" t="s">
        <v>474</v>
      </c>
      <c r="F38" s="188" t="s">
        <v>474</v>
      </c>
      <c r="G38" s="188" t="s">
        <v>475</v>
      </c>
      <c r="H38" s="184" t="n">
        <v>46138</v>
      </c>
      <c r="I38" s="188" t="s">
        <v>113</v>
      </c>
      <c r="J38" s="188" t="s">
        <v>108</v>
      </c>
      <c r="K38" s="188" t="s">
        <v>476</v>
      </c>
      <c r="L38" s="188" t="s">
        <v>197</v>
      </c>
      <c r="M38" s="188" t="s">
        <v>477</v>
      </c>
      <c r="N38" s="188" t="s">
        <v>338</v>
      </c>
      <c r="O38" s="188" t="s">
        <v>244</v>
      </c>
      <c r="P38" s="188" t="s">
        <v>111</v>
      </c>
      <c r="Q38" s="188" t="s">
        <v>145</v>
      </c>
      <c r="R38" s="188" t="s">
        <v>22</v>
      </c>
      <c r="S38" s="188" t="s">
        <v>120</v>
      </c>
      <c r="T38" s="188" t="s">
        <v>121</v>
      </c>
      <c r="U38" s="188" t="s">
        <v>480</v>
      </c>
      <c r="V38" s="188" t="s">
        <v>192</v>
      </c>
      <c r="W38" s="188" t="s">
        <v>124</v>
      </c>
      <c r="X38" s="188" t="s">
        <v>135</v>
      </c>
      <c r="Y38" s="188" t="s">
        <v>135</v>
      </c>
      <c r="Z38" s="188" t="s">
        <v>1155</v>
      </c>
      <c r="AG38" s="188" t="s">
        <v>122</v>
      </c>
    </row>
    <row r="39" customFormat="false" ht="15" hidden="false" customHeight="true" outlineLevel="0" collapsed="false">
      <c r="A39" s="0" t="n">
        <v>38</v>
      </c>
      <c r="B39" s="184" t="n">
        <v>46156.7128675423</v>
      </c>
      <c r="C39" s="184" t="n">
        <v>46156.7219531905</v>
      </c>
      <c r="D39" s="188" t="s">
        <v>481</v>
      </c>
      <c r="E39" s="188" t="s">
        <v>482</v>
      </c>
      <c r="F39" s="188" t="s">
        <v>482</v>
      </c>
      <c r="G39" s="188" t="s">
        <v>483</v>
      </c>
      <c r="H39" s="184" t="n">
        <v>46140</v>
      </c>
      <c r="I39" s="188" t="s">
        <v>113</v>
      </c>
      <c r="J39" s="188" t="s">
        <v>108</v>
      </c>
      <c r="K39" s="188" t="s">
        <v>462</v>
      </c>
      <c r="L39" s="188" t="s">
        <v>286</v>
      </c>
      <c r="M39" s="188" t="s">
        <v>484</v>
      </c>
      <c r="N39" s="188" t="s">
        <v>338</v>
      </c>
      <c r="O39" s="188" t="s">
        <v>172</v>
      </c>
      <c r="P39" s="188" t="s">
        <v>111</v>
      </c>
      <c r="Q39" s="188" t="s">
        <v>145</v>
      </c>
      <c r="R39" s="188" t="s">
        <v>22</v>
      </c>
      <c r="S39" s="188" t="s">
        <v>120</v>
      </c>
      <c r="T39" s="188" t="s">
        <v>121</v>
      </c>
      <c r="U39" s="188" t="s">
        <v>122</v>
      </c>
      <c r="V39" s="188" t="s">
        <v>167</v>
      </c>
      <c r="W39" s="188" t="s">
        <v>124</v>
      </c>
      <c r="X39" s="188" t="s">
        <v>148</v>
      </c>
      <c r="Y39" s="188" t="s">
        <v>148</v>
      </c>
      <c r="Z39" s="188" t="s">
        <v>1093</v>
      </c>
      <c r="AA39" s="188" t="s">
        <v>1158</v>
      </c>
      <c r="AG39" s="188" t="s">
        <v>1160</v>
      </c>
      <c r="AH39" s="188" t="s">
        <v>1050</v>
      </c>
    </row>
    <row r="40" customFormat="false" ht="41.25" hidden="false" customHeight="true" outlineLevel="0" collapsed="false">
      <c r="A40" s="0" t="n">
        <v>39</v>
      </c>
      <c r="B40" s="184" t="n">
        <v>46166.7239145327</v>
      </c>
      <c r="C40" s="184" t="n">
        <v>46166.7281969401</v>
      </c>
      <c r="D40" s="188" t="s">
        <v>488</v>
      </c>
      <c r="E40" s="188" t="s">
        <v>489</v>
      </c>
      <c r="F40" s="188" t="s">
        <v>489</v>
      </c>
      <c r="G40" s="188" t="s">
        <v>490</v>
      </c>
      <c r="H40" s="184" t="n">
        <v>46153</v>
      </c>
      <c r="I40" s="188" t="s">
        <v>113</v>
      </c>
      <c r="J40" s="188" t="s">
        <v>295</v>
      </c>
      <c r="K40" s="188" t="s">
        <v>232</v>
      </c>
      <c r="L40" s="188" t="s">
        <v>491</v>
      </c>
      <c r="M40" s="188" t="s">
        <v>492</v>
      </c>
      <c r="N40" s="188" t="s">
        <v>186</v>
      </c>
      <c r="O40" s="188" t="s">
        <v>157</v>
      </c>
      <c r="P40" s="188" t="s">
        <v>111</v>
      </c>
      <c r="Q40" s="188" t="s">
        <v>112</v>
      </c>
      <c r="R40" s="188" t="s">
        <v>24</v>
      </c>
      <c r="S40" s="188" t="s">
        <v>227</v>
      </c>
      <c r="T40" s="188" t="s">
        <v>496</v>
      </c>
      <c r="U40" s="131"/>
      <c r="V40" s="188" t="s">
        <v>192</v>
      </c>
      <c r="W40" s="188" t="s">
        <v>124</v>
      </c>
      <c r="X40" s="188" t="s">
        <v>448</v>
      </c>
      <c r="Y40" s="188" t="s">
        <v>448</v>
      </c>
      <c r="Z40" s="188" t="s">
        <v>1146</v>
      </c>
      <c r="AA40" s="188" t="s">
        <v>1147</v>
      </c>
      <c r="AB40" s="188" t="s">
        <v>1161</v>
      </c>
      <c r="AG40" s="188" t="s">
        <v>1162</v>
      </c>
    </row>
    <row r="41" customFormat="false" ht="15" hidden="false" customHeight="true" outlineLevel="0" collapsed="false">
      <c r="A41" s="0" t="n">
        <v>40</v>
      </c>
      <c r="B41" s="184" t="n">
        <v>46068.527300339</v>
      </c>
      <c r="C41" s="184" t="n">
        <v>46068.5421035797</v>
      </c>
      <c r="D41" s="188" t="s">
        <v>497</v>
      </c>
      <c r="E41" s="188" t="s">
        <v>498</v>
      </c>
      <c r="F41" s="188" t="s">
        <v>498</v>
      </c>
      <c r="G41" s="188" t="s">
        <v>499</v>
      </c>
      <c r="H41" s="184" t="n">
        <v>46064</v>
      </c>
      <c r="I41" s="188" t="s">
        <v>113</v>
      </c>
      <c r="J41" s="188" t="s">
        <v>128</v>
      </c>
      <c r="K41" s="188" t="s">
        <v>500</v>
      </c>
      <c r="L41" s="188" t="s">
        <v>233</v>
      </c>
      <c r="M41" s="188" t="s">
        <v>501</v>
      </c>
      <c r="N41" s="188" t="s">
        <v>175</v>
      </c>
      <c r="O41" s="188" t="s">
        <v>278</v>
      </c>
      <c r="P41" s="188" t="s">
        <v>111</v>
      </c>
      <c r="Q41" s="188" t="s">
        <v>112</v>
      </c>
      <c r="R41" s="188" t="s">
        <v>23</v>
      </c>
      <c r="S41" s="188" t="s">
        <v>152</v>
      </c>
      <c r="T41" s="188" t="s">
        <v>352</v>
      </c>
      <c r="V41" s="188" t="s">
        <v>123</v>
      </c>
      <c r="W41" s="188" t="s">
        <v>124</v>
      </c>
      <c r="X41" s="188" t="s">
        <v>503</v>
      </c>
      <c r="Y41" s="188" t="s">
        <v>503</v>
      </c>
      <c r="AK41" s="188" t="s">
        <v>502</v>
      </c>
    </row>
    <row r="42" customFormat="false" ht="15" hidden="false" customHeight="true" outlineLevel="0" collapsed="false">
      <c r="A42" s="0" t="n">
        <v>41</v>
      </c>
      <c r="B42" s="184" t="n">
        <v>46118.2492454149</v>
      </c>
      <c r="C42" s="184" t="n">
        <v>46118.2627755075</v>
      </c>
      <c r="D42" s="188" t="s">
        <v>504</v>
      </c>
      <c r="E42" s="188" t="s">
        <v>505</v>
      </c>
      <c r="F42" s="188" t="s">
        <v>505</v>
      </c>
      <c r="G42" s="188" t="s">
        <v>506</v>
      </c>
      <c r="H42" s="184" t="n">
        <v>46115</v>
      </c>
      <c r="I42" s="188" t="s">
        <v>113</v>
      </c>
      <c r="J42" s="188" t="s">
        <v>295</v>
      </c>
      <c r="K42" s="188" t="s">
        <v>232</v>
      </c>
      <c r="L42" s="188" t="s">
        <v>197</v>
      </c>
      <c r="M42" s="188" t="s">
        <v>507</v>
      </c>
      <c r="N42" s="188" t="s">
        <v>508</v>
      </c>
      <c r="O42" s="188" t="s">
        <v>107</v>
      </c>
      <c r="P42" s="188" t="s">
        <v>111</v>
      </c>
      <c r="Q42" s="188" t="s">
        <v>198</v>
      </c>
      <c r="R42" s="188" t="s">
        <v>24</v>
      </c>
      <c r="S42" s="188" t="s">
        <v>152</v>
      </c>
      <c r="T42" s="188" t="s">
        <v>121</v>
      </c>
      <c r="U42" s="188" t="s">
        <v>122</v>
      </c>
      <c r="V42" s="188" t="s">
        <v>192</v>
      </c>
      <c r="W42" s="188" t="s">
        <v>124</v>
      </c>
      <c r="X42" s="188" t="s">
        <v>223</v>
      </c>
      <c r="Y42" s="188" t="s">
        <v>223</v>
      </c>
      <c r="Z42" s="188" t="s">
        <v>1068</v>
      </c>
      <c r="AA42" s="188" t="s">
        <v>1075</v>
      </c>
      <c r="AG42" s="188" t="s">
        <v>1072</v>
      </c>
      <c r="AH42" s="188" t="s">
        <v>1122</v>
      </c>
    </row>
    <row r="43" customFormat="false" ht="15" hidden="false" customHeight="true" outlineLevel="0" collapsed="false">
      <c r="A43" s="0" t="n">
        <v>42</v>
      </c>
      <c r="B43" s="184" t="n">
        <v>46043.0437522753</v>
      </c>
      <c r="C43" s="184" t="n">
        <v>46043.0560323678</v>
      </c>
      <c r="D43" s="188" t="s">
        <v>512</v>
      </c>
      <c r="E43" s="188" t="s">
        <v>513</v>
      </c>
      <c r="F43" s="188" t="s">
        <v>513</v>
      </c>
      <c r="G43" s="188" t="s">
        <v>514</v>
      </c>
      <c r="H43" s="184" t="n">
        <v>46025</v>
      </c>
      <c r="I43" s="188" t="s">
        <v>113</v>
      </c>
      <c r="J43" s="188" t="s">
        <v>108</v>
      </c>
      <c r="K43" s="188" t="s">
        <v>232</v>
      </c>
      <c r="L43" s="188" t="s">
        <v>114</v>
      </c>
      <c r="M43" s="188" t="s">
        <v>515</v>
      </c>
      <c r="N43" s="188" t="s">
        <v>338</v>
      </c>
      <c r="O43" s="188" t="s">
        <v>172</v>
      </c>
      <c r="P43" s="188" t="s">
        <v>111</v>
      </c>
      <c r="Q43" s="188" t="s">
        <v>247</v>
      </c>
      <c r="R43" s="188" t="s">
        <v>24</v>
      </c>
      <c r="S43" s="188" t="s">
        <v>152</v>
      </c>
      <c r="T43" s="188" t="s">
        <v>121</v>
      </c>
      <c r="V43" s="188" t="s">
        <v>123</v>
      </c>
      <c r="W43" s="188" t="s">
        <v>124</v>
      </c>
      <c r="X43" s="188" t="s">
        <v>448</v>
      </c>
      <c r="Y43" s="188" t="s">
        <v>448</v>
      </c>
      <c r="Z43" s="188" t="s">
        <v>1163</v>
      </c>
      <c r="AG43" s="188" t="s">
        <v>1162</v>
      </c>
      <c r="AH43" s="188" t="s">
        <v>1151</v>
      </c>
    </row>
    <row r="44" customFormat="false" ht="27.75" hidden="false" customHeight="true" outlineLevel="0" collapsed="false">
      <c r="A44" s="0" t="n">
        <v>43</v>
      </c>
      <c r="B44" s="184" t="n">
        <v>46064.1654742778</v>
      </c>
      <c r="C44" s="184" t="n">
        <v>46064.1852543704</v>
      </c>
      <c r="D44" s="188" t="s">
        <v>519</v>
      </c>
      <c r="E44" s="188" t="s">
        <v>520</v>
      </c>
      <c r="F44" s="188" t="s">
        <v>520</v>
      </c>
      <c r="G44" s="188" t="s">
        <v>521</v>
      </c>
      <c r="H44" s="184" t="n">
        <v>46044</v>
      </c>
      <c r="I44" s="188" t="s">
        <v>325</v>
      </c>
      <c r="J44" s="188" t="s">
        <v>108</v>
      </c>
      <c r="K44" s="188" t="s">
        <v>522</v>
      </c>
      <c r="L44" s="188" t="s">
        <v>286</v>
      </c>
      <c r="M44" s="188" t="s">
        <v>365</v>
      </c>
      <c r="N44" s="188" t="s">
        <v>523</v>
      </c>
      <c r="O44" s="188" t="s">
        <v>278</v>
      </c>
      <c r="P44" s="188" t="s">
        <v>111</v>
      </c>
      <c r="Q44" s="188" t="s">
        <v>112</v>
      </c>
      <c r="R44" s="188" t="s">
        <v>24</v>
      </c>
      <c r="S44" s="188" t="s">
        <v>152</v>
      </c>
      <c r="T44" s="188" t="s">
        <v>121</v>
      </c>
      <c r="U44" s="131"/>
      <c r="V44" s="188" t="s">
        <v>192</v>
      </c>
      <c r="W44" s="188" t="s">
        <v>124</v>
      </c>
      <c r="X44" s="188" t="s">
        <v>214</v>
      </c>
      <c r="Y44" s="188" t="s">
        <v>214</v>
      </c>
      <c r="Z44" s="188" t="s">
        <v>1036</v>
      </c>
      <c r="AA44" s="188" t="s">
        <v>1066</v>
      </c>
      <c r="AG44" s="188" t="s">
        <v>122</v>
      </c>
      <c r="AH44" s="188" t="s">
        <v>1054</v>
      </c>
    </row>
    <row r="45" customFormat="false" ht="15" hidden="false" customHeight="true" outlineLevel="0" collapsed="false">
      <c r="A45" s="0" t="n">
        <v>44</v>
      </c>
      <c r="B45" s="184" t="n">
        <v>46063.8599377686</v>
      </c>
      <c r="C45" s="184" t="n">
        <v>46063.8631437871</v>
      </c>
      <c r="D45" s="188" t="s">
        <v>527</v>
      </c>
      <c r="E45" s="188" t="s">
        <v>528</v>
      </c>
      <c r="F45" s="188" t="s">
        <v>528</v>
      </c>
      <c r="G45" s="188" t="s">
        <v>529</v>
      </c>
      <c r="H45" s="184" t="n">
        <v>46061</v>
      </c>
      <c r="I45" s="188" t="s">
        <v>113</v>
      </c>
      <c r="J45" s="188" t="s">
        <v>108</v>
      </c>
      <c r="K45" s="188" t="s">
        <v>173</v>
      </c>
      <c r="L45" s="188" t="s">
        <v>296</v>
      </c>
      <c r="M45" s="188" t="s">
        <v>269</v>
      </c>
      <c r="N45" s="188" t="s">
        <v>287</v>
      </c>
      <c r="O45" s="188" t="s">
        <v>244</v>
      </c>
      <c r="P45" s="188" t="s">
        <v>211</v>
      </c>
      <c r="Q45" s="188" t="s">
        <v>112</v>
      </c>
      <c r="R45" s="188" t="s">
        <v>22</v>
      </c>
      <c r="S45" s="188" t="s">
        <v>120</v>
      </c>
      <c r="T45" s="188" t="s">
        <v>400</v>
      </c>
      <c r="U45" s="188" t="s">
        <v>122</v>
      </c>
      <c r="V45" s="188" t="s">
        <v>123</v>
      </c>
      <c r="W45" s="188" t="s">
        <v>139</v>
      </c>
      <c r="X45" s="188" t="s">
        <v>135</v>
      </c>
      <c r="Y45" s="188" t="s">
        <v>135</v>
      </c>
      <c r="Z45" s="188" t="s">
        <v>1044</v>
      </c>
      <c r="AA45" s="188" t="s">
        <v>1043</v>
      </c>
      <c r="AG45" s="188" t="s">
        <v>1165</v>
      </c>
    </row>
    <row r="46" customFormat="false" ht="15" hidden="false" customHeight="true" outlineLevel="0" collapsed="false">
      <c r="A46" s="0" t="n">
        <v>45</v>
      </c>
      <c r="B46" s="184" t="n">
        <v>46202.9184491564</v>
      </c>
      <c r="C46" s="184" t="n">
        <v>46202.9210764712</v>
      </c>
      <c r="D46" s="188" t="s">
        <v>533</v>
      </c>
      <c r="E46" s="188" t="s">
        <v>534</v>
      </c>
      <c r="F46" s="188" t="s">
        <v>534</v>
      </c>
      <c r="G46" s="188" t="s">
        <v>535</v>
      </c>
      <c r="H46" s="184" t="n">
        <v>46192</v>
      </c>
      <c r="I46" s="188" t="s">
        <v>305</v>
      </c>
      <c r="J46" s="188" t="s">
        <v>108</v>
      </c>
      <c r="K46" s="188" t="s">
        <v>232</v>
      </c>
      <c r="L46" s="188" t="s">
        <v>346</v>
      </c>
      <c r="M46" s="188" t="s">
        <v>406</v>
      </c>
      <c r="N46" s="188" t="s">
        <v>234</v>
      </c>
      <c r="O46" s="188" t="s">
        <v>107</v>
      </c>
      <c r="P46" s="188" t="s">
        <v>111</v>
      </c>
      <c r="Q46" s="188" t="s">
        <v>112</v>
      </c>
      <c r="R46" s="188" t="s">
        <v>22</v>
      </c>
      <c r="S46" s="188" t="s">
        <v>152</v>
      </c>
      <c r="T46" s="188" t="s">
        <v>180</v>
      </c>
      <c r="V46" s="188" t="s">
        <v>192</v>
      </c>
      <c r="W46" s="188" t="s">
        <v>139</v>
      </c>
      <c r="X46" s="188" t="s">
        <v>298</v>
      </c>
      <c r="Y46" s="188" t="s">
        <v>298</v>
      </c>
      <c r="Z46" s="188" t="s">
        <v>1166</v>
      </c>
      <c r="AA46" s="188" t="s">
        <v>1167</v>
      </c>
      <c r="AG46" s="188" t="s">
        <v>1169</v>
      </c>
    </row>
    <row r="47" customFormat="false" ht="15" hidden="false" customHeight="true" outlineLevel="0" collapsed="false">
      <c r="A47" s="0" t="n">
        <v>46</v>
      </c>
      <c r="B47" s="184" t="n">
        <v>46160.9522516075</v>
      </c>
      <c r="C47" s="184" t="n">
        <v>46160.9656891075</v>
      </c>
      <c r="D47" s="188" t="s">
        <v>539</v>
      </c>
      <c r="E47" s="188" t="s">
        <v>540</v>
      </c>
      <c r="F47" s="188" t="s">
        <v>541</v>
      </c>
      <c r="G47" s="188" t="s">
        <v>542</v>
      </c>
      <c r="H47" s="184" t="n">
        <v>46151</v>
      </c>
      <c r="I47" s="188" t="s">
        <v>113</v>
      </c>
      <c r="J47" s="188" t="s">
        <v>108</v>
      </c>
      <c r="K47" s="188" t="s">
        <v>196</v>
      </c>
      <c r="L47" s="188" t="s">
        <v>286</v>
      </c>
      <c r="M47" s="188" t="s">
        <v>543</v>
      </c>
      <c r="N47" s="188" t="s">
        <v>544</v>
      </c>
      <c r="O47" s="188" t="s">
        <v>107</v>
      </c>
      <c r="P47" s="188" t="s">
        <v>111</v>
      </c>
      <c r="Q47" s="188" t="s">
        <v>112</v>
      </c>
      <c r="R47" s="188" t="s">
        <v>21</v>
      </c>
      <c r="S47" s="188" t="s">
        <v>152</v>
      </c>
      <c r="T47" s="188" t="s">
        <v>180</v>
      </c>
      <c r="U47" s="188" t="s">
        <v>547</v>
      </c>
      <c r="V47" s="188" t="s">
        <v>192</v>
      </c>
      <c r="W47" s="188" t="s">
        <v>124</v>
      </c>
      <c r="X47" s="188" t="s">
        <v>307</v>
      </c>
      <c r="Y47" s="188" t="s">
        <v>307</v>
      </c>
      <c r="Z47" s="188" t="s">
        <v>1101</v>
      </c>
      <c r="AA47" s="188" t="s">
        <v>1102</v>
      </c>
      <c r="AB47" s="188" t="s">
        <v>1100</v>
      </c>
      <c r="AG47" s="188" t="s">
        <v>1105</v>
      </c>
      <c r="AH47" s="188" t="s">
        <v>1106</v>
      </c>
    </row>
    <row r="48" customFormat="false" ht="15" hidden="false" customHeight="true" outlineLevel="0" collapsed="false">
      <c r="A48" s="0" t="n">
        <v>47</v>
      </c>
      <c r="B48" s="184" t="n">
        <v>46139.5223570502</v>
      </c>
      <c r="C48" s="184" t="n">
        <v>46139.5382135316</v>
      </c>
      <c r="D48" s="188" t="s">
        <v>548</v>
      </c>
      <c r="E48" s="188" t="s">
        <v>549</v>
      </c>
      <c r="F48" s="188" t="s">
        <v>549</v>
      </c>
      <c r="G48" s="188" t="s">
        <v>550</v>
      </c>
      <c r="H48" s="184" t="n">
        <v>46125</v>
      </c>
      <c r="I48" s="188" t="s">
        <v>551</v>
      </c>
      <c r="J48" s="188" t="s">
        <v>108</v>
      </c>
      <c r="K48" s="188" t="s">
        <v>196</v>
      </c>
      <c r="L48" s="188" t="s">
        <v>286</v>
      </c>
      <c r="M48" s="188" t="s">
        <v>160</v>
      </c>
      <c r="N48" s="188" t="s">
        <v>552</v>
      </c>
      <c r="O48" s="188" t="s">
        <v>107</v>
      </c>
      <c r="P48" s="188" t="s">
        <v>111</v>
      </c>
      <c r="Q48" s="188" t="s">
        <v>247</v>
      </c>
      <c r="R48" s="188" t="s">
        <v>22</v>
      </c>
      <c r="S48" s="188" t="s">
        <v>152</v>
      </c>
      <c r="T48" s="188" t="s">
        <v>121</v>
      </c>
      <c r="U48" s="188" t="s">
        <v>122</v>
      </c>
      <c r="V48" s="188" t="s">
        <v>192</v>
      </c>
      <c r="W48" s="188" t="s">
        <v>124</v>
      </c>
      <c r="X48" s="188" t="s">
        <v>339</v>
      </c>
      <c r="Y48" s="188" t="s">
        <v>339</v>
      </c>
      <c r="Z48" s="188" t="s">
        <v>1140</v>
      </c>
      <c r="AA48" s="188" t="s">
        <v>1170</v>
      </c>
      <c r="AB48" s="188" t="s">
        <v>1171</v>
      </c>
      <c r="AG48" s="188" t="s">
        <v>1172</v>
      </c>
    </row>
    <row r="49" customFormat="false" ht="15" hidden="false" customHeight="true" outlineLevel="0" collapsed="false">
      <c r="A49" s="0" t="n">
        <v>48</v>
      </c>
      <c r="B49" s="184" t="n">
        <v>46042.9623497678</v>
      </c>
      <c r="C49" s="184" t="n">
        <v>46042.9743868048</v>
      </c>
      <c r="D49" s="188" t="s">
        <v>556</v>
      </c>
      <c r="E49" s="188" t="s">
        <v>557</v>
      </c>
      <c r="F49" s="188" t="s">
        <v>558</v>
      </c>
      <c r="G49" s="188" t="s">
        <v>559</v>
      </c>
      <c r="H49" s="184" t="n">
        <v>46029</v>
      </c>
      <c r="I49" s="188" t="s">
        <v>113</v>
      </c>
      <c r="J49" s="188" t="s">
        <v>128</v>
      </c>
      <c r="K49" s="188" t="s">
        <v>257</v>
      </c>
      <c r="L49" s="188" t="s">
        <v>246</v>
      </c>
      <c r="M49" s="188" t="s">
        <v>212</v>
      </c>
      <c r="N49" s="188" t="s">
        <v>560</v>
      </c>
      <c r="O49" s="188" t="s">
        <v>107</v>
      </c>
      <c r="P49" s="188" t="s">
        <v>111</v>
      </c>
      <c r="Q49" s="188" t="s">
        <v>112</v>
      </c>
      <c r="R49" s="188" t="s">
        <v>22</v>
      </c>
      <c r="S49" s="188" t="s">
        <v>120</v>
      </c>
      <c r="T49" s="188" t="s">
        <v>121</v>
      </c>
      <c r="U49" s="188" t="s">
        <v>562</v>
      </c>
      <c r="V49" s="188" t="s">
        <v>192</v>
      </c>
      <c r="W49" s="188" t="s">
        <v>124</v>
      </c>
      <c r="X49" s="188" t="s">
        <v>135</v>
      </c>
      <c r="Y49" s="188" t="s">
        <v>135</v>
      </c>
      <c r="Z49" s="188" t="s">
        <v>1044</v>
      </c>
      <c r="AA49" s="188" t="s">
        <v>1043</v>
      </c>
      <c r="AG49" s="188" t="s">
        <v>1046</v>
      </c>
    </row>
    <row r="50" customFormat="false" ht="15" hidden="false" customHeight="true" outlineLevel="0" collapsed="false">
      <c r="A50" s="0" t="n">
        <v>49</v>
      </c>
      <c r="B50" s="184" t="n">
        <v>46048.4323150061</v>
      </c>
      <c r="C50" s="184" t="n">
        <v>46048.4467015802</v>
      </c>
      <c r="D50" s="188" t="s">
        <v>563</v>
      </c>
      <c r="E50" s="188" t="s">
        <v>564</v>
      </c>
      <c r="F50" s="188" t="s">
        <v>564</v>
      </c>
      <c r="G50" s="188" t="s">
        <v>565</v>
      </c>
      <c r="H50" s="184" t="n">
        <v>46035</v>
      </c>
      <c r="I50" s="188" t="s">
        <v>113</v>
      </c>
      <c r="J50" s="188" t="s">
        <v>108</v>
      </c>
      <c r="K50" s="188" t="s">
        <v>173</v>
      </c>
      <c r="L50" s="188" t="s">
        <v>184</v>
      </c>
      <c r="M50" s="188" t="s">
        <v>566</v>
      </c>
      <c r="N50" s="188" t="s">
        <v>567</v>
      </c>
      <c r="O50" s="188" t="s">
        <v>107</v>
      </c>
      <c r="P50" s="188" t="s">
        <v>111</v>
      </c>
      <c r="Q50" s="188" t="s">
        <v>145</v>
      </c>
      <c r="R50" s="188" t="s">
        <v>22</v>
      </c>
      <c r="S50" s="188" t="s">
        <v>152</v>
      </c>
      <c r="T50" s="188" t="s">
        <v>180</v>
      </c>
      <c r="U50" s="188" t="s">
        <v>122</v>
      </c>
      <c r="V50" s="188" t="s">
        <v>192</v>
      </c>
      <c r="W50" s="188" t="s">
        <v>124</v>
      </c>
      <c r="X50" s="188" t="s">
        <v>135</v>
      </c>
      <c r="Y50" s="188" t="s">
        <v>135</v>
      </c>
      <c r="Z50" s="188" t="s">
        <v>1173</v>
      </c>
      <c r="AA50" s="188" t="s">
        <v>1174</v>
      </c>
      <c r="AB50" s="188" t="s">
        <v>1042</v>
      </c>
      <c r="AG50" s="188" t="s">
        <v>1175</v>
      </c>
      <c r="AH50" s="188" t="s">
        <v>1124</v>
      </c>
    </row>
    <row r="51" customFormat="false" ht="15" hidden="false" customHeight="true" outlineLevel="0" collapsed="false">
      <c r="A51" s="0" t="n">
        <v>50</v>
      </c>
      <c r="B51" s="184" t="n">
        <v>46157.0501656542</v>
      </c>
      <c r="C51" s="184" t="n">
        <v>46157.0646795431</v>
      </c>
      <c r="D51" s="188" t="s">
        <v>570</v>
      </c>
      <c r="E51" s="188" t="s">
        <v>571</v>
      </c>
      <c r="F51" s="188" t="s">
        <v>571</v>
      </c>
      <c r="G51" s="188" t="s">
        <v>572</v>
      </c>
      <c r="H51" s="184" t="n">
        <v>46142</v>
      </c>
      <c r="I51" s="188" t="s">
        <v>325</v>
      </c>
      <c r="J51" s="188" t="s">
        <v>108</v>
      </c>
      <c r="K51" s="188" t="s">
        <v>173</v>
      </c>
      <c r="L51" s="188" t="s">
        <v>491</v>
      </c>
      <c r="M51" s="188" t="s">
        <v>337</v>
      </c>
      <c r="N51" s="188" t="s">
        <v>235</v>
      </c>
      <c r="O51" s="188" t="s">
        <v>107</v>
      </c>
      <c r="P51" s="188" t="s">
        <v>131</v>
      </c>
      <c r="Q51" s="188" t="s">
        <v>112</v>
      </c>
      <c r="R51" s="188" t="s">
        <v>23</v>
      </c>
      <c r="S51" s="188" t="s">
        <v>152</v>
      </c>
      <c r="T51" s="188" t="s">
        <v>121</v>
      </c>
      <c r="U51" s="188" t="s">
        <v>122</v>
      </c>
      <c r="V51" s="188" t="s">
        <v>167</v>
      </c>
      <c r="W51" s="188" t="s">
        <v>124</v>
      </c>
      <c r="X51" s="188" t="s">
        <v>122</v>
      </c>
      <c r="Y51" s="188" t="s">
        <v>122</v>
      </c>
    </row>
    <row r="52" customFormat="false" ht="15" hidden="false" customHeight="true" outlineLevel="0" collapsed="false">
      <c r="A52" s="0" t="n">
        <v>51</v>
      </c>
      <c r="B52" s="184" t="n">
        <v>46205.6704955122</v>
      </c>
      <c r="C52" s="184" t="n">
        <v>46205.6733774567</v>
      </c>
      <c r="D52" s="188" t="s">
        <v>574</v>
      </c>
      <c r="E52" s="188" t="s">
        <v>575</v>
      </c>
      <c r="F52" s="188" t="s">
        <v>575</v>
      </c>
      <c r="G52" s="188" t="s">
        <v>576</v>
      </c>
      <c r="H52" s="184" t="n">
        <v>46191</v>
      </c>
      <c r="I52" s="188" t="s">
        <v>577</v>
      </c>
      <c r="J52" s="188" t="s">
        <v>108</v>
      </c>
      <c r="K52" s="188" t="s">
        <v>173</v>
      </c>
      <c r="L52" s="188" t="s">
        <v>144</v>
      </c>
      <c r="M52" s="188" t="s">
        <v>578</v>
      </c>
      <c r="N52" s="188" t="s">
        <v>287</v>
      </c>
      <c r="O52" s="188" t="s">
        <v>107</v>
      </c>
      <c r="P52" s="188" t="s">
        <v>211</v>
      </c>
      <c r="Q52" s="188" t="s">
        <v>112</v>
      </c>
      <c r="R52" s="188" t="s">
        <v>22</v>
      </c>
      <c r="S52" s="188" t="s">
        <v>152</v>
      </c>
      <c r="T52" s="188" t="s">
        <v>121</v>
      </c>
      <c r="U52" s="188" t="s">
        <v>122</v>
      </c>
      <c r="V52" s="188" t="s">
        <v>123</v>
      </c>
      <c r="W52" s="188" t="s">
        <v>124</v>
      </c>
      <c r="X52" s="188" t="s">
        <v>176</v>
      </c>
      <c r="Y52" s="188" t="s">
        <v>176</v>
      </c>
      <c r="Z52" s="188" t="s">
        <v>1057</v>
      </c>
      <c r="AA52" s="188" t="s">
        <v>1176</v>
      </c>
      <c r="AG52" s="188" t="s">
        <v>1178</v>
      </c>
      <c r="AH52" s="188" t="s">
        <v>122</v>
      </c>
    </row>
    <row r="53" customFormat="false" ht="15" hidden="false" customHeight="true" outlineLevel="0" collapsed="false">
      <c r="A53" s="0" t="n">
        <v>52</v>
      </c>
      <c r="B53" s="184" t="n">
        <v>46110.3273019175</v>
      </c>
      <c r="C53" s="184" t="n">
        <v>46110.3350102508</v>
      </c>
      <c r="D53" s="188" t="s">
        <v>582</v>
      </c>
      <c r="E53" s="188" t="s">
        <v>583</v>
      </c>
      <c r="F53" s="188" t="s">
        <v>584</v>
      </c>
      <c r="G53" s="188" t="s">
        <v>585</v>
      </c>
      <c r="H53" s="184" t="n">
        <v>46097</v>
      </c>
      <c r="I53" s="188" t="s">
        <v>113</v>
      </c>
      <c r="J53" s="188" t="s">
        <v>108</v>
      </c>
      <c r="K53" s="188" t="s">
        <v>232</v>
      </c>
      <c r="L53" s="188" t="s">
        <v>144</v>
      </c>
      <c r="M53" s="188" t="s">
        <v>130</v>
      </c>
      <c r="N53" s="188" t="s">
        <v>586</v>
      </c>
      <c r="O53" s="188" t="s">
        <v>107</v>
      </c>
      <c r="P53" s="188" t="s">
        <v>111</v>
      </c>
      <c r="Q53" s="188" t="s">
        <v>112</v>
      </c>
      <c r="R53" s="188" t="s">
        <v>22</v>
      </c>
      <c r="S53" s="188" t="s">
        <v>152</v>
      </c>
      <c r="T53" s="188" t="s">
        <v>590</v>
      </c>
      <c r="U53" s="188" t="s">
        <v>204</v>
      </c>
      <c r="V53" s="188" t="s">
        <v>192</v>
      </c>
      <c r="W53" s="188" t="s">
        <v>124</v>
      </c>
      <c r="X53" s="188" t="s">
        <v>298</v>
      </c>
      <c r="Y53" s="188" t="s">
        <v>298</v>
      </c>
      <c r="Z53" s="188" t="s">
        <v>1094</v>
      </c>
      <c r="AA53" s="188" t="s">
        <v>1179</v>
      </c>
      <c r="AB53" s="188" t="s">
        <v>1180</v>
      </c>
      <c r="AG53" s="188" t="s">
        <v>122</v>
      </c>
      <c r="AH53" s="188" t="s">
        <v>1182</v>
      </c>
    </row>
    <row r="54" customFormat="false" ht="15" hidden="false" customHeight="true" outlineLevel="0" collapsed="false">
      <c r="A54" s="0" t="n">
        <v>53</v>
      </c>
      <c r="B54" s="184" t="n">
        <v>46106.0492031267</v>
      </c>
      <c r="C54" s="184" t="n">
        <v>46106.0513211823</v>
      </c>
      <c r="D54" s="188" t="s">
        <v>591</v>
      </c>
      <c r="E54" s="188" t="s">
        <v>592</v>
      </c>
      <c r="F54" s="188" t="s">
        <v>592</v>
      </c>
      <c r="G54" s="188" t="s">
        <v>593</v>
      </c>
      <c r="H54" s="184" t="n">
        <v>46092</v>
      </c>
      <c r="I54" s="188" t="s">
        <v>113</v>
      </c>
      <c r="J54" s="188" t="s">
        <v>108</v>
      </c>
      <c r="K54" s="188" t="s">
        <v>257</v>
      </c>
      <c r="L54" s="188" t="s">
        <v>491</v>
      </c>
      <c r="M54" s="188" t="s">
        <v>594</v>
      </c>
      <c r="N54" s="188" t="s">
        <v>595</v>
      </c>
      <c r="O54" s="188" t="s">
        <v>107</v>
      </c>
      <c r="P54" s="188" t="s">
        <v>111</v>
      </c>
      <c r="Q54" s="188" t="s">
        <v>112</v>
      </c>
      <c r="R54" s="188" t="s">
        <v>24</v>
      </c>
      <c r="S54" s="188" t="s">
        <v>152</v>
      </c>
      <c r="T54" s="188" t="s">
        <v>121</v>
      </c>
      <c r="U54" s="188" t="s">
        <v>122</v>
      </c>
      <c r="V54" s="188" t="s">
        <v>123</v>
      </c>
      <c r="W54" s="188" t="s">
        <v>168</v>
      </c>
      <c r="X54" s="188" t="s">
        <v>448</v>
      </c>
      <c r="Y54" s="188" t="s">
        <v>448</v>
      </c>
      <c r="Z54" s="188" t="s">
        <v>1147</v>
      </c>
      <c r="AA54" s="188" t="s">
        <v>1161</v>
      </c>
      <c r="AG54" s="188" t="s">
        <v>1150</v>
      </c>
      <c r="AH54" s="188" t="s">
        <v>1162</v>
      </c>
    </row>
    <row r="55" customFormat="false" ht="15" hidden="false" customHeight="true" outlineLevel="0" collapsed="false">
      <c r="A55" s="0" t="n">
        <v>54</v>
      </c>
      <c r="B55" s="184" t="n">
        <v>46203.3747962733</v>
      </c>
      <c r="C55" s="184" t="n">
        <v>46203.3926319214</v>
      </c>
      <c r="D55" s="188" t="s">
        <v>598</v>
      </c>
      <c r="E55" s="188" t="s">
        <v>599</v>
      </c>
      <c r="F55" s="188" t="s">
        <v>599</v>
      </c>
      <c r="G55" s="188" t="s">
        <v>600</v>
      </c>
      <c r="H55" s="184" t="n">
        <v>46199</v>
      </c>
      <c r="I55" s="188" t="s">
        <v>551</v>
      </c>
      <c r="J55" s="188" t="s">
        <v>108</v>
      </c>
      <c r="K55" s="188" t="s">
        <v>196</v>
      </c>
      <c r="L55" s="188" t="s">
        <v>110</v>
      </c>
      <c r="M55" s="188" t="s">
        <v>234</v>
      </c>
      <c r="N55" s="188" t="s">
        <v>111</v>
      </c>
      <c r="O55" s="188" t="s">
        <v>157</v>
      </c>
      <c r="P55" s="188" t="s">
        <v>131</v>
      </c>
      <c r="Q55" s="188" t="s">
        <v>247</v>
      </c>
      <c r="R55" s="188" t="s">
        <v>22</v>
      </c>
      <c r="S55" s="188" t="s">
        <v>227</v>
      </c>
      <c r="T55" s="188" t="s">
        <v>352</v>
      </c>
      <c r="V55" s="188" t="s">
        <v>123</v>
      </c>
      <c r="W55" s="188" t="s">
        <v>124</v>
      </c>
      <c r="X55" s="188" t="s">
        <v>116</v>
      </c>
      <c r="Y55" s="188" t="s">
        <v>116</v>
      </c>
      <c r="Z55" s="188" t="s">
        <v>1111</v>
      </c>
      <c r="AA55" s="188" t="s">
        <v>1036</v>
      </c>
      <c r="AB55" s="188" t="s">
        <v>1052</v>
      </c>
      <c r="AG55" s="188" t="s">
        <v>122</v>
      </c>
    </row>
    <row r="56" customFormat="false" ht="15" hidden="false" customHeight="true" outlineLevel="0" collapsed="false">
      <c r="A56" s="0" t="n">
        <v>55</v>
      </c>
      <c r="B56" s="184" t="n">
        <v>46147.184357683</v>
      </c>
      <c r="C56" s="184" t="n">
        <v>46147.1877836089</v>
      </c>
      <c r="D56" s="188" t="s">
        <v>603</v>
      </c>
      <c r="E56" s="188" t="s">
        <v>604</v>
      </c>
      <c r="F56" s="188" t="s">
        <v>604</v>
      </c>
      <c r="G56" s="188" t="s">
        <v>605</v>
      </c>
      <c r="H56" s="184" t="n">
        <v>46132</v>
      </c>
      <c r="I56" s="188" t="s">
        <v>113</v>
      </c>
      <c r="J56" s="188" t="s">
        <v>295</v>
      </c>
      <c r="K56" s="188" t="s">
        <v>462</v>
      </c>
      <c r="L56" s="188" t="s">
        <v>431</v>
      </c>
      <c r="M56" s="188" t="s">
        <v>594</v>
      </c>
      <c r="N56" s="188" t="s">
        <v>606</v>
      </c>
      <c r="O56" s="188" t="s">
        <v>244</v>
      </c>
      <c r="P56" s="188" t="s">
        <v>390</v>
      </c>
      <c r="Q56" s="188" t="s">
        <v>112</v>
      </c>
      <c r="R56" s="188" t="s">
        <v>22</v>
      </c>
      <c r="S56" s="188" t="s">
        <v>152</v>
      </c>
      <c r="T56" s="188" t="s">
        <v>121</v>
      </c>
      <c r="U56" s="188" t="s">
        <v>122</v>
      </c>
      <c r="V56" s="188" t="s">
        <v>123</v>
      </c>
      <c r="W56" s="188" t="s">
        <v>139</v>
      </c>
      <c r="X56" s="188" t="s">
        <v>116</v>
      </c>
      <c r="Y56" s="188" t="s">
        <v>116</v>
      </c>
      <c r="Z56" s="188" t="s">
        <v>1036</v>
      </c>
      <c r="AA56" s="188" t="s">
        <v>1078</v>
      </c>
      <c r="AB56" s="188" t="s">
        <v>1052</v>
      </c>
      <c r="AG56" s="188" t="s">
        <v>1112</v>
      </c>
    </row>
    <row r="57" customFormat="false" ht="15" hidden="false" customHeight="true" outlineLevel="0" collapsed="false">
      <c r="A57" s="0" t="n">
        <v>56</v>
      </c>
      <c r="B57" s="184" t="n">
        <v>46072.7152954454</v>
      </c>
      <c r="C57" s="184" t="n">
        <v>46072.7317306305</v>
      </c>
      <c r="D57" s="188" t="s">
        <v>609</v>
      </c>
      <c r="E57" s="188" t="s">
        <v>610</v>
      </c>
      <c r="F57" s="188" t="s">
        <v>610</v>
      </c>
      <c r="G57" s="188" t="s">
        <v>611</v>
      </c>
      <c r="H57" s="184" t="n">
        <v>46052</v>
      </c>
      <c r="I57" s="188" t="s">
        <v>305</v>
      </c>
      <c r="J57" s="188" t="s">
        <v>108</v>
      </c>
      <c r="K57" s="188" t="s">
        <v>364</v>
      </c>
      <c r="L57" s="188" t="s">
        <v>431</v>
      </c>
      <c r="M57" s="188" t="s">
        <v>612</v>
      </c>
      <c r="N57" s="188" t="s">
        <v>613</v>
      </c>
      <c r="O57" s="188" t="s">
        <v>172</v>
      </c>
      <c r="P57" s="188" t="s">
        <v>111</v>
      </c>
      <c r="Q57" s="188" t="s">
        <v>112</v>
      </c>
      <c r="R57" s="188" t="s">
        <v>21</v>
      </c>
      <c r="S57" s="188" t="s">
        <v>152</v>
      </c>
      <c r="T57" s="188" t="s">
        <v>121</v>
      </c>
      <c r="U57" s="188" t="s">
        <v>614</v>
      </c>
      <c r="V57" s="188" t="s">
        <v>123</v>
      </c>
      <c r="W57" s="188" t="s">
        <v>139</v>
      </c>
      <c r="X57" s="188" t="s">
        <v>307</v>
      </c>
      <c r="Y57" s="188" t="s">
        <v>307</v>
      </c>
      <c r="Z57" s="188" t="s">
        <v>1102</v>
      </c>
      <c r="AG57" s="188" t="s">
        <v>1105</v>
      </c>
      <c r="AH57" s="188" t="s">
        <v>1106</v>
      </c>
    </row>
    <row r="58" customFormat="false" ht="15" hidden="false" customHeight="true" outlineLevel="0" collapsed="false">
      <c r="A58" s="0" t="n">
        <v>57</v>
      </c>
      <c r="B58" s="184" t="n">
        <v>46194.5856993516</v>
      </c>
      <c r="C58" s="184" t="n">
        <v>46194.5941368516</v>
      </c>
      <c r="D58" s="188" t="s">
        <v>615</v>
      </c>
      <c r="E58" s="188" t="s">
        <v>616</v>
      </c>
      <c r="F58" s="188" t="s">
        <v>617</v>
      </c>
      <c r="G58" s="188" t="s">
        <v>618</v>
      </c>
      <c r="H58" s="184" t="n">
        <v>46193</v>
      </c>
      <c r="I58" s="188" t="s">
        <v>325</v>
      </c>
      <c r="J58" s="188" t="s">
        <v>108</v>
      </c>
      <c r="K58" s="188" t="s">
        <v>257</v>
      </c>
      <c r="L58" s="188" t="s">
        <v>431</v>
      </c>
      <c r="M58" s="188" t="s">
        <v>406</v>
      </c>
      <c r="N58" s="188" t="s">
        <v>111</v>
      </c>
      <c r="O58" s="188" t="s">
        <v>107</v>
      </c>
      <c r="P58" s="188" t="s">
        <v>111</v>
      </c>
      <c r="Q58" s="188" t="s">
        <v>145</v>
      </c>
      <c r="R58" s="188" t="s">
        <v>25</v>
      </c>
      <c r="S58" s="188" t="s">
        <v>152</v>
      </c>
      <c r="T58" s="188" t="s">
        <v>121</v>
      </c>
      <c r="U58" s="188" t="s">
        <v>122</v>
      </c>
      <c r="V58" s="188" t="s">
        <v>167</v>
      </c>
      <c r="W58" s="188" t="s">
        <v>124</v>
      </c>
      <c r="X58" s="188" t="s">
        <v>327</v>
      </c>
      <c r="Y58" s="188" t="s">
        <v>327</v>
      </c>
      <c r="Z58" s="188" t="s">
        <v>1036</v>
      </c>
      <c r="AA58" s="188" t="s">
        <v>1052</v>
      </c>
      <c r="AG58" s="188" t="s">
        <v>1079</v>
      </c>
    </row>
    <row r="59" customFormat="false" ht="15" hidden="false" customHeight="true" outlineLevel="0" collapsed="false">
      <c r="A59" s="0" t="n">
        <v>58</v>
      </c>
      <c r="B59" s="184" t="n">
        <v>46145.4537961707</v>
      </c>
      <c r="C59" s="184" t="n">
        <v>46145.4722683929</v>
      </c>
      <c r="D59" s="188" t="s">
        <v>622</v>
      </c>
      <c r="E59" s="188" t="s">
        <v>623</v>
      </c>
      <c r="F59" s="188" t="s">
        <v>623</v>
      </c>
      <c r="G59" s="188" t="s">
        <v>624</v>
      </c>
      <c r="H59" s="184" t="n">
        <v>46140</v>
      </c>
      <c r="I59" s="188" t="s">
        <v>113</v>
      </c>
      <c r="J59" s="188" t="s">
        <v>108</v>
      </c>
      <c r="K59" s="188" t="s">
        <v>232</v>
      </c>
      <c r="L59" s="188" t="s">
        <v>389</v>
      </c>
      <c r="M59" s="188" t="s">
        <v>286</v>
      </c>
      <c r="N59" s="188" t="s">
        <v>625</v>
      </c>
      <c r="O59" s="188" t="s">
        <v>172</v>
      </c>
      <c r="P59" s="188" t="s">
        <v>111</v>
      </c>
      <c r="Q59" s="188" t="s">
        <v>247</v>
      </c>
      <c r="R59" s="188" t="s">
        <v>22</v>
      </c>
      <c r="S59" s="188" t="s">
        <v>152</v>
      </c>
      <c r="T59" s="188" t="s">
        <v>121</v>
      </c>
      <c r="V59" s="188" t="s">
        <v>123</v>
      </c>
      <c r="W59" s="188" t="s">
        <v>124</v>
      </c>
      <c r="X59" s="188" t="s">
        <v>135</v>
      </c>
      <c r="Y59" s="188" t="s">
        <v>135</v>
      </c>
      <c r="Z59" s="188" t="s">
        <v>1043</v>
      </c>
      <c r="AG59" s="188" t="s">
        <v>1184</v>
      </c>
    </row>
    <row r="60" customFormat="false" ht="15" hidden="false" customHeight="true" outlineLevel="0" collapsed="false">
      <c r="A60" s="0" t="n">
        <v>59</v>
      </c>
      <c r="B60" s="184" t="n">
        <v>46205.1838746871</v>
      </c>
      <c r="C60" s="184" t="n">
        <v>46205.1921038538</v>
      </c>
      <c r="D60" s="188" t="s">
        <v>629</v>
      </c>
      <c r="E60" s="188" t="s">
        <v>630</v>
      </c>
      <c r="F60" s="188" t="s">
        <v>630</v>
      </c>
      <c r="G60" s="188" t="s">
        <v>631</v>
      </c>
      <c r="H60" s="184" t="n">
        <v>46191</v>
      </c>
      <c r="I60" s="188" t="s">
        <v>325</v>
      </c>
      <c r="J60" s="188" t="s">
        <v>108</v>
      </c>
      <c r="K60" s="188" t="s">
        <v>462</v>
      </c>
      <c r="L60" s="188" t="s">
        <v>431</v>
      </c>
      <c r="M60" s="188" t="s">
        <v>612</v>
      </c>
      <c r="N60" s="188" t="s">
        <v>347</v>
      </c>
      <c r="O60" s="188" t="s">
        <v>278</v>
      </c>
      <c r="P60" s="188" t="s">
        <v>390</v>
      </c>
      <c r="Q60" s="188" t="s">
        <v>112</v>
      </c>
      <c r="R60" s="188" t="s">
        <v>24</v>
      </c>
      <c r="S60" s="188" t="s">
        <v>152</v>
      </c>
      <c r="T60" s="188" t="s">
        <v>121</v>
      </c>
      <c r="V60" s="188" t="s">
        <v>192</v>
      </c>
      <c r="W60" s="188" t="s">
        <v>124</v>
      </c>
      <c r="X60" s="188" t="s">
        <v>223</v>
      </c>
      <c r="Y60" s="188" t="s">
        <v>223</v>
      </c>
      <c r="Z60" s="188" t="s">
        <v>1091</v>
      </c>
      <c r="AG60" s="188" t="s">
        <v>1122</v>
      </c>
    </row>
    <row r="61" customFormat="false" ht="15" hidden="false" customHeight="true" outlineLevel="0" collapsed="false">
      <c r="A61" s="0" t="n">
        <v>60</v>
      </c>
      <c r="B61" s="184" t="n">
        <v>46196.2007336531</v>
      </c>
      <c r="C61" s="184" t="n">
        <v>46196.2167290234</v>
      </c>
      <c r="D61" s="188" t="s">
        <v>635</v>
      </c>
      <c r="E61" s="188" t="s">
        <v>636</v>
      </c>
      <c r="F61" s="188" t="s">
        <v>636</v>
      </c>
      <c r="G61" s="188" t="s">
        <v>637</v>
      </c>
      <c r="H61" s="184" t="n">
        <v>46178</v>
      </c>
      <c r="I61" s="188" t="s">
        <v>113</v>
      </c>
      <c r="J61" s="188" t="s">
        <v>295</v>
      </c>
      <c r="K61" s="188" t="s">
        <v>232</v>
      </c>
      <c r="L61" s="188" t="s">
        <v>389</v>
      </c>
      <c r="M61" s="188" t="s">
        <v>279</v>
      </c>
      <c r="N61" s="188" t="s">
        <v>638</v>
      </c>
      <c r="O61" s="188" t="s">
        <v>172</v>
      </c>
      <c r="P61" s="188" t="s">
        <v>131</v>
      </c>
      <c r="Q61" s="188" t="s">
        <v>112</v>
      </c>
      <c r="R61" s="188" t="s">
        <v>22</v>
      </c>
      <c r="S61" s="188" t="s">
        <v>120</v>
      </c>
      <c r="T61" s="188" t="s">
        <v>180</v>
      </c>
      <c r="U61" s="131" t="s">
        <v>641</v>
      </c>
      <c r="V61" s="188" t="s">
        <v>167</v>
      </c>
      <c r="W61" s="188" t="s">
        <v>124</v>
      </c>
      <c r="X61" s="188" t="s">
        <v>135</v>
      </c>
      <c r="Y61" s="188" t="s">
        <v>135</v>
      </c>
      <c r="Z61" s="188" t="s">
        <v>1155</v>
      </c>
      <c r="AA61" s="188" t="s">
        <v>1043</v>
      </c>
      <c r="AB61" s="188" t="s">
        <v>1042</v>
      </c>
      <c r="AG61" s="188" t="s">
        <v>1124</v>
      </c>
    </row>
    <row r="62" customFormat="false" ht="15" hidden="false" customHeight="true" outlineLevel="0" collapsed="false">
      <c r="A62" s="0" t="n">
        <v>61</v>
      </c>
      <c r="B62" s="184" t="n">
        <v>46144.2039103999</v>
      </c>
      <c r="C62" s="184" t="n">
        <v>46144.2157506777</v>
      </c>
      <c r="D62" s="188" t="s">
        <v>642</v>
      </c>
      <c r="E62" s="188" t="s">
        <v>643</v>
      </c>
      <c r="F62" s="188" t="s">
        <v>643</v>
      </c>
      <c r="G62" s="188" t="s">
        <v>644</v>
      </c>
      <c r="H62" s="184" t="n">
        <v>46131</v>
      </c>
      <c r="I62" s="188" t="s">
        <v>113</v>
      </c>
      <c r="J62" s="188" t="s">
        <v>108</v>
      </c>
      <c r="K62" s="188" t="s">
        <v>196</v>
      </c>
      <c r="L62" s="188" t="s">
        <v>197</v>
      </c>
      <c r="M62" s="188" t="s">
        <v>234</v>
      </c>
      <c r="N62" s="188" t="s">
        <v>645</v>
      </c>
      <c r="O62" s="188" t="s">
        <v>244</v>
      </c>
      <c r="P62" s="188" t="s">
        <v>111</v>
      </c>
      <c r="Q62" s="188" t="s">
        <v>112</v>
      </c>
      <c r="R62" s="188" t="s">
        <v>22</v>
      </c>
      <c r="S62" s="188" t="s">
        <v>152</v>
      </c>
      <c r="T62" s="188" t="s">
        <v>121</v>
      </c>
      <c r="V62" s="188" t="s">
        <v>167</v>
      </c>
      <c r="W62" s="188" t="s">
        <v>124</v>
      </c>
      <c r="X62" s="188" t="s">
        <v>271</v>
      </c>
      <c r="Y62" s="188" t="s">
        <v>271</v>
      </c>
      <c r="Z62" s="188" t="s">
        <v>1107</v>
      </c>
      <c r="AG62" s="188" t="s">
        <v>122</v>
      </c>
      <c r="AH62" s="188" t="s">
        <v>1090</v>
      </c>
    </row>
    <row r="63" customFormat="false" ht="15" hidden="false" customHeight="true" outlineLevel="0" collapsed="false">
      <c r="A63" s="0" t="n">
        <v>62</v>
      </c>
      <c r="B63" s="184" t="n">
        <v>46126.0576316544</v>
      </c>
      <c r="C63" s="184" t="n">
        <v>46126.0665321174</v>
      </c>
      <c r="D63" s="188" t="s">
        <v>649</v>
      </c>
      <c r="E63" s="188" t="s">
        <v>650</v>
      </c>
      <c r="F63" s="188" t="s">
        <v>650</v>
      </c>
      <c r="G63" s="188" t="s">
        <v>651</v>
      </c>
      <c r="H63" s="184" t="n">
        <v>46118</v>
      </c>
      <c r="I63" s="188" t="s">
        <v>113</v>
      </c>
      <c r="J63" s="188" t="s">
        <v>108</v>
      </c>
      <c r="K63" s="188" t="s">
        <v>245</v>
      </c>
      <c r="L63" s="188" t="s">
        <v>491</v>
      </c>
      <c r="M63" s="188" t="s">
        <v>652</v>
      </c>
      <c r="N63" s="188" t="s">
        <v>653</v>
      </c>
      <c r="O63" s="188" t="s">
        <v>172</v>
      </c>
      <c r="P63" s="188" t="s">
        <v>211</v>
      </c>
      <c r="Q63" s="188" t="s">
        <v>145</v>
      </c>
      <c r="R63" s="188" t="s">
        <v>21</v>
      </c>
      <c r="S63" s="188" t="s">
        <v>152</v>
      </c>
      <c r="T63" s="188" t="s">
        <v>352</v>
      </c>
      <c r="V63" s="188" t="s">
        <v>167</v>
      </c>
      <c r="W63" s="188" t="s">
        <v>124</v>
      </c>
      <c r="X63" s="188" t="s">
        <v>374</v>
      </c>
      <c r="Y63" s="188" t="s">
        <v>374</v>
      </c>
      <c r="Z63" s="188" t="s">
        <v>1126</v>
      </c>
      <c r="AA63" s="188" t="s">
        <v>1125</v>
      </c>
      <c r="AB63" s="188" t="s">
        <v>1127</v>
      </c>
      <c r="AG63" s="188" t="s">
        <v>1129</v>
      </c>
      <c r="AH63" s="188" t="s">
        <v>1130</v>
      </c>
    </row>
    <row r="64" customFormat="false" ht="15" hidden="false" customHeight="true" outlineLevel="0" collapsed="false">
      <c r="A64" s="0" t="n">
        <v>63</v>
      </c>
      <c r="B64" s="184" t="n">
        <v>46149.5799676932</v>
      </c>
      <c r="C64" s="184" t="n">
        <v>46149.5925487118</v>
      </c>
      <c r="D64" s="188" t="s">
        <v>656</v>
      </c>
      <c r="E64" s="188" t="s">
        <v>657</v>
      </c>
      <c r="F64" s="188" t="s">
        <v>657</v>
      </c>
      <c r="G64" s="188" t="s">
        <v>658</v>
      </c>
      <c r="H64" s="184" t="n">
        <v>46145</v>
      </c>
      <c r="I64" s="188" t="s">
        <v>336</v>
      </c>
      <c r="J64" s="188" t="s">
        <v>108</v>
      </c>
      <c r="K64" s="188" t="s">
        <v>245</v>
      </c>
      <c r="L64" s="188" t="s">
        <v>389</v>
      </c>
      <c r="M64" s="188" t="s">
        <v>391</v>
      </c>
      <c r="N64" s="188" t="s">
        <v>440</v>
      </c>
      <c r="O64" s="188" t="s">
        <v>107</v>
      </c>
      <c r="P64" s="188" t="s">
        <v>111</v>
      </c>
      <c r="Q64" s="188" t="s">
        <v>112</v>
      </c>
      <c r="R64" s="188" t="s">
        <v>22</v>
      </c>
      <c r="S64" s="188" t="s">
        <v>320</v>
      </c>
      <c r="T64" s="188" t="s">
        <v>121</v>
      </c>
      <c r="U64" s="188" t="s">
        <v>122</v>
      </c>
      <c r="V64" s="188" t="s">
        <v>167</v>
      </c>
      <c r="W64" s="188" t="s">
        <v>139</v>
      </c>
      <c r="X64" s="188" t="s">
        <v>148</v>
      </c>
      <c r="Y64" s="188" t="s">
        <v>148</v>
      </c>
      <c r="Z64" s="188" t="s">
        <v>1047</v>
      </c>
      <c r="AA64" s="188" t="s">
        <v>1063</v>
      </c>
      <c r="AB64" s="188" t="s">
        <v>1158</v>
      </c>
      <c r="AG64" s="188" t="s">
        <v>1065</v>
      </c>
      <c r="AH64" s="188" t="s">
        <v>1160</v>
      </c>
    </row>
    <row r="65" customFormat="false" ht="15" hidden="false" customHeight="true" outlineLevel="0" collapsed="false">
      <c r="A65" s="0" t="n">
        <v>64</v>
      </c>
      <c r="B65" s="184" t="n">
        <v>46094.6911097966</v>
      </c>
      <c r="C65" s="184" t="n">
        <v>46094.6950334077</v>
      </c>
      <c r="D65" s="188" t="s">
        <v>662</v>
      </c>
      <c r="E65" s="188" t="s">
        <v>663</v>
      </c>
      <c r="F65" s="188" t="s">
        <v>663</v>
      </c>
      <c r="G65" s="188" t="s">
        <v>664</v>
      </c>
      <c r="H65" s="184" t="n">
        <v>46074</v>
      </c>
      <c r="I65" s="188" t="s">
        <v>113</v>
      </c>
      <c r="J65" s="188" t="s">
        <v>108</v>
      </c>
      <c r="K65" s="188" t="s">
        <v>196</v>
      </c>
      <c r="L65" s="188" t="s">
        <v>346</v>
      </c>
      <c r="M65" s="188" t="s">
        <v>160</v>
      </c>
      <c r="N65" s="188" t="s">
        <v>665</v>
      </c>
      <c r="O65" s="188" t="s">
        <v>244</v>
      </c>
      <c r="P65" s="188" t="s">
        <v>111</v>
      </c>
      <c r="Q65" s="188" t="s">
        <v>112</v>
      </c>
      <c r="R65" s="188" t="s">
        <v>22</v>
      </c>
      <c r="S65" s="188" t="s">
        <v>152</v>
      </c>
      <c r="T65" s="188" t="s">
        <v>180</v>
      </c>
      <c r="V65" s="188" t="s">
        <v>123</v>
      </c>
      <c r="W65" s="188" t="s">
        <v>124</v>
      </c>
      <c r="X65" s="188" t="s">
        <v>298</v>
      </c>
      <c r="Y65" s="188" t="s">
        <v>298</v>
      </c>
      <c r="Z65" s="188" t="s">
        <v>1179</v>
      </c>
      <c r="AG65" s="188" t="s">
        <v>1187</v>
      </c>
    </row>
    <row r="66" customFormat="false" ht="15" hidden="false" customHeight="true" outlineLevel="0" collapsed="false">
      <c r="A66" s="0" t="n">
        <v>65</v>
      </c>
      <c r="B66" s="184" t="n">
        <v>46169.099835762</v>
      </c>
      <c r="C66" s="184" t="n">
        <v>46169.1071042806</v>
      </c>
      <c r="D66" s="188" t="s">
        <v>669</v>
      </c>
      <c r="E66" s="188" t="s">
        <v>670</v>
      </c>
      <c r="F66" s="188" t="s">
        <v>670</v>
      </c>
      <c r="G66" s="188" t="s">
        <v>671</v>
      </c>
      <c r="H66" s="184" t="n">
        <v>46162</v>
      </c>
      <c r="I66" s="188" t="s">
        <v>113</v>
      </c>
      <c r="J66" s="188" t="s">
        <v>108</v>
      </c>
      <c r="K66" s="188" t="s">
        <v>173</v>
      </c>
      <c r="L66" s="188" t="s">
        <v>346</v>
      </c>
      <c r="M66" s="188" t="s">
        <v>566</v>
      </c>
      <c r="N66" s="188" t="s">
        <v>672</v>
      </c>
      <c r="O66" s="194" t="s">
        <v>172</v>
      </c>
      <c r="P66" s="188" t="s">
        <v>111</v>
      </c>
      <c r="Q66" s="188" t="s">
        <v>145</v>
      </c>
      <c r="R66" s="188" t="s">
        <v>22</v>
      </c>
      <c r="S66" s="188" t="s">
        <v>227</v>
      </c>
      <c r="T66" s="188" t="s">
        <v>121</v>
      </c>
      <c r="U66" s="188" t="s">
        <v>122</v>
      </c>
      <c r="V66" s="188" t="s">
        <v>123</v>
      </c>
      <c r="W66" s="188" t="s">
        <v>124</v>
      </c>
      <c r="X66" s="188" t="s">
        <v>339</v>
      </c>
      <c r="Y66" s="188" t="s">
        <v>339</v>
      </c>
      <c r="Z66" s="188" t="s">
        <v>1140</v>
      </c>
      <c r="AA66" s="188" t="s">
        <v>1141</v>
      </c>
      <c r="AB66" s="188" t="s">
        <v>1188</v>
      </c>
      <c r="AG66" s="188" t="s">
        <v>1189</v>
      </c>
    </row>
    <row r="67" customFormat="false" ht="30" hidden="false" customHeight="true" outlineLevel="0" collapsed="false">
      <c r="A67" s="0" t="n">
        <v>66</v>
      </c>
      <c r="B67" s="184" t="n">
        <v>46047.543879711</v>
      </c>
      <c r="C67" s="184" t="n">
        <v>46047.5633241555</v>
      </c>
      <c r="D67" s="188" t="s">
        <v>676</v>
      </c>
      <c r="E67" s="188" t="s">
        <v>677</v>
      </c>
      <c r="F67" s="188" t="s">
        <v>677</v>
      </c>
      <c r="G67" s="188" t="s">
        <v>678</v>
      </c>
      <c r="H67" s="184" t="n">
        <v>46028</v>
      </c>
      <c r="I67" s="188" t="s">
        <v>132</v>
      </c>
      <c r="J67" s="188" t="s">
        <v>108</v>
      </c>
      <c r="K67" s="188" t="s">
        <v>257</v>
      </c>
      <c r="L67" s="188" t="s">
        <v>110</v>
      </c>
      <c r="M67" s="188" t="s">
        <v>439</v>
      </c>
      <c r="N67" s="131" t="s">
        <v>115</v>
      </c>
      <c r="O67" s="188" t="s">
        <v>157</v>
      </c>
      <c r="P67" s="188" t="s">
        <v>211</v>
      </c>
      <c r="Q67" s="188" t="s">
        <v>112</v>
      </c>
      <c r="R67" s="188" t="s">
        <v>22</v>
      </c>
      <c r="S67" s="188" t="s">
        <v>120</v>
      </c>
      <c r="T67" s="188" t="s">
        <v>121</v>
      </c>
      <c r="U67" s="188" t="s">
        <v>682</v>
      </c>
      <c r="V67" s="188" t="s">
        <v>167</v>
      </c>
      <c r="W67" s="188" t="s">
        <v>124</v>
      </c>
      <c r="X67" s="188" t="s">
        <v>116</v>
      </c>
      <c r="Y67" s="188" t="s">
        <v>116</v>
      </c>
      <c r="Z67" s="188" t="s">
        <v>1078</v>
      </c>
      <c r="AG67" s="188" t="s">
        <v>1041</v>
      </c>
    </row>
    <row r="68" customFormat="false" ht="30" hidden="false" customHeight="true" outlineLevel="0" collapsed="false">
      <c r="A68" s="0" t="n">
        <v>67</v>
      </c>
      <c r="B68" s="184" t="n">
        <v>46140.1300164461</v>
      </c>
      <c r="C68" s="184" t="n">
        <v>46140.1423544091</v>
      </c>
      <c r="D68" s="188" t="s">
        <v>683</v>
      </c>
      <c r="E68" s="188" t="s">
        <v>684</v>
      </c>
      <c r="F68" s="188" t="s">
        <v>684</v>
      </c>
      <c r="G68" s="188" t="s">
        <v>685</v>
      </c>
      <c r="H68" s="184" t="n">
        <v>46140</v>
      </c>
      <c r="I68" s="188" t="s">
        <v>113</v>
      </c>
      <c r="J68" s="188" t="s">
        <v>295</v>
      </c>
      <c r="K68" s="188" t="s">
        <v>462</v>
      </c>
      <c r="L68" s="188" t="s">
        <v>197</v>
      </c>
      <c r="M68" s="188" t="s">
        <v>686</v>
      </c>
      <c r="N68" s="131" t="s">
        <v>407</v>
      </c>
      <c r="O68" s="188" t="s">
        <v>172</v>
      </c>
      <c r="P68" s="188" t="s">
        <v>111</v>
      </c>
      <c r="Q68" s="188" t="s">
        <v>145</v>
      </c>
      <c r="R68" s="188" t="s">
        <v>25</v>
      </c>
      <c r="S68" s="188" t="s">
        <v>152</v>
      </c>
      <c r="T68" s="188" t="s">
        <v>228</v>
      </c>
      <c r="V68" s="188" t="s">
        <v>167</v>
      </c>
      <c r="W68" s="188" t="s">
        <v>168</v>
      </c>
      <c r="X68" s="188" t="s">
        <v>687</v>
      </c>
      <c r="Y68" s="188" t="s">
        <v>687</v>
      </c>
      <c r="Z68" s="188" t="s">
        <v>1190</v>
      </c>
      <c r="AG68" s="188" t="s">
        <v>1193</v>
      </c>
      <c r="AH68" s="188" t="s">
        <v>1194</v>
      </c>
    </row>
    <row r="69" customFormat="false" ht="15" hidden="false" customHeight="true" outlineLevel="0" collapsed="false">
      <c r="A69" s="0" t="n">
        <v>68</v>
      </c>
      <c r="B69" s="184" t="n">
        <v>46041.4449735634</v>
      </c>
      <c r="C69" s="184" t="n">
        <v>46041.4590939337</v>
      </c>
      <c r="D69" s="188" t="s">
        <v>691</v>
      </c>
      <c r="E69" s="188" t="s">
        <v>692</v>
      </c>
      <c r="F69" s="188" t="s">
        <v>692</v>
      </c>
      <c r="G69" s="188" t="s">
        <v>693</v>
      </c>
      <c r="H69" s="184" t="n">
        <v>46034</v>
      </c>
      <c r="I69" s="188" t="s">
        <v>113</v>
      </c>
      <c r="J69" s="188" t="s">
        <v>295</v>
      </c>
      <c r="K69" s="188" t="s">
        <v>196</v>
      </c>
      <c r="L69" s="188" t="s">
        <v>159</v>
      </c>
      <c r="M69" s="188" t="s">
        <v>694</v>
      </c>
      <c r="N69" s="188" t="s">
        <v>234</v>
      </c>
      <c r="O69" s="188" t="s">
        <v>157</v>
      </c>
      <c r="P69" s="188" t="s">
        <v>111</v>
      </c>
      <c r="Q69" s="188" t="s">
        <v>145</v>
      </c>
      <c r="R69" s="188" t="s">
        <v>22</v>
      </c>
      <c r="S69" s="188" t="s">
        <v>152</v>
      </c>
      <c r="T69" s="188" t="s">
        <v>121</v>
      </c>
      <c r="U69" s="188" t="s">
        <v>122</v>
      </c>
      <c r="V69" s="188" t="s">
        <v>123</v>
      </c>
      <c r="W69" s="188" t="s">
        <v>124</v>
      </c>
      <c r="X69" s="188" t="s">
        <v>148</v>
      </c>
      <c r="Y69" s="188" t="s">
        <v>148</v>
      </c>
      <c r="Z69" s="188" t="s">
        <v>1093</v>
      </c>
      <c r="AG69" s="188" t="s">
        <v>1160</v>
      </c>
    </row>
    <row r="70" customFormat="false" ht="15" hidden="false" customHeight="true" outlineLevel="0" collapsed="false">
      <c r="A70" s="0" t="n">
        <v>69</v>
      </c>
      <c r="B70" s="184" t="n">
        <v>46072.1535401481</v>
      </c>
      <c r="C70" s="184" t="n">
        <v>46072.1733202407</v>
      </c>
      <c r="D70" s="188" t="s">
        <v>697</v>
      </c>
      <c r="E70" s="188" t="s">
        <v>698</v>
      </c>
      <c r="F70" s="188" t="s">
        <v>699</v>
      </c>
      <c r="G70" s="188" t="s">
        <v>700</v>
      </c>
      <c r="H70" s="184" t="n">
        <v>46063</v>
      </c>
      <c r="I70" s="188" t="s">
        <v>113</v>
      </c>
      <c r="J70" s="188" t="s">
        <v>128</v>
      </c>
      <c r="K70" s="188" t="s">
        <v>257</v>
      </c>
      <c r="L70" s="188" t="s">
        <v>184</v>
      </c>
      <c r="M70" s="188" t="s">
        <v>114</v>
      </c>
      <c r="N70" s="188" t="s">
        <v>701</v>
      </c>
      <c r="O70" s="188" t="s">
        <v>107</v>
      </c>
      <c r="P70" s="188" t="s">
        <v>111</v>
      </c>
      <c r="Q70" s="188" t="s">
        <v>112</v>
      </c>
      <c r="R70" s="188" t="s">
        <v>22</v>
      </c>
      <c r="S70" s="188" t="s">
        <v>152</v>
      </c>
      <c r="T70" s="188" t="s">
        <v>121</v>
      </c>
      <c r="V70" s="188" t="s">
        <v>192</v>
      </c>
      <c r="W70" s="188" t="s">
        <v>124</v>
      </c>
      <c r="X70" s="188" t="s">
        <v>135</v>
      </c>
      <c r="Y70" s="188" t="s">
        <v>135</v>
      </c>
      <c r="Z70" s="188" t="s">
        <v>1173</v>
      </c>
      <c r="AA70" s="188" t="s">
        <v>1042</v>
      </c>
      <c r="AB70" s="188" t="s">
        <v>1155</v>
      </c>
      <c r="AG70" s="188" t="s">
        <v>1184</v>
      </c>
      <c r="AH70" s="188" t="s">
        <v>1124</v>
      </c>
    </row>
    <row r="71" customFormat="false" ht="15" hidden="false" customHeight="true" outlineLevel="0" collapsed="false">
      <c r="A71" s="0" t="n">
        <v>70</v>
      </c>
      <c r="B71" s="184" t="n">
        <v>46191.6182020445</v>
      </c>
      <c r="C71" s="184" t="n">
        <v>46191.6386881556</v>
      </c>
      <c r="D71" s="188" t="s">
        <v>705</v>
      </c>
      <c r="E71" s="188" t="s">
        <v>706</v>
      </c>
      <c r="F71" s="188" t="s">
        <v>706</v>
      </c>
      <c r="G71" s="188" t="s">
        <v>707</v>
      </c>
      <c r="H71" s="184" t="n">
        <v>46174</v>
      </c>
      <c r="I71" s="188" t="s">
        <v>113</v>
      </c>
      <c r="J71" s="188" t="s">
        <v>108</v>
      </c>
      <c r="K71" s="188" t="s">
        <v>245</v>
      </c>
      <c r="L71" s="188" t="s">
        <v>184</v>
      </c>
      <c r="M71" s="188" t="s">
        <v>130</v>
      </c>
      <c r="N71" s="188" t="s">
        <v>227</v>
      </c>
      <c r="O71" s="188" t="s">
        <v>172</v>
      </c>
      <c r="P71" s="188" t="s">
        <v>111</v>
      </c>
      <c r="Q71" s="188" t="s">
        <v>112</v>
      </c>
      <c r="R71" s="188" t="s">
        <v>21</v>
      </c>
      <c r="S71" s="188" t="s">
        <v>120</v>
      </c>
      <c r="T71" s="188" t="s">
        <v>180</v>
      </c>
      <c r="U71" s="188" t="s">
        <v>191</v>
      </c>
      <c r="V71" s="188" t="s">
        <v>192</v>
      </c>
      <c r="W71" s="188" t="s">
        <v>168</v>
      </c>
      <c r="X71" s="188" t="s">
        <v>187</v>
      </c>
      <c r="Y71" s="188" t="s">
        <v>187</v>
      </c>
      <c r="Z71" s="188" t="s">
        <v>1060</v>
      </c>
      <c r="AG71" s="188" t="s">
        <v>1062</v>
      </c>
    </row>
    <row r="72" customFormat="false" ht="15" hidden="false" customHeight="true" outlineLevel="0" collapsed="false">
      <c r="A72" s="0" t="n">
        <v>71</v>
      </c>
      <c r="B72" s="184" t="n">
        <v>46066.5472786575</v>
      </c>
      <c r="C72" s="184" t="n">
        <v>46066.5531698612</v>
      </c>
      <c r="D72" s="188" t="s">
        <v>709</v>
      </c>
      <c r="E72" s="188" t="s">
        <v>710</v>
      </c>
      <c r="F72" s="188" t="s">
        <v>711</v>
      </c>
      <c r="G72" s="188" t="s">
        <v>712</v>
      </c>
      <c r="H72" s="184" t="n">
        <v>46051</v>
      </c>
      <c r="I72" s="188" t="s">
        <v>113</v>
      </c>
      <c r="J72" s="188" t="s">
        <v>295</v>
      </c>
      <c r="K72" s="188" t="s">
        <v>245</v>
      </c>
      <c r="L72" s="188" t="s">
        <v>184</v>
      </c>
      <c r="M72" s="188" t="s">
        <v>578</v>
      </c>
      <c r="N72" s="188" t="s">
        <v>714</v>
      </c>
      <c r="O72" s="188" t="s">
        <v>713</v>
      </c>
      <c r="P72" s="188" t="s">
        <v>111</v>
      </c>
      <c r="Q72" s="188" t="s">
        <v>145</v>
      </c>
      <c r="R72" s="188" t="s">
        <v>22</v>
      </c>
      <c r="S72" s="188" t="s">
        <v>152</v>
      </c>
      <c r="T72" s="188" t="s">
        <v>121</v>
      </c>
      <c r="U72" s="131" t="s">
        <v>641</v>
      </c>
      <c r="V72" s="188" t="s">
        <v>123</v>
      </c>
      <c r="W72" s="188" t="s">
        <v>124</v>
      </c>
      <c r="X72" s="188" t="s">
        <v>715</v>
      </c>
      <c r="Y72" s="188" t="s">
        <v>715</v>
      </c>
      <c r="Z72" s="188" t="s">
        <v>1196</v>
      </c>
      <c r="AA72" s="188" t="s">
        <v>1197</v>
      </c>
      <c r="AG72" s="188" t="s">
        <v>1200</v>
      </c>
      <c r="AH72" s="188" t="s">
        <v>1201</v>
      </c>
    </row>
    <row r="73" customFormat="false" ht="15" hidden="false" customHeight="true" outlineLevel="0" collapsed="false">
      <c r="A73" s="0" t="n">
        <v>72</v>
      </c>
      <c r="B73" s="184" t="n">
        <v>46103.6318855788</v>
      </c>
      <c r="C73" s="184" t="n">
        <v>46103.6379156714</v>
      </c>
      <c r="D73" s="188" t="s">
        <v>719</v>
      </c>
      <c r="E73" s="188" t="s">
        <v>720</v>
      </c>
      <c r="F73" s="188" t="s">
        <v>720</v>
      </c>
      <c r="G73" s="188" t="s">
        <v>721</v>
      </c>
      <c r="H73" s="184" t="n">
        <v>46085</v>
      </c>
      <c r="I73" s="188" t="s">
        <v>325</v>
      </c>
      <c r="J73" s="188" t="s">
        <v>108</v>
      </c>
      <c r="K73" s="188" t="s">
        <v>257</v>
      </c>
      <c r="L73" s="188" t="s">
        <v>346</v>
      </c>
      <c r="M73" s="188" t="s">
        <v>357</v>
      </c>
      <c r="N73" s="188" t="s">
        <v>398</v>
      </c>
      <c r="O73" s="194" t="s">
        <v>157</v>
      </c>
      <c r="P73" s="188" t="s">
        <v>111</v>
      </c>
      <c r="Q73" s="188" t="s">
        <v>112</v>
      </c>
      <c r="R73" s="188" t="s">
        <v>22</v>
      </c>
      <c r="S73" s="188" t="s">
        <v>227</v>
      </c>
      <c r="T73" s="188" t="s">
        <v>180</v>
      </c>
      <c r="U73" s="188" t="s">
        <v>725</v>
      </c>
      <c r="V73" s="188" t="s">
        <v>123</v>
      </c>
      <c r="W73" s="188" t="s">
        <v>124</v>
      </c>
      <c r="X73" s="188" t="s">
        <v>271</v>
      </c>
      <c r="Y73" s="188" t="s">
        <v>271</v>
      </c>
      <c r="Z73" s="188" t="s">
        <v>1202</v>
      </c>
      <c r="AG73" s="188" t="s">
        <v>1089</v>
      </c>
    </row>
    <row r="74" customFormat="false" ht="15" hidden="false" customHeight="true" outlineLevel="0" collapsed="false">
      <c r="A74" s="0" t="n">
        <v>73</v>
      </c>
      <c r="B74" s="184" t="n">
        <v>46070.2364033067</v>
      </c>
      <c r="C74" s="184" t="n">
        <v>46070.2485908067</v>
      </c>
      <c r="D74" s="188" t="s">
        <v>726</v>
      </c>
      <c r="E74" s="188" t="s">
        <v>727</v>
      </c>
      <c r="F74" s="188" t="s">
        <v>728</v>
      </c>
      <c r="G74" s="188" t="s">
        <v>729</v>
      </c>
      <c r="H74" s="184" t="n">
        <v>46050</v>
      </c>
      <c r="I74" s="188" t="s">
        <v>113</v>
      </c>
      <c r="J74" s="188" t="s">
        <v>108</v>
      </c>
      <c r="K74" s="188" t="s">
        <v>196</v>
      </c>
      <c r="L74" s="188" t="s">
        <v>246</v>
      </c>
      <c r="M74" s="188" t="s">
        <v>144</v>
      </c>
      <c r="N74" s="188" t="s">
        <v>389</v>
      </c>
      <c r="O74" s="188" t="s">
        <v>244</v>
      </c>
      <c r="P74" s="188" t="s">
        <v>111</v>
      </c>
      <c r="Q74" s="188" t="s">
        <v>112</v>
      </c>
      <c r="R74" s="188" t="s">
        <v>22</v>
      </c>
      <c r="S74" s="188" t="s">
        <v>152</v>
      </c>
      <c r="T74" s="188" t="s">
        <v>121</v>
      </c>
      <c r="U74" s="188" t="s">
        <v>122</v>
      </c>
      <c r="V74" s="188" t="s">
        <v>123</v>
      </c>
      <c r="W74" s="188" t="s">
        <v>124</v>
      </c>
      <c r="X74" s="188" t="s">
        <v>715</v>
      </c>
      <c r="Y74" s="188" t="s">
        <v>715</v>
      </c>
      <c r="Z74" s="188" t="s">
        <v>1196</v>
      </c>
      <c r="AG74" s="188" t="s">
        <v>1204</v>
      </c>
    </row>
    <row r="75" customFormat="false" ht="15" hidden="false" customHeight="true" outlineLevel="0" collapsed="false">
      <c r="A75" s="0" t="n">
        <v>74</v>
      </c>
      <c r="B75" s="184" t="n">
        <v>46154.2796268857</v>
      </c>
      <c r="C75" s="184" t="n">
        <v>46154.2975319782</v>
      </c>
      <c r="D75" s="188" t="s">
        <v>733</v>
      </c>
      <c r="E75" s="188" t="s">
        <v>734</v>
      </c>
      <c r="F75" s="188" t="s">
        <v>734</v>
      </c>
      <c r="G75" s="188" t="s">
        <v>735</v>
      </c>
      <c r="H75" s="184" t="n">
        <v>46152</v>
      </c>
      <c r="I75" s="188" t="s">
        <v>113</v>
      </c>
      <c r="J75" s="188" t="s">
        <v>128</v>
      </c>
      <c r="K75" s="188" t="s">
        <v>462</v>
      </c>
      <c r="L75" s="188" t="s">
        <v>210</v>
      </c>
      <c r="M75" s="188" t="s">
        <v>736</v>
      </c>
      <c r="N75" s="188" t="s">
        <v>306</v>
      </c>
      <c r="O75" s="188" t="s">
        <v>244</v>
      </c>
      <c r="P75" s="188" t="s">
        <v>111</v>
      </c>
      <c r="Q75" s="188" t="s">
        <v>112</v>
      </c>
      <c r="R75" s="188" t="s">
        <v>22</v>
      </c>
      <c r="S75" s="188" t="s">
        <v>152</v>
      </c>
      <c r="T75" s="188" t="s">
        <v>264</v>
      </c>
      <c r="U75" s="188" t="s">
        <v>562</v>
      </c>
      <c r="V75" s="188" t="s">
        <v>123</v>
      </c>
      <c r="W75" s="188" t="s">
        <v>139</v>
      </c>
      <c r="X75" s="188" t="s">
        <v>381</v>
      </c>
      <c r="Y75" s="188" t="s">
        <v>381</v>
      </c>
      <c r="Z75" s="188" t="s">
        <v>1152</v>
      </c>
      <c r="AA75" s="188" t="s">
        <v>1205</v>
      </c>
      <c r="AG75" s="188" t="s">
        <v>1206</v>
      </c>
    </row>
    <row r="76" customFormat="false" ht="15" hidden="false" customHeight="true" outlineLevel="0" collapsed="false">
      <c r="A76" s="0" t="n">
        <v>75</v>
      </c>
      <c r="B76" s="184" t="n">
        <v>46191.5720693497</v>
      </c>
      <c r="C76" s="184" t="n">
        <v>46191.5890485164</v>
      </c>
      <c r="D76" s="188" t="s">
        <v>739</v>
      </c>
      <c r="E76" s="188" t="s">
        <v>740</v>
      </c>
      <c r="F76" s="188" t="s">
        <v>740</v>
      </c>
      <c r="G76" s="188" t="s">
        <v>741</v>
      </c>
      <c r="H76" s="184" t="n">
        <v>46181</v>
      </c>
      <c r="I76" s="188" t="s">
        <v>113</v>
      </c>
      <c r="J76" s="188" t="s">
        <v>108</v>
      </c>
      <c r="K76" s="188" t="s">
        <v>742</v>
      </c>
      <c r="L76" s="188" t="s">
        <v>210</v>
      </c>
      <c r="M76" s="188" t="s">
        <v>133</v>
      </c>
      <c r="N76" s="188" t="s">
        <v>743</v>
      </c>
      <c r="O76" s="188" t="s">
        <v>107</v>
      </c>
      <c r="P76" s="188" t="s">
        <v>211</v>
      </c>
      <c r="Q76" s="188" t="s">
        <v>112</v>
      </c>
      <c r="R76" s="188" t="s">
        <v>22</v>
      </c>
      <c r="S76" s="188" t="s">
        <v>152</v>
      </c>
      <c r="T76" s="188" t="s">
        <v>496</v>
      </c>
      <c r="U76" s="188" t="s">
        <v>122</v>
      </c>
      <c r="V76" s="188" t="s">
        <v>167</v>
      </c>
      <c r="W76" s="188" t="s">
        <v>124</v>
      </c>
      <c r="X76" s="188" t="s">
        <v>116</v>
      </c>
      <c r="Y76" s="188" t="s">
        <v>116</v>
      </c>
      <c r="Z76" s="188" t="s">
        <v>1066</v>
      </c>
      <c r="AA76" s="188" t="s">
        <v>1078</v>
      </c>
      <c r="AG76" s="188" t="s">
        <v>122</v>
      </c>
      <c r="AH76" s="188" t="s">
        <v>1112</v>
      </c>
    </row>
    <row r="77" customFormat="false" ht="15" hidden="false" customHeight="true" outlineLevel="0" collapsed="false">
      <c r="A77" s="0" t="n">
        <v>76</v>
      </c>
      <c r="B77" s="184" t="n">
        <v>46094.2518443169</v>
      </c>
      <c r="C77" s="184" t="n">
        <v>46094.2639045021</v>
      </c>
      <c r="D77" s="188" t="s">
        <v>747</v>
      </c>
      <c r="E77" s="188" t="s">
        <v>748</v>
      </c>
      <c r="F77" s="188" t="s">
        <v>748</v>
      </c>
      <c r="G77" s="188" t="s">
        <v>749</v>
      </c>
      <c r="H77" s="184" t="n">
        <v>46077</v>
      </c>
      <c r="I77" s="188" t="s">
        <v>113</v>
      </c>
      <c r="J77" s="188" t="s">
        <v>108</v>
      </c>
      <c r="K77" s="188" t="s">
        <v>245</v>
      </c>
      <c r="L77" s="188" t="s">
        <v>110</v>
      </c>
      <c r="M77" s="188" t="s">
        <v>365</v>
      </c>
      <c r="N77" s="188" t="s">
        <v>560</v>
      </c>
      <c r="O77" s="194" t="s">
        <v>750</v>
      </c>
      <c r="P77" s="188" t="s">
        <v>111</v>
      </c>
      <c r="Q77" s="188" t="s">
        <v>112</v>
      </c>
      <c r="R77" s="188" t="s">
        <v>22</v>
      </c>
      <c r="S77" s="188" t="s">
        <v>227</v>
      </c>
      <c r="T77" s="188" t="s">
        <v>121</v>
      </c>
      <c r="U77" s="188" t="s">
        <v>291</v>
      </c>
      <c r="V77" s="188" t="s">
        <v>123</v>
      </c>
      <c r="W77" s="188" t="s">
        <v>124</v>
      </c>
      <c r="X77" s="188" t="s">
        <v>339</v>
      </c>
      <c r="Y77" s="188" t="s">
        <v>339</v>
      </c>
      <c r="Z77" s="188" t="s">
        <v>1113</v>
      </c>
      <c r="AA77" s="188" t="s">
        <v>1171</v>
      </c>
      <c r="AB77" s="188" t="s">
        <v>1170</v>
      </c>
      <c r="AG77" s="188" t="s">
        <v>1207</v>
      </c>
    </row>
    <row r="78" customFormat="false" ht="15" hidden="false" customHeight="true" outlineLevel="0" collapsed="false">
      <c r="A78" s="0" t="n">
        <v>77</v>
      </c>
      <c r="B78" s="184" t="n">
        <v>46066.4025681782</v>
      </c>
      <c r="C78" s="184" t="n">
        <v>46066.404570493</v>
      </c>
      <c r="D78" s="188" t="s">
        <v>754</v>
      </c>
      <c r="E78" s="188" t="s">
        <v>755</v>
      </c>
      <c r="F78" s="188" t="s">
        <v>755</v>
      </c>
      <c r="G78" s="188" t="s">
        <v>756</v>
      </c>
      <c r="H78" s="184" t="n">
        <v>46064</v>
      </c>
      <c r="I78" s="188" t="s">
        <v>325</v>
      </c>
      <c r="J78" s="188" t="s">
        <v>295</v>
      </c>
      <c r="K78" s="188" t="s">
        <v>173</v>
      </c>
      <c r="L78" s="188" t="s">
        <v>130</v>
      </c>
      <c r="M78" s="188" t="s">
        <v>757</v>
      </c>
      <c r="N78" s="188" t="s">
        <v>758</v>
      </c>
      <c r="O78" s="188" t="s">
        <v>244</v>
      </c>
      <c r="P78" s="188" t="s">
        <v>111</v>
      </c>
      <c r="Q78" s="188" t="s">
        <v>145</v>
      </c>
      <c r="R78" s="188" t="s">
        <v>22</v>
      </c>
      <c r="S78" s="188" t="s">
        <v>152</v>
      </c>
      <c r="T78" s="188" t="s">
        <v>121</v>
      </c>
      <c r="U78" s="188" t="s">
        <v>122</v>
      </c>
      <c r="V78" s="188" t="s">
        <v>123</v>
      </c>
      <c r="W78" s="188" t="s">
        <v>139</v>
      </c>
      <c r="X78" s="188" t="s">
        <v>298</v>
      </c>
      <c r="Y78" s="188" t="s">
        <v>298</v>
      </c>
      <c r="Z78" s="188" t="s">
        <v>1167</v>
      </c>
      <c r="AA78" s="188" t="s">
        <v>1096</v>
      </c>
      <c r="AB78" s="188" t="s">
        <v>1208</v>
      </c>
      <c r="AG78" s="188" t="s">
        <v>1187</v>
      </c>
      <c r="AH78" s="188" t="s">
        <v>1210</v>
      </c>
    </row>
    <row r="79" customFormat="false" ht="15" hidden="false" customHeight="true" outlineLevel="0" collapsed="false">
      <c r="A79" s="0" t="n">
        <v>78</v>
      </c>
      <c r="B79" s="184" t="n">
        <v>46142.6965558307</v>
      </c>
      <c r="C79" s="184" t="n">
        <v>46142.708789627</v>
      </c>
      <c r="D79" s="188" t="s">
        <v>762</v>
      </c>
      <c r="E79" s="188" t="s">
        <v>763</v>
      </c>
      <c r="F79" s="188" t="s">
        <v>764</v>
      </c>
      <c r="G79" s="188" t="s">
        <v>765</v>
      </c>
      <c r="H79" s="184" t="n">
        <v>46142</v>
      </c>
      <c r="I79" s="188" t="s">
        <v>132</v>
      </c>
      <c r="J79" s="188" t="s">
        <v>108</v>
      </c>
      <c r="K79" s="188" t="s">
        <v>257</v>
      </c>
      <c r="L79" s="188" t="s">
        <v>296</v>
      </c>
      <c r="M79" s="188" t="s">
        <v>269</v>
      </c>
      <c r="N79" s="188" t="s">
        <v>766</v>
      </c>
      <c r="O79" s="188" t="s">
        <v>750</v>
      </c>
      <c r="P79" s="188" t="s">
        <v>111</v>
      </c>
      <c r="Q79" s="188" t="s">
        <v>145</v>
      </c>
      <c r="R79" s="188" t="s">
        <v>22</v>
      </c>
      <c r="S79" s="188" t="s">
        <v>152</v>
      </c>
      <c r="T79" s="188" t="s">
        <v>121</v>
      </c>
      <c r="U79" s="188" t="s">
        <v>770</v>
      </c>
      <c r="V79" s="188" t="s">
        <v>123</v>
      </c>
      <c r="W79" s="188" t="s">
        <v>124</v>
      </c>
      <c r="X79" s="188" t="s">
        <v>176</v>
      </c>
      <c r="Y79" s="188" t="s">
        <v>176</v>
      </c>
      <c r="Z79" s="188" t="s">
        <v>1211</v>
      </c>
      <c r="AA79" s="188" t="s">
        <v>1055</v>
      </c>
      <c r="AG79" s="188" t="s">
        <v>1213</v>
      </c>
      <c r="AH79" s="188" t="s">
        <v>1214</v>
      </c>
    </row>
    <row r="80" customFormat="false" ht="15" hidden="false" customHeight="true" outlineLevel="0" collapsed="false">
      <c r="A80" s="0" t="n">
        <v>79</v>
      </c>
      <c r="B80" s="184" t="n">
        <v>46080.3023221908</v>
      </c>
      <c r="C80" s="184" t="n">
        <v>46080.3167434871</v>
      </c>
      <c r="D80" s="188" t="s">
        <v>771</v>
      </c>
      <c r="E80" s="188" t="s">
        <v>772</v>
      </c>
      <c r="F80" s="188" t="s">
        <v>772</v>
      </c>
      <c r="G80" s="188" t="s">
        <v>773</v>
      </c>
      <c r="H80" s="184" t="n">
        <v>46066</v>
      </c>
      <c r="I80" s="188" t="s">
        <v>113</v>
      </c>
      <c r="J80" s="188" t="s">
        <v>108</v>
      </c>
      <c r="K80" s="188" t="s">
        <v>462</v>
      </c>
      <c r="L80" s="188" t="s">
        <v>159</v>
      </c>
      <c r="M80" s="188" t="s">
        <v>774</v>
      </c>
      <c r="N80" s="188" t="s">
        <v>775</v>
      </c>
      <c r="O80" s="188" t="s">
        <v>750</v>
      </c>
      <c r="P80" s="188" t="s">
        <v>111</v>
      </c>
      <c r="Q80" s="188" t="s">
        <v>112</v>
      </c>
      <c r="R80" s="188" t="s">
        <v>22</v>
      </c>
      <c r="S80" s="188" t="s">
        <v>120</v>
      </c>
      <c r="T80" s="188" t="s">
        <v>121</v>
      </c>
      <c r="U80" s="188" t="s">
        <v>153</v>
      </c>
      <c r="V80" s="188" t="s">
        <v>192</v>
      </c>
      <c r="W80" s="188" t="s">
        <v>139</v>
      </c>
      <c r="X80" s="188" t="s">
        <v>339</v>
      </c>
      <c r="Y80" s="188" t="s">
        <v>339</v>
      </c>
      <c r="Z80" s="188" t="s">
        <v>1188</v>
      </c>
      <c r="AA80" s="188" t="s">
        <v>1170</v>
      </c>
      <c r="AG80" s="188" t="s">
        <v>122</v>
      </c>
      <c r="AH80" s="188" t="s">
        <v>1207</v>
      </c>
    </row>
    <row r="81" customFormat="false" ht="15" hidden="false" customHeight="true" outlineLevel="0" collapsed="false">
      <c r="A81" s="0" t="n">
        <v>80</v>
      </c>
      <c r="B81" s="184" t="n">
        <v>46202.7463495773</v>
      </c>
      <c r="C81" s="184" t="n">
        <v>46202.7516736513</v>
      </c>
      <c r="D81" s="188" t="s">
        <v>778</v>
      </c>
      <c r="E81" s="188" t="s">
        <v>779</v>
      </c>
      <c r="F81" s="188" t="s">
        <v>779</v>
      </c>
      <c r="G81" s="188" t="s">
        <v>780</v>
      </c>
      <c r="H81" s="184" t="n">
        <v>46184</v>
      </c>
      <c r="I81" s="188" t="s">
        <v>113</v>
      </c>
      <c r="J81" s="188" t="s">
        <v>295</v>
      </c>
      <c r="K81" s="188" t="s">
        <v>257</v>
      </c>
      <c r="L81" s="188" t="s">
        <v>159</v>
      </c>
      <c r="M81" s="188" t="s">
        <v>357</v>
      </c>
      <c r="N81" s="188" t="s">
        <v>606</v>
      </c>
      <c r="O81" s="188" t="s">
        <v>781</v>
      </c>
      <c r="P81" s="188" t="s">
        <v>111</v>
      </c>
      <c r="Q81" s="188" t="s">
        <v>112</v>
      </c>
      <c r="R81" s="188" t="s">
        <v>22</v>
      </c>
      <c r="S81" s="188" t="s">
        <v>152</v>
      </c>
      <c r="T81" s="188" t="s">
        <v>121</v>
      </c>
      <c r="U81" s="188" t="s">
        <v>785</v>
      </c>
      <c r="V81" s="188" t="s">
        <v>167</v>
      </c>
      <c r="W81" s="188" t="s">
        <v>124</v>
      </c>
      <c r="X81" s="188" t="s">
        <v>176</v>
      </c>
      <c r="Y81" s="188" t="s">
        <v>176</v>
      </c>
      <c r="Z81" s="188" t="s">
        <v>1057</v>
      </c>
      <c r="AA81" s="188" t="s">
        <v>1216</v>
      </c>
      <c r="AG81" s="188" t="s">
        <v>1055</v>
      </c>
      <c r="AH81" s="188" t="s">
        <v>1217</v>
      </c>
    </row>
    <row r="82" customFormat="false" ht="15" hidden="false" customHeight="true" outlineLevel="0" collapsed="false">
      <c r="A82" s="0" t="n">
        <v>81</v>
      </c>
      <c r="B82" s="184" t="n">
        <v>46046.5819903771</v>
      </c>
      <c r="C82" s="184" t="n">
        <v>46046.5957288031</v>
      </c>
      <c r="D82" s="188" t="s">
        <v>786</v>
      </c>
      <c r="E82" s="188" t="s">
        <v>787</v>
      </c>
      <c r="F82" s="188" t="s">
        <v>787</v>
      </c>
      <c r="G82" s="188" t="s">
        <v>788</v>
      </c>
      <c r="H82" s="184" t="n">
        <v>46043</v>
      </c>
      <c r="I82" s="188" t="s">
        <v>132</v>
      </c>
      <c r="J82" s="188" t="s">
        <v>295</v>
      </c>
      <c r="K82" s="188" t="s">
        <v>232</v>
      </c>
      <c r="L82" s="188" t="s">
        <v>197</v>
      </c>
      <c r="M82" s="188" t="s">
        <v>789</v>
      </c>
      <c r="N82" s="188" t="s">
        <v>235</v>
      </c>
      <c r="O82" s="188" t="s">
        <v>172</v>
      </c>
      <c r="P82" s="188" t="s">
        <v>131</v>
      </c>
      <c r="Q82" s="188" t="s">
        <v>112</v>
      </c>
      <c r="R82" s="188" t="s">
        <v>22</v>
      </c>
      <c r="S82" s="188" t="s">
        <v>120</v>
      </c>
      <c r="T82" s="188" t="s">
        <v>180</v>
      </c>
      <c r="U82" s="188" t="s">
        <v>122</v>
      </c>
      <c r="V82" s="188" t="s">
        <v>123</v>
      </c>
      <c r="W82" s="188" t="s">
        <v>124</v>
      </c>
      <c r="X82" s="188" t="s">
        <v>298</v>
      </c>
      <c r="Y82" s="188" t="s">
        <v>298</v>
      </c>
      <c r="Z82" s="188" t="s">
        <v>1180</v>
      </c>
      <c r="AA82" s="188" t="s">
        <v>1096</v>
      </c>
      <c r="AB82" s="188" t="s">
        <v>1166</v>
      </c>
      <c r="AG82" s="188" t="s">
        <v>1219</v>
      </c>
      <c r="AH82" s="188" t="s">
        <v>1220</v>
      </c>
    </row>
    <row r="83" customFormat="false" ht="15" hidden="false" customHeight="true" outlineLevel="0" collapsed="false">
      <c r="A83" s="0" t="n">
        <v>82</v>
      </c>
      <c r="B83" s="184" t="n">
        <v>46165.1799184557</v>
      </c>
      <c r="C83" s="184" t="n">
        <v>46165.1814115112</v>
      </c>
      <c r="D83" s="188" t="s">
        <v>793</v>
      </c>
      <c r="E83" s="188" t="s">
        <v>794</v>
      </c>
      <c r="F83" s="188" t="s">
        <v>794</v>
      </c>
      <c r="G83" s="188" t="s">
        <v>795</v>
      </c>
      <c r="H83" s="184" t="n">
        <v>46157</v>
      </c>
      <c r="I83" s="188" t="s">
        <v>113</v>
      </c>
      <c r="J83" s="188" t="s">
        <v>295</v>
      </c>
      <c r="K83" s="188" t="s">
        <v>796</v>
      </c>
      <c r="L83" s="188" t="s">
        <v>114</v>
      </c>
      <c r="M83" s="188" t="s">
        <v>797</v>
      </c>
      <c r="N83" s="188" t="s">
        <v>338</v>
      </c>
      <c r="O83" s="188" t="s">
        <v>278</v>
      </c>
      <c r="P83" s="188" t="s">
        <v>131</v>
      </c>
      <c r="Q83" s="188" t="s">
        <v>112</v>
      </c>
      <c r="R83" s="188" t="s">
        <v>21</v>
      </c>
      <c r="S83" s="188" t="s">
        <v>120</v>
      </c>
      <c r="T83" s="188" t="s">
        <v>180</v>
      </c>
      <c r="U83" s="188" t="s">
        <v>798</v>
      </c>
      <c r="V83" s="188" t="s">
        <v>167</v>
      </c>
      <c r="W83" s="188" t="s">
        <v>124</v>
      </c>
      <c r="X83" s="188" t="s">
        <v>187</v>
      </c>
      <c r="Y83" s="188" t="s">
        <v>187</v>
      </c>
      <c r="Z83" s="188" t="s">
        <v>1060</v>
      </c>
      <c r="AG83" s="188" t="s">
        <v>1062</v>
      </c>
    </row>
    <row r="84" customFormat="false" ht="15" hidden="false" customHeight="true" outlineLevel="0" collapsed="false">
      <c r="A84" s="0" t="n">
        <v>83</v>
      </c>
      <c r="B84" s="184" t="n">
        <v>46107.2564890161</v>
      </c>
      <c r="C84" s="184" t="n">
        <v>46107.2606441087</v>
      </c>
      <c r="D84" s="188" t="s">
        <v>799</v>
      </c>
      <c r="E84" s="188" t="s">
        <v>800</v>
      </c>
      <c r="F84" s="188" t="s">
        <v>800</v>
      </c>
      <c r="G84" s="188" t="s">
        <v>801</v>
      </c>
      <c r="H84" s="184" t="n">
        <v>46103</v>
      </c>
      <c r="I84" s="188" t="s">
        <v>113</v>
      </c>
      <c r="J84" s="188" t="s">
        <v>108</v>
      </c>
      <c r="K84" s="188" t="s">
        <v>802</v>
      </c>
      <c r="L84" s="188" t="s">
        <v>210</v>
      </c>
      <c r="M84" s="188" t="s">
        <v>789</v>
      </c>
      <c r="N84" s="188" t="s">
        <v>523</v>
      </c>
      <c r="O84" s="188" t="s">
        <v>172</v>
      </c>
      <c r="P84" s="188" t="s">
        <v>111</v>
      </c>
      <c r="Q84" s="188" t="s">
        <v>112</v>
      </c>
      <c r="R84" s="188" t="s">
        <v>22</v>
      </c>
      <c r="S84" s="188" t="s">
        <v>152</v>
      </c>
      <c r="T84" s="188" t="s">
        <v>496</v>
      </c>
      <c r="U84" s="188" t="s">
        <v>239</v>
      </c>
      <c r="V84" s="188" t="s">
        <v>192</v>
      </c>
      <c r="W84" s="188" t="s">
        <v>124</v>
      </c>
      <c r="X84" s="188" t="s">
        <v>381</v>
      </c>
      <c r="Y84" s="188" t="s">
        <v>381</v>
      </c>
      <c r="Z84" s="188" t="s">
        <v>1221</v>
      </c>
      <c r="AA84" s="188" t="s">
        <v>1131</v>
      </c>
      <c r="AG84" s="188" t="s">
        <v>1134</v>
      </c>
      <c r="AH84" s="188" t="s">
        <v>1206</v>
      </c>
    </row>
    <row r="85" customFormat="false" ht="15" hidden="false" customHeight="true" outlineLevel="0" collapsed="false">
      <c r="A85" s="0" t="n">
        <v>84</v>
      </c>
      <c r="B85" s="184" t="n">
        <v>46157.4344417416</v>
      </c>
      <c r="C85" s="184" t="n">
        <v>46157.4397889638</v>
      </c>
      <c r="D85" s="188" t="s">
        <v>806</v>
      </c>
      <c r="E85" s="188" t="s">
        <v>807</v>
      </c>
      <c r="F85" s="188" t="s">
        <v>807</v>
      </c>
      <c r="G85" s="188" t="s">
        <v>808</v>
      </c>
      <c r="H85" s="184" t="n">
        <v>46150</v>
      </c>
      <c r="I85" s="188" t="s">
        <v>113</v>
      </c>
      <c r="J85" s="188" t="s">
        <v>108</v>
      </c>
      <c r="K85" s="188" t="s">
        <v>364</v>
      </c>
      <c r="L85" s="188" t="s">
        <v>296</v>
      </c>
      <c r="M85" s="188" t="s">
        <v>809</v>
      </c>
      <c r="N85" s="188" t="s">
        <v>810</v>
      </c>
      <c r="O85" s="188" t="s">
        <v>172</v>
      </c>
      <c r="P85" s="188" t="s">
        <v>111</v>
      </c>
      <c r="Q85" s="188" t="s">
        <v>145</v>
      </c>
      <c r="R85" s="188" t="s">
        <v>22</v>
      </c>
      <c r="S85" s="188" t="s">
        <v>152</v>
      </c>
      <c r="T85" s="188" t="s">
        <v>814</v>
      </c>
      <c r="V85" s="188" t="s">
        <v>167</v>
      </c>
      <c r="W85" s="188" t="s">
        <v>124</v>
      </c>
      <c r="X85" s="188" t="s">
        <v>715</v>
      </c>
      <c r="Y85" s="188" t="s">
        <v>715</v>
      </c>
      <c r="Z85" s="188" t="s">
        <v>1223</v>
      </c>
      <c r="AA85" s="188" t="s">
        <v>1224</v>
      </c>
      <c r="AB85" s="188" t="s">
        <v>1196</v>
      </c>
      <c r="AG85" s="188" t="s">
        <v>1226</v>
      </c>
      <c r="AH85" s="188" t="s">
        <v>1200</v>
      </c>
    </row>
    <row r="86" customFormat="false" ht="15" hidden="false" customHeight="true" outlineLevel="0" collapsed="false">
      <c r="A86" s="0" t="n">
        <v>85</v>
      </c>
      <c r="B86" s="184" t="n">
        <v>46133.8198705119</v>
      </c>
      <c r="C86" s="184" t="n">
        <v>46133.8375904193</v>
      </c>
      <c r="D86" s="188" t="s">
        <v>815</v>
      </c>
      <c r="E86" s="188" t="s">
        <v>816</v>
      </c>
      <c r="F86" s="188" t="s">
        <v>816</v>
      </c>
      <c r="G86" s="188" t="s">
        <v>817</v>
      </c>
      <c r="H86" s="184" t="n">
        <v>46114</v>
      </c>
      <c r="I86" s="188" t="s">
        <v>113</v>
      </c>
      <c r="J86" s="188" t="s">
        <v>108</v>
      </c>
      <c r="K86" s="188" t="s">
        <v>818</v>
      </c>
      <c r="L86" s="188" t="s">
        <v>286</v>
      </c>
      <c r="M86" s="188" t="s">
        <v>578</v>
      </c>
      <c r="N86" s="188" t="s">
        <v>819</v>
      </c>
      <c r="O86" s="188" t="s">
        <v>244</v>
      </c>
      <c r="P86" s="188" t="s">
        <v>131</v>
      </c>
      <c r="Q86" s="188" t="s">
        <v>145</v>
      </c>
      <c r="R86" s="188" t="s">
        <v>22</v>
      </c>
      <c r="S86" s="188" t="s">
        <v>227</v>
      </c>
      <c r="T86" s="188" t="s">
        <v>352</v>
      </c>
      <c r="U86" s="188" t="s">
        <v>822</v>
      </c>
      <c r="V86" s="188" t="s">
        <v>167</v>
      </c>
      <c r="W86" s="188" t="s">
        <v>124</v>
      </c>
      <c r="X86" s="188" t="s">
        <v>298</v>
      </c>
      <c r="Y86" s="188" t="s">
        <v>298</v>
      </c>
      <c r="Z86" s="188" t="s">
        <v>1166</v>
      </c>
      <c r="AA86" s="188" t="s">
        <v>1095</v>
      </c>
      <c r="AG86" s="188" t="s">
        <v>1187</v>
      </c>
    </row>
    <row r="87" customFormat="false" ht="15" hidden="false" customHeight="true" outlineLevel="0" collapsed="false">
      <c r="A87" s="0" t="n">
        <v>86</v>
      </c>
      <c r="B87" s="184" t="n">
        <v>46177.2270715616</v>
      </c>
      <c r="C87" s="184" t="n">
        <v>46177.2343169319</v>
      </c>
      <c r="D87" s="188" t="s">
        <v>823</v>
      </c>
      <c r="E87" s="188" t="s">
        <v>824</v>
      </c>
      <c r="F87" s="188" t="s">
        <v>824</v>
      </c>
      <c r="G87" s="188" t="s">
        <v>825</v>
      </c>
      <c r="H87" s="184" t="n">
        <v>46165</v>
      </c>
      <c r="I87" s="188" t="s">
        <v>325</v>
      </c>
      <c r="J87" s="188" t="s">
        <v>108</v>
      </c>
      <c r="K87" s="188" t="s">
        <v>826</v>
      </c>
      <c r="L87" s="188" t="s">
        <v>159</v>
      </c>
      <c r="M87" s="188" t="s">
        <v>326</v>
      </c>
      <c r="N87" s="188" t="s">
        <v>827</v>
      </c>
      <c r="O87" s="188" t="s">
        <v>172</v>
      </c>
      <c r="P87" s="188" t="s">
        <v>111</v>
      </c>
      <c r="Q87" s="188" t="s">
        <v>112</v>
      </c>
      <c r="R87" s="188" t="s">
        <v>22</v>
      </c>
      <c r="S87" s="188" t="s">
        <v>227</v>
      </c>
      <c r="T87" s="188" t="s">
        <v>180</v>
      </c>
      <c r="U87" s="188" t="s">
        <v>831</v>
      </c>
      <c r="V87" s="188" t="s">
        <v>192</v>
      </c>
      <c r="W87" s="188" t="s">
        <v>124</v>
      </c>
      <c r="X87" s="188" t="s">
        <v>715</v>
      </c>
      <c r="Y87" s="188" t="s">
        <v>715</v>
      </c>
      <c r="Z87" s="188" t="s">
        <v>1223</v>
      </c>
      <c r="AA87" s="188" t="s">
        <v>1197</v>
      </c>
      <c r="AB87" s="188" t="s">
        <v>1228</v>
      </c>
      <c r="AG87" s="188" t="s">
        <v>1229</v>
      </c>
    </row>
    <row r="88" customFormat="false" ht="15" hidden="false" customHeight="true" outlineLevel="0" collapsed="false">
      <c r="A88" s="0" t="n">
        <v>87</v>
      </c>
      <c r="B88" s="184" t="n">
        <v>46127.1098482799</v>
      </c>
      <c r="C88" s="184" t="n">
        <v>46127.1179501318</v>
      </c>
      <c r="D88" s="188" t="s">
        <v>832</v>
      </c>
      <c r="E88" s="188" t="s">
        <v>833</v>
      </c>
      <c r="F88" s="188" t="s">
        <v>833</v>
      </c>
      <c r="G88" s="188" t="s">
        <v>834</v>
      </c>
      <c r="H88" s="184" t="n">
        <v>46123</v>
      </c>
      <c r="I88" s="188" t="s">
        <v>113</v>
      </c>
      <c r="J88" s="188" t="s">
        <v>108</v>
      </c>
      <c r="K88" s="188" t="s">
        <v>173</v>
      </c>
      <c r="L88" s="188" t="s">
        <v>197</v>
      </c>
      <c r="M88" s="188" t="s">
        <v>566</v>
      </c>
      <c r="N88" s="188" t="s">
        <v>259</v>
      </c>
      <c r="O88" s="188" t="s">
        <v>244</v>
      </c>
      <c r="P88" s="188" t="s">
        <v>111</v>
      </c>
      <c r="Q88" s="188" t="s">
        <v>145</v>
      </c>
      <c r="R88" s="188" t="s">
        <v>22</v>
      </c>
      <c r="S88" s="188" t="s">
        <v>152</v>
      </c>
      <c r="T88" s="188" t="s">
        <v>121</v>
      </c>
      <c r="U88" s="188" t="s">
        <v>321</v>
      </c>
      <c r="V88" s="188" t="s">
        <v>123</v>
      </c>
      <c r="W88" s="188" t="s">
        <v>124</v>
      </c>
      <c r="X88" s="188" t="s">
        <v>135</v>
      </c>
      <c r="Y88" s="188" t="s">
        <v>135</v>
      </c>
      <c r="Z88" s="188" t="s">
        <v>1042</v>
      </c>
      <c r="AA88" s="188" t="s">
        <v>1174</v>
      </c>
      <c r="AG88" s="188" t="s">
        <v>1175</v>
      </c>
      <c r="AH88" s="188" t="s">
        <v>1230</v>
      </c>
    </row>
    <row r="89" customFormat="false" ht="15" hidden="false" customHeight="true" outlineLevel="0" collapsed="false">
      <c r="A89" s="0" t="n">
        <v>88</v>
      </c>
      <c r="B89" s="184" t="n">
        <v>46127.8906712201</v>
      </c>
      <c r="C89" s="184" t="n">
        <v>46127.9075925164</v>
      </c>
      <c r="D89" s="188" t="s">
        <v>838</v>
      </c>
      <c r="E89" s="188" t="s">
        <v>839</v>
      </c>
      <c r="F89" s="188" t="s">
        <v>839</v>
      </c>
      <c r="G89" s="188" t="s">
        <v>840</v>
      </c>
      <c r="H89" s="184" t="n">
        <v>46127</v>
      </c>
      <c r="I89" s="188" t="s">
        <v>113</v>
      </c>
      <c r="J89" s="188" t="s">
        <v>108</v>
      </c>
      <c r="K89" s="188" t="s">
        <v>196</v>
      </c>
      <c r="L89" s="188" t="s">
        <v>246</v>
      </c>
      <c r="M89" s="188" t="s">
        <v>406</v>
      </c>
      <c r="N89" s="188" t="s">
        <v>841</v>
      </c>
      <c r="O89" s="188" t="s">
        <v>107</v>
      </c>
      <c r="P89" s="188" t="s">
        <v>111</v>
      </c>
      <c r="Q89" s="188" t="s">
        <v>112</v>
      </c>
      <c r="R89" s="188" t="s">
        <v>22</v>
      </c>
      <c r="S89" s="188" t="s">
        <v>152</v>
      </c>
      <c r="T89" s="188" t="s">
        <v>121</v>
      </c>
      <c r="U89" s="188" t="s">
        <v>122</v>
      </c>
      <c r="V89" s="188" t="s">
        <v>167</v>
      </c>
      <c r="W89" s="188" t="s">
        <v>124</v>
      </c>
      <c r="X89" s="188" t="s">
        <v>381</v>
      </c>
      <c r="Y89" s="188" t="s">
        <v>381</v>
      </c>
      <c r="Z89" s="188" t="s">
        <v>1221</v>
      </c>
      <c r="AG89" s="188" t="s">
        <v>1153</v>
      </c>
    </row>
    <row r="90" customFormat="false" ht="30" hidden="false" customHeight="true" outlineLevel="0" collapsed="false">
      <c r="A90" s="0" t="n">
        <v>89</v>
      </c>
      <c r="B90" s="184" t="n">
        <v>46156.6090361605</v>
      </c>
      <c r="C90" s="184" t="n">
        <v>46156.6248810679</v>
      </c>
      <c r="D90" s="188" t="s">
        <v>845</v>
      </c>
      <c r="E90" s="188" t="s">
        <v>846</v>
      </c>
      <c r="F90" s="188" t="s">
        <v>846</v>
      </c>
      <c r="G90" s="188" t="s">
        <v>847</v>
      </c>
      <c r="H90" s="184" t="n">
        <v>46145</v>
      </c>
      <c r="I90" s="188" t="s">
        <v>113</v>
      </c>
      <c r="J90" s="188" t="s">
        <v>108</v>
      </c>
      <c r="K90" s="188" t="s">
        <v>848</v>
      </c>
      <c r="L90" s="188" t="s">
        <v>159</v>
      </c>
      <c r="M90" s="188" t="s">
        <v>439</v>
      </c>
      <c r="N90" s="131" t="s">
        <v>849</v>
      </c>
      <c r="O90" s="188" t="s">
        <v>278</v>
      </c>
      <c r="P90" s="188" t="s">
        <v>111</v>
      </c>
      <c r="Q90" s="188" t="s">
        <v>112</v>
      </c>
      <c r="R90" s="188" t="s">
        <v>22</v>
      </c>
      <c r="S90" s="188" t="s">
        <v>152</v>
      </c>
      <c r="T90" s="188" t="s">
        <v>180</v>
      </c>
      <c r="U90" s="188" t="s">
        <v>853</v>
      </c>
      <c r="V90" s="188" t="s">
        <v>192</v>
      </c>
      <c r="W90" s="188" t="s">
        <v>124</v>
      </c>
      <c r="X90" s="188" t="s">
        <v>148</v>
      </c>
      <c r="Y90" s="188" t="s">
        <v>148</v>
      </c>
      <c r="Z90" s="188" t="s">
        <v>1093</v>
      </c>
      <c r="AA90" s="188" t="s">
        <v>1158</v>
      </c>
      <c r="AB90" s="188" t="s">
        <v>1063</v>
      </c>
      <c r="AG90" s="188" t="s">
        <v>1050</v>
      </c>
      <c r="AH90" s="188" t="s">
        <v>1160</v>
      </c>
    </row>
    <row r="91" customFormat="false" ht="15" hidden="false" customHeight="true" outlineLevel="0" collapsed="false">
      <c r="A91" s="0" t="n">
        <v>90</v>
      </c>
      <c r="B91" s="184" t="n">
        <v>46078.4990315156</v>
      </c>
      <c r="C91" s="184" t="n">
        <v>46078.512688923</v>
      </c>
      <c r="D91" s="188" t="s">
        <v>854</v>
      </c>
      <c r="E91" s="188" t="s">
        <v>855</v>
      </c>
      <c r="F91" s="188" t="s">
        <v>855</v>
      </c>
      <c r="G91" s="188" t="s">
        <v>856</v>
      </c>
      <c r="H91" s="184" t="n">
        <v>46066</v>
      </c>
      <c r="I91" s="188" t="s">
        <v>113</v>
      </c>
      <c r="J91" s="188" t="s">
        <v>108</v>
      </c>
      <c r="K91" s="188" t="s">
        <v>143</v>
      </c>
      <c r="L91" s="188" t="s">
        <v>389</v>
      </c>
      <c r="M91" s="188" t="s">
        <v>365</v>
      </c>
      <c r="N91" s="188" t="s">
        <v>161</v>
      </c>
      <c r="O91" s="188" t="s">
        <v>172</v>
      </c>
      <c r="P91" s="188" t="s">
        <v>111</v>
      </c>
      <c r="Q91" s="188" t="s">
        <v>112</v>
      </c>
      <c r="R91" s="188" t="s">
        <v>24</v>
      </c>
      <c r="S91" s="188" t="s">
        <v>227</v>
      </c>
      <c r="T91" s="188" t="s">
        <v>352</v>
      </c>
      <c r="V91" s="188" t="s">
        <v>123</v>
      </c>
      <c r="W91" s="188" t="s">
        <v>124</v>
      </c>
      <c r="X91" s="188" t="s">
        <v>260</v>
      </c>
      <c r="Y91" s="188" t="s">
        <v>260</v>
      </c>
      <c r="Z91" s="188" t="s">
        <v>122</v>
      </c>
      <c r="AA91" s="188" t="s">
        <v>1231</v>
      </c>
      <c r="AG91" s="188" t="s">
        <v>1232</v>
      </c>
    </row>
    <row r="92" customFormat="false" ht="15" hidden="false" customHeight="true" outlineLevel="0" collapsed="false">
      <c r="A92" s="0" t="n">
        <v>91</v>
      </c>
      <c r="B92" s="184" t="n">
        <v>46109.4541436977</v>
      </c>
      <c r="C92" s="184" t="n">
        <v>46109.4704284199</v>
      </c>
      <c r="D92" s="188" t="s">
        <v>860</v>
      </c>
      <c r="E92" s="188" t="s">
        <v>861</v>
      </c>
      <c r="F92" s="188" t="s">
        <v>861</v>
      </c>
      <c r="G92" s="188" t="s">
        <v>862</v>
      </c>
      <c r="H92" s="184" t="n">
        <v>46096</v>
      </c>
      <c r="I92" s="188" t="s">
        <v>863</v>
      </c>
      <c r="J92" s="188" t="s">
        <v>108</v>
      </c>
      <c r="K92" s="188" t="s">
        <v>364</v>
      </c>
      <c r="L92" s="188" t="s">
        <v>346</v>
      </c>
      <c r="M92" s="188" t="s">
        <v>864</v>
      </c>
      <c r="N92" s="188" t="s">
        <v>234</v>
      </c>
      <c r="O92" s="188" t="s">
        <v>172</v>
      </c>
      <c r="P92" s="188" t="s">
        <v>111</v>
      </c>
      <c r="Q92" s="188" t="s">
        <v>112</v>
      </c>
      <c r="R92" s="188" t="s">
        <v>22</v>
      </c>
      <c r="S92" s="188" t="s">
        <v>152</v>
      </c>
      <c r="T92" s="188" t="s">
        <v>121</v>
      </c>
      <c r="U92" s="188" t="s">
        <v>122</v>
      </c>
      <c r="V92" s="188" t="s">
        <v>123</v>
      </c>
      <c r="W92" s="188" t="s">
        <v>124</v>
      </c>
      <c r="X92" s="188" t="s">
        <v>339</v>
      </c>
      <c r="Y92" s="188" t="s">
        <v>339</v>
      </c>
      <c r="Z92" s="188" t="s">
        <v>1113</v>
      </c>
      <c r="AA92" s="188" t="s">
        <v>1188</v>
      </c>
      <c r="AB92" s="188" t="s">
        <v>1141</v>
      </c>
      <c r="AG92" s="188" t="s">
        <v>1189</v>
      </c>
    </row>
    <row r="93" customFormat="false" ht="15" hidden="false" customHeight="true" outlineLevel="0" collapsed="false">
      <c r="A93" s="0" t="n">
        <v>92</v>
      </c>
      <c r="B93" s="184" t="n">
        <v>46106.7550109026</v>
      </c>
      <c r="C93" s="184" t="n">
        <v>46106.7730201619</v>
      </c>
      <c r="D93" s="188" t="s">
        <v>867</v>
      </c>
      <c r="E93" s="188" t="s">
        <v>868</v>
      </c>
      <c r="F93" s="188" t="s">
        <v>868</v>
      </c>
      <c r="G93" s="188" t="s">
        <v>869</v>
      </c>
      <c r="H93" s="184" t="n">
        <v>46095</v>
      </c>
      <c r="I93" s="188" t="s">
        <v>113</v>
      </c>
      <c r="J93" s="188" t="s">
        <v>295</v>
      </c>
      <c r="K93" s="188" t="s">
        <v>364</v>
      </c>
      <c r="L93" s="188" t="s">
        <v>491</v>
      </c>
      <c r="M93" s="188" t="s">
        <v>870</v>
      </c>
      <c r="N93" s="188" t="s">
        <v>757</v>
      </c>
      <c r="O93" s="188" t="s">
        <v>244</v>
      </c>
      <c r="P93" s="188" t="s">
        <v>111</v>
      </c>
      <c r="Q93" s="188" t="s">
        <v>145</v>
      </c>
      <c r="R93" s="188" t="s">
        <v>23</v>
      </c>
      <c r="S93" s="188" t="s">
        <v>120</v>
      </c>
      <c r="T93" s="188" t="s">
        <v>121</v>
      </c>
      <c r="U93" s="188" t="s">
        <v>122</v>
      </c>
      <c r="V93" s="188" t="s">
        <v>192</v>
      </c>
      <c r="W93" s="188" t="s">
        <v>124</v>
      </c>
      <c r="X93" s="188" t="s">
        <v>503</v>
      </c>
      <c r="Y93" s="188" t="s">
        <v>503</v>
      </c>
      <c r="AK93" s="188" t="s">
        <v>871</v>
      </c>
    </row>
    <row r="94" customFormat="false" ht="15" hidden="false" customHeight="true" outlineLevel="0" collapsed="false">
      <c r="A94" s="0" t="n">
        <v>93</v>
      </c>
      <c r="B94" s="184" t="n">
        <v>46175.8876630135</v>
      </c>
      <c r="C94" s="184" t="n">
        <v>46175.9024778284</v>
      </c>
      <c r="D94" s="188" t="s">
        <v>872</v>
      </c>
      <c r="E94" s="188" t="s">
        <v>873</v>
      </c>
      <c r="F94" s="188" t="s">
        <v>873</v>
      </c>
      <c r="G94" s="188" t="s">
        <v>874</v>
      </c>
      <c r="H94" s="184" t="n">
        <v>46167</v>
      </c>
      <c r="I94" s="188" t="s">
        <v>132</v>
      </c>
      <c r="J94" s="188" t="s">
        <v>128</v>
      </c>
      <c r="K94" s="188" t="s">
        <v>462</v>
      </c>
      <c r="L94" s="188" t="s">
        <v>184</v>
      </c>
      <c r="M94" s="188" t="s">
        <v>736</v>
      </c>
      <c r="N94" s="188" t="s">
        <v>758</v>
      </c>
      <c r="O94" s="188" t="s">
        <v>278</v>
      </c>
      <c r="P94" s="188" t="s">
        <v>111</v>
      </c>
      <c r="Q94" s="188" t="s">
        <v>112</v>
      </c>
      <c r="R94" s="188" t="s">
        <v>21</v>
      </c>
      <c r="S94" s="188" t="s">
        <v>152</v>
      </c>
      <c r="T94" s="188" t="s">
        <v>228</v>
      </c>
      <c r="U94" s="188" t="s">
        <v>122</v>
      </c>
      <c r="V94" s="188" t="s">
        <v>192</v>
      </c>
      <c r="W94" s="188" t="s">
        <v>124</v>
      </c>
      <c r="X94" s="188" t="s">
        <v>250</v>
      </c>
      <c r="Y94" s="188" t="s">
        <v>250</v>
      </c>
      <c r="Z94" s="188" t="s">
        <v>1078</v>
      </c>
      <c r="AA94" s="188" t="s">
        <v>1036</v>
      </c>
      <c r="AG94" s="188" t="s">
        <v>1041</v>
      </c>
      <c r="AH94" s="188" t="s">
        <v>1079</v>
      </c>
    </row>
    <row r="95" customFormat="false" ht="15" hidden="false" customHeight="true" outlineLevel="0" collapsed="false">
      <c r="A95" s="0" t="n">
        <v>94</v>
      </c>
      <c r="B95" s="184" t="n">
        <v>46118.6000153029</v>
      </c>
      <c r="C95" s="184" t="n">
        <v>46118.613626414</v>
      </c>
      <c r="D95" s="188" t="s">
        <v>877</v>
      </c>
      <c r="E95" s="188" t="s">
        <v>878</v>
      </c>
      <c r="F95" s="188" t="s">
        <v>878</v>
      </c>
      <c r="G95" s="188" t="s">
        <v>879</v>
      </c>
      <c r="H95" s="184" t="n">
        <v>46116</v>
      </c>
      <c r="I95" s="188" t="s">
        <v>113</v>
      </c>
      <c r="J95" s="188" t="s">
        <v>128</v>
      </c>
      <c r="K95" s="188" t="s">
        <v>232</v>
      </c>
      <c r="L95" s="188" t="s">
        <v>144</v>
      </c>
      <c r="M95" s="188" t="s">
        <v>652</v>
      </c>
      <c r="N95" s="188" t="s">
        <v>613</v>
      </c>
      <c r="O95" s="188" t="s">
        <v>157</v>
      </c>
      <c r="P95" s="188" t="s">
        <v>111</v>
      </c>
      <c r="Q95" s="188" t="s">
        <v>112</v>
      </c>
      <c r="R95" s="188" t="s">
        <v>24</v>
      </c>
      <c r="S95" s="188" t="s">
        <v>152</v>
      </c>
      <c r="T95" s="188" t="s">
        <v>180</v>
      </c>
      <c r="U95" s="188" t="s">
        <v>122</v>
      </c>
      <c r="V95" s="188" t="s">
        <v>123</v>
      </c>
      <c r="W95" s="188" t="s">
        <v>168</v>
      </c>
      <c r="X95" s="188" t="s">
        <v>19</v>
      </c>
      <c r="Y95" s="188" t="s">
        <v>19</v>
      </c>
      <c r="AK95" s="188" t="s">
        <v>880</v>
      </c>
    </row>
    <row r="96" customFormat="false" ht="15" hidden="false" customHeight="true" outlineLevel="0" collapsed="false">
      <c r="A96" s="0" t="n">
        <v>95</v>
      </c>
      <c r="B96" s="184" t="n">
        <v>46058.1474239166</v>
      </c>
      <c r="C96" s="184" t="n">
        <v>46058.1585234537</v>
      </c>
      <c r="D96" s="188" t="s">
        <v>881</v>
      </c>
      <c r="E96" s="188" t="s">
        <v>882</v>
      </c>
      <c r="F96" s="188" t="s">
        <v>882</v>
      </c>
      <c r="G96" s="188" t="s">
        <v>883</v>
      </c>
      <c r="H96" s="184" t="n">
        <v>46047</v>
      </c>
      <c r="I96" s="188" t="s">
        <v>132</v>
      </c>
      <c r="J96" s="188" t="s">
        <v>295</v>
      </c>
      <c r="K96" s="188" t="s">
        <v>884</v>
      </c>
      <c r="L96" s="188" t="s">
        <v>144</v>
      </c>
      <c r="M96" s="188" t="s">
        <v>885</v>
      </c>
      <c r="N96" s="188" t="s">
        <v>175</v>
      </c>
      <c r="O96" s="188" t="s">
        <v>244</v>
      </c>
      <c r="P96" s="188" t="s">
        <v>111</v>
      </c>
      <c r="Q96" s="188" t="s">
        <v>112</v>
      </c>
      <c r="R96" s="188" t="s">
        <v>21</v>
      </c>
      <c r="S96" s="188" t="s">
        <v>227</v>
      </c>
      <c r="T96" s="188" t="s">
        <v>264</v>
      </c>
      <c r="U96" s="188" t="s">
        <v>122</v>
      </c>
      <c r="V96" s="188" t="s">
        <v>123</v>
      </c>
      <c r="W96" s="188" t="s">
        <v>139</v>
      </c>
      <c r="X96" s="188" t="s">
        <v>457</v>
      </c>
      <c r="Y96" s="188" t="s">
        <v>457</v>
      </c>
      <c r="Z96" s="188" t="s">
        <v>1066</v>
      </c>
      <c r="AG96" s="188" t="s">
        <v>122</v>
      </c>
      <c r="AH96" s="188" t="s">
        <v>1112</v>
      </c>
    </row>
    <row r="97" customFormat="false" ht="15" hidden="false" customHeight="true" outlineLevel="0" collapsed="false">
      <c r="A97" s="0" t="n">
        <v>96</v>
      </c>
      <c r="B97" s="184" t="n">
        <v>46115.1985228466</v>
      </c>
      <c r="C97" s="184" t="n">
        <v>46115.2193446059</v>
      </c>
      <c r="D97" s="188" t="s">
        <v>888</v>
      </c>
      <c r="E97" s="188" t="s">
        <v>889</v>
      </c>
      <c r="F97" s="188" t="s">
        <v>890</v>
      </c>
      <c r="G97" s="188" t="s">
        <v>891</v>
      </c>
      <c r="H97" s="184" t="n">
        <v>46097</v>
      </c>
      <c r="I97" s="188" t="s">
        <v>325</v>
      </c>
      <c r="J97" s="188" t="s">
        <v>295</v>
      </c>
      <c r="K97" s="188" t="s">
        <v>892</v>
      </c>
      <c r="L97" s="188" t="s">
        <v>130</v>
      </c>
      <c r="M97" s="188" t="s">
        <v>397</v>
      </c>
      <c r="N97" s="188" t="s">
        <v>893</v>
      </c>
      <c r="O97" s="194" t="s">
        <v>107</v>
      </c>
      <c r="P97" s="188" t="s">
        <v>111</v>
      </c>
      <c r="Q97" s="188" t="s">
        <v>112</v>
      </c>
      <c r="R97" s="188" t="s">
        <v>22</v>
      </c>
      <c r="S97" s="188" t="s">
        <v>152</v>
      </c>
      <c r="T97" s="188" t="s">
        <v>121</v>
      </c>
      <c r="V97" s="188" t="s">
        <v>123</v>
      </c>
      <c r="W97" s="188" t="s">
        <v>168</v>
      </c>
      <c r="X97" s="188" t="s">
        <v>381</v>
      </c>
      <c r="Y97" s="188" t="s">
        <v>381</v>
      </c>
      <c r="Z97" s="188" t="s">
        <v>1221</v>
      </c>
      <c r="AA97" s="188" t="s">
        <v>1131</v>
      </c>
      <c r="AG97" s="188" t="s">
        <v>1206</v>
      </c>
    </row>
    <row r="98" customFormat="false" ht="30" hidden="false" customHeight="true" outlineLevel="0" collapsed="false">
      <c r="A98" s="0" t="n">
        <v>97</v>
      </c>
      <c r="B98" s="184" t="n">
        <v>46083.9298963818</v>
      </c>
      <c r="C98" s="184" t="n">
        <v>46083.9334264744</v>
      </c>
      <c r="D98" s="188" t="s">
        <v>895</v>
      </c>
      <c r="E98" s="188" t="s">
        <v>896</v>
      </c>
      <c r="F98" s="188" t="s">
        <v>896</v>
      </c>
      <c r="G98" s="188" t="s">
        <v>897</v>
      </c>
      <c r="H98" s="184" t="n">
        <v>46074</v>
      </c>
      <c r="I98" s="188" t="s">
        <v>336</v>
      </c>
      <c r="J98" s="188" t="s">
        <v>295</v>
      </c>
      <c r="K98" s="188" t="s">
        <v>898</v>
      </c>
      <c r="L98" s="188" t="s">
        <v>144</v>
      </c>
      <c r="M98" s="188" t="s">
        <v>199</v>
      </c>
      <c r="N98" s="188" t="s">
        <v>899</v>
      </c>
      <c r="O98" s="194" t="s">
        <v>278</v>
      </c>
      <c r="P98" s="188" t="s">
        <v>111</v>
      </c>
      <c r="Q98" s="188" t="s">
        <v>145</v>
      </c>
      <c r="R98" s="188" t="s">
        <v>21</v>
      </c>
      <c r="S98" s="188" t="s">
        <v>152</v>
      </c>
      <c r="T98" s="188" t="s">
        <v>352</v>
      </c>
      <c r="U98" s="131"/>
      <c r="V98" s="188" t="s">
        <v>192</v>
      </c>
      <c r="W98" s="188" t="s">
        <v>124</v>
      </c>
      <c r="X98" s="188" t="s">
        <v>250</v>
      </c>
      <c r="Y98" s="188" t="s">
        <v>250</v>
      </c>
      <c r="Z98" s="188" t="s">
        <v>1078</v>
      </c>
      <c r="AA98" s="188" t="s">
        <v>1052</v>
      </c>
      <c r="AG98" s="188" t="s">
        <v>1054</v>
      </c>
    </row>
    <row r="99" customFormat="false" ht="15" hidden="false" customHeight="true" outlineLevel="0" collapsed="false">
      <c r="A99" s="0" t="n">
        <v>98</v>
      </c>
      <c r="B99" s="184" t="n">
        <v>46092.1637607982</v>
      </c>
      <c r="C99" s="184" t="n">
        <v>46092.1804274648</v>
      </c>
      <c r="D99" s="188" t="s">
        <v>902</v>
      </c>
      <c r="E99" s="188" t="s">
        <v>903</v>
      </c>
      <c r="F99" s="188" t="s">
        <v>903</v>
      </c>
      <c r="G99" s="188" t="s">
        <v>904</v>
      </c>
      <c r="H99" s="184" t="n">
        <v>46084</v>
      </c>
      <c r="I99" s="188" t="s">
        <v>132</v>
      </c>
      <c r="J99" s="188" t="s">
        <v>108</v>
      </c>
      <c r="K99" s="188" t="s">
        <v>143</v>
      </c>
      <c r="L99" s="188" t="s">
        <v>296</v>
      </c>
      <c r="M99" s="188" t="s">
        <v>864</v>
      </c>
      <c r="N99" s="188" t="s">
        <v>905</v>
      </c>
      <c r="O99" s="188" t="s">
        <v>713</v>
      </c>
      <c r="P99" s="188" t="s">
        <v>131</v>
      </c>
      <c r="Q99" s="188" t="s">
        <v>112</v>
      </c>
      <c r="R99" s="188" t="s">
        <v>21</v>
      </c>
      <c r="S99" s="188" t="s">
        <v>120</v>
      </c>
      <c r="T99" s="188" t="s">
        <v>121</v>
      </c>
      <c r="V99" s="188" t="s">
        <v>123</v>
      </c>
      <c r="W99" s="188" t="s">
        <v>168</v>
      </c>
      <c r="X99" s="188" t="s">
        <v>374</v>
      </c>
      <c r="Y99" s="188" t="s">
        <v>374</v>
      </c>
      <c r="Z99" s="188" t="s">
        <v>1127</v>
      </c>
      <c r="AG99" s="188" t="s">
        <v>1130</v>
      </c>
      <c r="AH99" s="188" t="s">
        <v>1129</v>
      </c>
    </row>
    <row r="100" customFormat="false" ht="15" hidden="false" customHeight="true" outlineLevel="0" collapsed="false">
      <c r="A100" s="0" t="n">
        <v>99</v>
      </c>
      <c r="B100" s="184" t="n">
        <v>46076.0202156504</v>
      </c>
      <c r="C100" s="184" t="n">
        <v>46076.02859528</v>
      </c>
      <c r="D100" s="188" t="s">
        <v>909</v>
      </c>
      <c r="E100" s="188" t="s">
        <v>910</v>
      </c>
      <c r="F100" s="188" t="s">
        <v>910</v>
      </c>
      <c r="G100" s="188" t="s">
        <v>911</v>
      </c>
      <c r="H100" s="184" t="n">
        <v>46059</v>
      </c>
      <c r="I100" s="188" t="s">
        <v>113</v>
      </c>
      <c r="J100" s="188" t="s">
        <v>108</v>
      </c>
      <c r="K100" s="188" t="s">
        <v>245</v>
      </c>
      <c r="L100" s="188" t="s">
        <v>286</v>
      </c>
      <c r="M100" s="188" t="s">
        <v>864</v>
      </c>
      <c r="N100" s="188" t="s">
        <v>249</v>
      </c>
      <c r="O100" s="188" t="s">
        <v>172</v>
      </c>
      <c r="P100" s="188" t="s">
        <v>111</v>
      </c>
      <c r="Q100" s="188" t="s">
        <v>145</v>
      </c>
      <c r="R100" s="188" t="s">
        <v>24</v>
      </c>
      <c r="S100" s="188" t="s">
        <v>152</v>
      </c>
      <c r="T100" s="188" t="s">
        <v>180</v>
      </c>
      <c r="U100" s="188" t="s">
        <v>122</v>
      </c>
      <c r="V100" s="188" t="s">
        <v>123</v>
      </c>
      <c r="W100" s="188" t="s">
        <v>168</v>
      </c>
      <c r="X100" s="188" t="s">
        <v>214</v>
      </c>
      <c r="Y100" s="188" t="s">
        <v>214</v>
      </c>
      <c r="Z100" s="188" t="s">
        <v>1111</v>
      </c>
      <c r="AA100" s="188" t="s">
        <v>1066</v>
      </c>
      <c r="AB100" s="188" t="s">
        <v>1036</v>
      </c>
      <c r="AG100" s="188" t="s">
        <v>1079</v>
      </c>
      <c r="AH100" s="188" t="s">
        <v>1041</v>
      </c>
    </row>
    <row r="101" customFormat="false" ht="15" hidden="false" customHeight="true" outlineLevel="0" collapsed="false">
      <c r="A101" s="0" t="n">
        <v>100</v>
      </c>
      <c r="B101" s="184" t="n">
        <v>46109.5320587297</v>
      </c>
      <c r="C101" s="184" t="n">
        <v>46109.5389568779</v>
      </c>
      <c r="D101" s="188" t="s">
        <v>915</v>
      </c>
      <c r="E101" s="188" t="s">
        <v>916</v>
      </c>
      <c r="F101" s="188" t="s">
        <v>917</v>
      </c>
      <c r="G101" s="188" t="s">
        <v>918</v>
      </c>
      <c r="H101" s="184" t="n">
        <v>46102</v>
      </c>
      <c r="I101" s="188" t="s">
        <v>113</v>
      </c>
      <c r="J101" s="188" t="s">
        <v>295</v>
      </c>
      <c r="K101" s="188" t="s">
        <v>173</v>
      </c>
      <c r="L101" s="188" t="s">
        <v>184</v>
      </c>
      <c r="M101" s="188" t="s">
        <v>174</v>
      </c>
      <c r="N101" s="188" t="s">
        <v>523</v>
      </c>
      <c r="O101" s="188" t="s">
        <v>107</v>
      </c>
      <c r="P101" s="188" t="s">
        <v>111</v>
      </c>
      <c r="Q101" s="188" t="s">
        <v>198</v>
      </c>
      <c r="R101" s="188" t="s">
        <v>22</v>
      </c>
      <c r="S101" s="188" t="s">
        <v>152</v>
      </c>
      <c r="T101" s="188" t="s">
        <v>121</v>
      </c>
      <c r="V101" s="188" t="s">
        <v>192</v>
      </c>
      <c r="W101" s="188" t="s">
        <v>124</v>
      </c>
      <c r="X101" s="188" t="s">
        <v>271</v>
      </c>
      <c r="Y101" s="188" t="s">
        <v>271</v>
      </c>
      <c r="Z101" s="188" t="s">
        <v>1108</v>
      </c>
      <c r="AA101" s="188" t="s">
        <v>1086</v>
      </c>
      <c r="AB101" s="188" t="s">
        <v>1085</v>
      </c>
      <c r="AG101" s="188" t="s">
        <v>1090</v>
      </c>
    </row>
    <row r="103" customFormat="false" ht="30" hidden="false" customHeight="true" outlineLevel="0" collapsed="false">
      <c r="U103" s="131"/>
    </row>
    <row r="105" customFormat="false" ht="15" hidden="false" customHeight="true" outlineLevel="0" collapsed="false">
      <c r="O105" s="194"/>
    </row>
    <row r="106" customFormat="false" ht="15" hidden="false" customHeight="true" outlineLevel="0" collapsed="false">
      <c r="O106" s="194"/>
    </row>
    <row r="108" customFormat="false" ht="15" hidden="false" customHeight="true" outlineLevel="0" collapsed="false">
      <c r="O108" s="194"/>
    </row>
    <row r="109" customFormat="false" ht="15" hidden="false" customHeight="true" outlineLevel="0" collapsed="false">
      <c r="O109" s="194"/>
    </row>
    <row r="114" customFormat="false" ht="15" hidden="false" customHeight="true" outlineLevel="0" collapsed="false">
      <c r="O114" s="194"/>
    </row>
    <row r="115" customFormat="false" ht="15" hidden="false" customHeight="true" outlineLevel="0" collapsed="false">
      <c r="O115" s="194"/>
    </row>
    <row r="116" customFormat="false" ht="15" hidden="false" customHeight="true" outlineLevel="0" collapsed="false">
      <c r="O116" s="194"/>
    </row>
    <row r="118" customFormat="false" ht="15" hidden="false" customHeight="true" outlineLevel="0" collapsed="false">
      <c r="O118" s="194"/>
    </row>
    <row r="144" customFormat="false" ht="15" hidden="false" customHeight="false" outlineLevel="0" collapsed="false">
      <c r="B144" s="187"/>
      <c r="C144" s="187"/>
      <c r="H144" s="187"/>
    </row>
    <row r="145" customFormat="false" ht="15" hidden="false" customHeight="false" outlineLevel="0" collapsed="false">
      <c r="B145" s="187"/>
      <c r="C145" s="187"/>
      <c r="H145" s="187"/>
    </row>
    <row r="146" customFormat="false" ht="15" hidden="false" customHeight="false" outlineLevel="0" collapsed="false">
      <c r="B146" s="187"/>
      <c r="C146" s="187"/>
      <c r="H146" s="187"/>
    </row>
    <row r="147" customFormat="false" ht="15" hidden="false" customHeight="false" outlineLevel="0" collapsed="false">
      <c r="B147" s="187"/>
      <c r="C147" s="187"/>
      <c r="H147" s="187"/>
    </row>
    <row r="148" customFormat="false" ht="15" hidden="false" customHeight="false" outlineLevel="0" collapsed="false">
      <c r="B148" s="187"/>
      <c r="C148" s="187"/>
      <c r="H148" s="187"/>
    </row>
    <row r="149" customFormat="false" ht="15" hidden="false" customHeight="false" outlineLevel="0" collapsed="false">
      <c r="B149" s="187"/>
      <c r="C149" s="187"/>
      <c r="H149" s="187"/>
    </row>
    <row r="150" customFormat="false" ht="15" hidden="false" customHeight="false" outlineLevel="0" collapsed="false">
      <c r="B150" s="187"/>
      <c r="C150" s="187"/>
      <c r="H150" s="187"/>
    </row>
    <row r="151" customFormat="false" ht="15" hidden="false" customHeight="false" outlineLevel="0" collapsed="false">
      <c r="B151" s="187"/>
      <c r="C151" s="187"/>
      <c r="H151" s="187"/>
    </row>
    <row r="152" customFormat="false" ht="15" hidden="false" customHeight="false" outlineLevel="0" collapsed="false">
      <c r="B152" s="187"/>
      <c r="C152" s="187"/>
      <c r="H152" s="187"/>
    </row>
    <row r="153" customFormat="false" ht="15" hidden="false" customHeight="false" outlineLevel="0" collapsed="false">
      <c r="B153" s="187"/>
      <c r="C153" s="187"/>
      <c r="H153" s="187"/>
    </row>
    <row r="154" customFormat="false" ht="15" hidden="false" customHeight="false" outlineLevel="0" collapsed="false">
      <c r="B154" s="187"/>
      <c r="C154" s="187"/>
      <c r="H154" s="187"/>
    </row>
    <row r="155" customFormat="false" ht="15" hidden="false" customHeight="false" outlineLevel="0" collapsed="false">
      <c r="B155" s="187"/>
      <c r="C155" s="187"/>
      <c r="H155" s="187"/>
    </row>
    <row r="156" customFormat="false" ht="15" hidden="false" customHeight="false" outlineLevel="0" collapsed="false">
      <c r="B156" s="187"/>
      <c r="C156" s="187"/>
      <c r="H156" s="187"/>
    </row>
    <row r="157" customFormat="false" ht="15" hidden="false" customHeight="false" outlineLevel="0" collapsed="false">
      <c r="B157" s="187"/>
      <c r="C157" s="187"/>
      <c r="H157" s="187"/>
    </row>
    <row r="158" customFormat="false" ht="15" hidden="false" customHeight="false" outlineLevel="0" collapsed="false">
      <c r="B158" s="187"/>
      <c r="C158" s="187"/>
      <c r="H158" s="187"/>
    </row>
    <row r="159" customFormat="false" ht="15" hidden="false" customHeight="false" outlineLevel="0" collapsed="false">
      <c r="B159" s="187"/>
      <c r="C159" s="187"/>
      <c r="H159" s="187"/>
    </row>
    <row r="160" customFormat="false" ht="15" hidden="false" customHeight="false" outlineLevel="0" collapsed="false">
      <c r="B160" s="187"/>
      <c r="C160" s="187"/>
      <c r="H160" s="187"/>
    </row>
    <row r="161" customFormat="false" ht="15" hidden="false" customHeight="false" outlineLevel="0" collapsed="false">
      <c r="B161" s="187"/>
      <c r="C161" s="187"/>
      <c r="H161" s="187"/>
    </row>
    <row r="162" customFormat="false" ht="15" hidden="false" customHeight="false" outlineLevel="0" collapsed="false">
      <c r="B162" s="187"/>
      <c r="C162" s="187"/>
      <c r="H162" s="187"/>
    </row>
    <row r="163" customFormat="false" ht="15" hidden="false" customHeight="false" outlineLevel="0" collapsed="false">
      <c r="B163" s="187"/>
      <c r="C163" s="187"/>
      <c r="H163" s="187"/>
    </row>
    <row r="164" customFormat="false" ht="15" hidden="false" customHeight="false" outlineLevel="0" collapsed="false">
      <c r="B164" s="187"/>
      <c r="C164" s="187"/>
      <c r="H164" s="187"/>
    </row>
    <row r="165" customFormat="false" ht="15" hidden="false" customHeight="false" outlineLevel="0" collapsed="false">
      <c r="B165" s="187"/>
      <c r="C165" s="187"/>
      <c r="H165" s="187"/>
    </row>
    <row r="166" customFormat="false" ht="15" hidden="false" customHeight="false" outlineLevel="0" collapsed="false">
      <c r="B166" s="187"/>
      <c r="C166" s="187"/>
      <c r="H166" s="187"/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</cols>
  <sheetData>
    <row r="1" customFormat="false" ht="15" hidden="false" customHeight="true" outlineLevel="0" collapsed="false">
      <c r="A1" s="185" t="s">
        <v>0</v>
      </c>
      <c r="B1" s="185" t="s">
        <v>1235</v>
      </c>
      <c r="C1" s="185" t="s">
        <v>99</v>
      </c>
    </row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2026-06-01T05:46:00Z</dcterms:created>
  <dc:creator>openpyxl</dc:creator>
  <dc:description/>
  <dc:language>en-US</dc:language>
  <cp:lastModifiedBy/>
  <dcterms:modified xsi:type="dcterms:W3CDTF">2026-07-13T07:56:45Z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ActionId">
    <vt:lpwstr>e3ced5c8-bb89-4474-9030-ccfadc4373c8</vt:lpwstr>
  </property>
  <property fmtid="{D5CDD505-2E9C-101B-9397-08002B2CF9AE}" pid="3" name="MSIP_Label_7331f486-f8b5-456b-a19a-dbe0d296c5fd_ContentBits">
    <vt:lpwstr>0</vt:lpwstr>
  </property>
  <property fmtid="{D5CDD505-2E9C-101B-9397-08002B2CF9AE}" pid="4" name="MSIP_Label_7331f486-f8b5-456b-a19a-dbe0d296c5fd_Enabled">
    <vt:lpwstr>true</vt:lpwstr>
  </property>
  <property fmtid="{D5CDD505-2E9C-101B-9397-08002B2CF9AE}" pid="5" name="MSIP_Label_7331f486-f8b5-456b-a19a-dbe0d296c5fd_Method">
    <vt:lpwstr>Standard</vt:lpwstr>
  </property>
  <property fmtid="{D5CDD505-2E9C-101B-9397-08002B2CF9AE}" pid="6" name="MSIP_Label_7331f486-f8b5-456b-a19a-dbe0d296c5fd_Name">
    <vt:lpwstr>Company Confidential Internal Use</vt:lpwstr>
  </property>
  <property fmtid="{D5CDD505-2E9C-101B-9397-08002B2CF9AE}" pid="7" name="MSIP_Label_7331f486-f8b5-456b-a19a-dbe0d296c5fd_SetDate">
    <vt:lpwstr>2026-06-01T11:56:56Z</vt:lpwstr>
  </property>
  <property fmtid="{D5CDD505-2E9C-101B-9397-08002B2CF9AE}" pid="8" name="MSIP_Label_7331f486-f8b5-456b-a19a-dbe0d296c5fd_SiteId">
    <vt:lpwstr>edf442f5-b994-4c86-a131-b42b03a16c95</vt:lpwstr>
  </property>
  <property fmtid="{D5CDD505-2E9C-101B-9397-08002B2CF9AE}" pid="9" name="MSIP_Label_7331f486-f8b5-456b-a19a-dbe0d296c5fd_Tag">
    <vt:lpwstr>10, 3, 0, 1</vt:lpwstr>
  </property>
</Properties>
</file>